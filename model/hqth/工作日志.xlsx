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725904AE-18A3-44C1-A0B2-122B5AF3F5DC}" xr6:coauthVersionLast="47" xr6:coauthVersionMax="47" xr10:uidLastSave="{00000000-0000-0000-0000-000000000000}"/>
  <bookViews>
    <workbookView xWindow="38280" yWindow="2730" windowWidth="29040" windowHeight="15840" activeTab="4" xr2:uid="{00000000-000D-0000-FFFF-FFFF00000000}"/>
  </bookViews>
  <sheets>
    <sheet name="汇总" sheetId="1" r:id="rId1"/>
    <sheet name="汇总 (4)" sheetId="36" r:id="rId2"/>
    <sheet name="草稿" sheetId="5" r:id="rId3"/>
    <sheet name="汇总 (3)" sheetId="35" r:id="rId4"/>
    <sheet name="汇总 (2)" sheetId="33" r:id="rId5"/>
    <sheet name="DE筛选与IC筛选的差异" sheetId="31" r:id="rId6"/>
    <sheet name="20250721_baseic" sheetId="28" r:id="rId7"/>
    <sheet name="Sheet1" sheetId="26" r:id="rId8"/>
    <sheet name="7.13MoE_v1集成" sheetId="25" r:id="rId9"/>
    <sheet name="7.11MLPv6.3集成" sheetId="24" r:id="rId10"/>
    <sheet name="7.09结果" sheetId="23" r:id="rId11"/>
    <sheet name="7.07集成Mixerv4" sheetId="22" r:id="rId12"/>
    <sheet name="7.06集成MLPv6.1" sheetId="21" r:id="rId13"/>
    <sheet name="7.05集成MASTER" sheetId="20" r:id="rId14"/>
    <sheet name="7.05集成Mixerv3" sheetId="19" r:id="rId15"/>
    <sheet name="7.04集成Mixerv2.2" sheetId="18" r:id="rId16"/>
    <sheet name="7.02集成MLPv5" sheetId="17" r:id="rId17"/>
    <sheet name="7.01集成MLPv3.1" sheetId="15" r:id="rId18"/>
    <sheet name="7.01集成MLPv4.3" sheetId="14" r:id="rId19"/>
    <sheet name="6.29-MLP集成-标签没对齐！" sheetId="12" r:id="rId20"/>
    <sheet name="6.24" sheetId="9" r:id="rId21"/>
    <sheet name="6.23" sheetId="8" r:id="rId22"/>
    <sheet name="6.20" sheetId="6" r:id="rId23"/>
    <sheet name="6.19集成KANv3" sheetId="16" r:id="rId24"/>
    <sheet name="6.19" sheetId="4" r:id="rId25"/>
    <sheet name="画图" sheetId="2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N2" i="1"/>
  <c r="N3" i="1"/>
  <c r="N4" i="1"/>
  <c r="N5" i="1"/>
  <c r="N6" i="1"/>
  <c r="L2" i="1"/>
  <c r="L3" i="1"/>
  <c r="L4" i="1"/>
  <c r="L5" i="1"/>
  <c r="J2" i="1"/>
  <c r="J3" i="1"/>
  <c r="J4" i="1"/>
  <c r="J5" i="1"/>
  <c r="P8" i="1"/>
  <c r="P9" i="1"/>
  <c r="P10" i="1"/>
  <c r="P11" i="1"/>
  <c r="P12" i="1"/>
  <c r="N7" i="1"/>
  <c r="N8" i="1"/>
  <c r="N9" i="1"/>
  <c r="N10" i="1"/>
  <c r="N11" i="1"/>
  <c r="L6" i="1"/>
  <c r="L7" i="1"/>
  <c r="L8" i="1"/>
  <c r="L9" i="1"/>
  <c r="L10" i="1"/>
  <c r="L11" i="1"/>
  <c r="J6" i="1"/>
  <c r="J7" i="1"/>
  <c r="J8" i="1"/>
  <c r="J9" i="1"/>
  <c r="J10" i="1"/>
  <c r="J11" i="1"/>
  <c r="P13" i="1"/>
  <c r="P14" i="1"/>
  <c r="N12" i="1"/>
  <c r="N13" i="1"/>
  <c r="N14" i="1"/>
  <c r="L12" i="1"/>
  <c r="L13" i="1"/>
  <c r="L14" i="1"/>
  <c r="L15" i="1"/>
  <c r="J12" i="1"/>
  <c r="J13" i="1"/>
  <c r="J14" i="1"/>
  <c r="J15" i="1"/>
  <c r="P15" i="1"/>
  <c r="P16" i="1"/>
  <c r="P17" i="1"/>
  <c r="N15" i="1"/>
  <c r="N16" i="1"/>
  <c r="N17" i="1"/>
  <c r="L16" i="1"/>
  <c r="L17" i="1"/>
  <c r="L18" i="1"/>
  <c r="J16" i="1"/>
  <c r="J17" i="1"/>
  <c r="P22" i="1"/>
  <c r="N22" i="1"/>
  <c r="L22" i="1"/>
  <c r="J22" i="1"/>
  <c r="P18" i="1"/>
  <c r="P19" i="1"/>
  <c r="P20" i="1"/>
  <c r="P21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L19" i="1"/>
  <c r="L20" i="1"/>
  <c r="L21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N18" i="1"/>
  <c r="N19" i="1"/>
  <c r="N20" i="1"/>
  <c r="N21" i="1"/>
  <c r="N23" i="1"/>
  <c r="J18" i="1"/>
  <c r="J19" i="1"/>
  <c r="J20" i="1"/>
  <c r="J21" i="1"/>
  <c r="N24" i="1"/>
  <c r="J23" i="1"/>
  <c r="J24" i="1"/>
  <c r="N25" i="1"/>
  <c r="N26" i="1"/>
  <c r="N27" i="1"/>
  <c r="J25" i="1"/>
  <c r="J26" i="1"/>
  <c r="J27" i="1"/>
  <c r="N28" i="1"/>
  <c r="N29" i="1"/>
  <c r="N30" i="1"/>
  <c r="N31" i="1"/>
  <c r="N32" i="1"/>
  <c r="N33" i="1"/>
  <c r="N34" i="1"/>
  <c r="J28" i="1"/>
  <c r="J29" i="1"/>
  <c r="J30" i="1"/>
  <c r="J31" i="1"/>
  <c r="J32" i="1"/>
  <c r="J33" i="1"/>
  <c r="J34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N35" i="1"/>
  <c r="J35" i="1"/>
  <c r="C1" i="5" l="1"/>
  <c r="M4" i="28" l="1"/>
  <c r="M5" i="28"/>
  <c r="M6" i="28"/>
  <c r="M7" i="28"/>
  <c r="M8" i="28"/>
  <c r="M9" i="28"/>
  <c r="M10" i="28"/>
  <c r="M3" i="28"/>
  <c r="L10" i="26"/>
  <c r="L9" i="26"/>
  <c r="L8" i="26"/>
  <c r="L7" i="26"/>
  <c r="L6" i="26"/>
  <c r="L5" i="26"/>
  <c r="L4" i="26"/>
  <c r="L3" i="26"/>
  <c r="E2" i="2" l="1"/>
  <c r="D1" i="2"/>
  <c r="D5" i="2"/>
  <c r="B1" i="2"/>
  <c r="A1" i="2"/>
</calcChain>
</file>

<file path=xl/sharedStrings.xml><?xml version="1.0" encoding="utf-8"?>
<sst xmlns="http://schemas.openxmlformats.org/spreadsheetml/2006/main" count="24955" uniqueCount="3629">
  <si>
    <t>时间</t>
    <phoneticPr fontId="1" type="noConversion"/>
  </si>
  <si>
    <t>模型</t>
    <phoneticPr fontId="1" type="noConversion"/>
  </si>
  <si>
    <t>IC</t>
    <phoneticPr fontId="1" type="noConversion"/>
  </si>
  <si>
    <t>label_ret</t>
    <phoneticPr fontId="1" type="noConversion"/>
  </si>
  <si>
    <t>说明</t>
    <phoneticPr fontId="1" type="noConversion"/>
  </si>
  <si>
    <t>MLP</t>
    <phoneticPr fontId="1" type="noConversion"/>
  </si>
  <si>
    <t>loss_train</t>
    <phoneticPr fontId="1" type="noConversion"/>
  </si>
  <si>
    <t>基准打分score_file的结果</t>
    <phoneticPr fontId="1" type="noConversion"/>
  </si>
  <si>
    <t>KAN</t>
    <phoneticPr fontId="1" type="noConversion"/>
  </si>
  <si>
    <t xml:space="preserve"> [n,256,1]</t>
    <phoneticPr fontId="1" type="noConversion"/>
  </si>
  <si>
    <t>Transform</t>
    <phoneticPr fontId="1" type="noConversion"/>
  </si>
  <si>
    <t>hidden_size=512, num_heads=4, max_m=6000, dropout_rate=0.1</t>
    <phoneticPr fontId="1" type="noConversion"/>
  </si>
  <si>
    <t>Conv1D</t>
    <phoneticPr fontId="1" type="noConversion"/>
  </si>
  <si>
    <t>Conv2D</t>
    <phoneticPr fontId="1" type="noConversion"/>
  </si>
  <si>
    <t>使用二维卷积，股票补0到3000，最后全连接</t>
    <phoneticPr fontId="1" type="noConversion"/>
  </si>
  <si>
    <t>LSTM</t>
    <phoneticPr fontId="1" type="noConversion"/>
  </si>
  <si>
    <t>基于循环网络对数据进行encode，输出max_m然后进行截断</t>
    <phoneticPr fontId="1" type="noConversion"/>
  </si>
  <si>
    <t>BiLSTM</t>
    <phoneticPr fontId="1" type="noConversion"/>
  </si>
  <si>
    <t>跟LSTM差不多</t>
    <phoneticPr fontId="1" type="noConversion"/>
  </si>
  <si>
    <t>DNN</t>
    <phoneticPr fontId="1" type="noConversion"/>
  </si>
  <si>
    <t>train_code训练结果</t>
    <phoneticPr fontId="1" type="noConversion"/>
  </si>
  <si>
    <t>对数据取T，对特征维度进行卷积，[n,512,64,1]</t>
    <phoneticPr fontId="1" type="noConversion"/>
  </si>
  <si>
    <t>大道至简，返璞归真。。。[n,512,128,1],ReLu</t>
    <phoneticPr fontId="1" type="noConversion"/>
  </si>
  <si>
    <t>4层Transform+KAN输出</t>
    <phoneticPr fontId="1" type="noConversion"/>
  </si>
  <si>
    <t>DNN_ver2</t>
    <phoneticPr fontId="1" type="noConversion"/>
  </si>
  <si>
    <t>替换了数据集fac20250528_base_ic、epoch=60</t>
    <phoneticPr fontId="1" type="noConversion"/>
  </si>
  <si>
    <t>Transform_ver3</t>
    <phoneticPr fontId="1" type="noConversion"/>
  </si>
  <si>
    <t>Transform_ver2</t>
    <phoneticPr fontId="1" type="noConversion"/>
  </si>
  <si>
    <t>KAN_ver2</t>
    <phoneticPr fontId="1" type="noConversion"/>
  </si>
  <si>
    <t>Conv1D_ver2</t>
  </si>
  <si>
    <t>Transformer编码*2，Conv1D卷积*2</t>
    <phoneticPr fontId="1" type="noConversion"/>
  </si>
  <si>
    <t>DNN_ver3</t>
    <phoneticPr fontId="1" type="noConversion"/>
  </si>
  <si>
    <t>对股票数据进行初筛，只挑选了2000多只出现频率高的股票</t>
    <phoneticPr fontId="1" type="noConversion"/>
  </si>
  <si>
    <t>Transform_ver3_2</t>
    <phoneticPr fontId="1" type="noConversion"/>
  </si>
  <si>
    <t>替换数据集fac20250528_1400icbase</t>
    <phoneticPr fontId="1" type="noConversion"/>
  </si>
  <si>
    <t>Transform_ver4</t>
    <phoneticPr fontId="1" type="noConversion"/>
  </si>
  <si>
    <t>Transform_ver5</t>
    <phoneticPr fontId="1" type="noConversion"/>
  </si>
  <si>
    <t>这个是与V4对比的，也是挑选2000多只高频率股票，但是从1400icbase挑出来的</t>
    <phoneticPr fontId="1" type="noConversion"/>
  </si>
  <si>
    <t>KAN_ver3</t>
    <phoneticPr fontId="1" type="noConversion"/>
  </si>
  <si>
    <t>adamw+余弦退火+LayerNorm+减少dropout</t>
    <phoneticPr fontId="1" type="noConversion"/>
  </si>
  <si>
    <t xml:space="preserve"> </t>
    <phoneticPr fontId="1" type="noConversion"/>
  </si>
  <si>
    <t>原始结果</t>
    <phoneticPr fontId="1" type="noConversion"/>
  </si>
  <si>
    <t>top3</t>
    <phoneticPr fontId="1" type="noConversion"/>
  </si>
  <si>
    <t>top5</t>
    <phoneticPr fontId="1" type="noConversion"/>
  </si>
  <si>
    <t>top7</t>
    <phoneticPr fontId="1" type="noConversion"/>
  </si>
  <si>
    <t>top1，测试与代码是否对齐</t>
    <phoneticPr fontId="1" type="noConversion"/>
  </si>
  <si>
    <t>top9</t>
    <phoneticPr fontId="1" type="noConversion"/>
  </si>
  <si>
    <t>top1+val_wei权重，测试加权代码是否正确</t>
    <phoneticPr fontId="1" type="noConversion"/>
  </si>
  <si>
    <t>top3+val_wei权重</t>
    <phoneticPr fontId="1" type="noConversion"/>
  </si>
  <si>
    <t>top5+val_wei权重</t>
    <phoneticPr fontId="1" type="noConversion"/>
  </si>
  <si>
    <t>top7+val_wei权重</t>
    <phoneticPr fontId="1" type="noConversion"/>
  </si>
  <si>
    <t>top9+val_wei权重</t>
    <phoneticPr fontId="1" type="noConversion"/>
  </si>
  <si>
    <t>train_loss</t>
    <phoneticPr fontId="1" type="noConversion"/>
  </si>
  <si>
    <t>test_icmean</t>
    <phoneticPr fontId="1" type="noConversion"/>
  </si>
  <si>
    <t>test_wei</t>
    <phoneticPr fontId="1" type="noConversion"/>
  </si>
  <si>
    <t>val_icmean</t>
    <phoneticPr fontId="1" type="noConversion"/>
  </si>
  <si>
    <t>val_ret</t>
    <phoneticPr fontId="1" type="noConversion"/>
  </si>
  <si>
    <t>val_wei</t>
    <phoneticPr fontId="1" type="noConversion"/>
  </si>
  <si>
    <t>训练集月数</t>
    <phoneticPr fontId="1" type="noConversion"/>
  </si>
  <si>
    <r>
      <t xml:space="preserve">1、数据用的老的，只到2024q2，因子筛选逻辑是固定用24个月作为衡量
2、模型、学习率等其他配置参考文档中的model.py
</t>
    </r>
    <r>
      <rPr>
        <b/>
        <sz val="11"/>
        <color theme="1"/>
        <rFont val="等线"/>
        <family val="3"/>
        <charset val="134"/>
        <scheme val="minor"/>
      </rPr>
      <t>3、取消了Valid集合会在最后与train集合隔开的10天，现在只有train集合会前后隔开10天。
4、新的代码用到了bench_df，但似乎在老代码和新代码中都没有定义。[Error] 检查 test 缺失时间失败：type object 'params' has no attribute 'bench_df'。</t>
    </r>
    <phoneticPr fontId="1" type="noConversion"/>
  </si>
  <si>
    <t>MLP_dly</t>
    <phoneticPr fontId="1" type="noConversion"/>
  </si>
  <si>
    <t>详见6.20（尝试了半个月的模型还不如老大给的demo得分高，以后多跑跑实验得了，少浪费算力。。。。）</t>
    <phoneticPr fontId="1" type="noConversion"/>
  </si>
  <si>
    <t>编号</t>
    <phoneticPr fontId="1" type="noConversion"/>
  </si>
  <si>
    <t>new_train720_v1</t>
    <phoneticPr fontId="1" type="noConversion"/>
  </si>
  <si>
    <t>new_train720_v2</t>
    <phoneticPr fontId="1" type="noConversion"/>
  </si>
  <si>
    <t>new_train720_v3</t>
    <phoneticPr fontId="1" type="noConversion"/>
  </si>
  <si>
    <t>数据：标准化
输入层：不标准化</t>
    <phoneticPr fontId="1" type="noConversion"/>
  </si>
  <si>
    <t>数据：不标准化
输入层：标准化</t>
    <phoneticPr fontId="1" type="noConversion"/>
  </si>
  <si>
    <t>数据：标准化
输入层：标准化</t>
    <phoneticPr fontId="1" type="noConversion"/>
  </si>
  <si>
    <t>new_train540_v1</t>
    <phoneticPr fontId="1" type="noConversion"/>
  </si>
  <si>
    <t>new_train540_v2</t>
  </si>
  <si>
    <t>new_train540_v3</t>
  </si>
  <si>
    <t>Transform_ver7</t>
    <phoneticPr fontId="1" type="noConversion"/>
  </si>
  <si>
    <t>fac20250625,只训练2024的4个季度，只挑选“全勤股票”</t>
    <phoneticPr fontId="1" type="noConversion"/>
  </si>
  <si>
    <t>KAN_ver4.2</t>
    <phoneticPr fontId="1" type="noConversion"/>
  </si>
  <si>
    <t>TopK与集成方法</t>
    <phoneticPr fontId="1" type="noConversion"/>
  </si>
  <si>
    <t>KAN_ver4.3</t>
    <phoneticPr fontId="1" type="noConversion"/>
  </si>
  <si>
    <t>KAN_ver4.4</t>
    <phoneticPr fontId="1" type="noConversion"/>
  </si>
  <si>
    <t>KAN_ver4.1</t>
    <phoneticPr fontId="1" type="noConversion"/>
  </si>
  <si>
    <t>MLP_ver2.3</t>
    <phoneticPr fontId="1" type="noConversion"/>
  </si>
  <si>
    <t>没有特殊处理逻辑，没有Norm</t>
    <phoneticPr fontId="1" type="noConversion"/>
  </si>
  <si>
    <t>MLP_ver2.4</t>
    <phoneticPr fontId="1" type="noConversion"/>
  </si>
  <si>
    <t>banchmark</t>
    <phoneticPr fontId="1" type="noConversion"/>
  </si>
  <si>
    <t>1.5e9,持仓500，标签和流动数据没有更新！</t>
    <phoneticPr fontId="1" type="noConversion"/>
  </si>
  <si>
    <t>top5+val_wei</t>
    <phoneticPr fontId="1" type="noConversion"/>
  </si>
  <si>
    <t>top3+val_wei</t>
    <phoneticPr fontId="1" type="noConversion"/>
  </si>
  <si>
    <t>top1+val_wei</t>
    <phoneticPr fontId="1" type="noConversion"/>
  </si>
  <si>
    <t>top5+均值</t>
    <phoneticPr fontId="1" type="noConversion"/>
  </si>
  <si>
    <t>top3+均值</t>
    <phoneticPr fontId="1" type="noConversion"/>
  </si>
  <si>
    <t>top1+均值</t>
    <phoneticPr fontId="1" type="noConversion"/>
  </si>
  <si>
    <t>banchmark_0619</t>
    <phoneticPr fontId="1" type="noConversion"/>
  </si>
  <si>
    <t>-</t>
    <phoneticPr fontId="1" type="noConversion"/>
  </si>
  <si>
    <t>有Norm</t>
    <phoneticPr fontId="1" type="noConversion"/>
  </si>
  <si>
    <t>没有Norm</t>
    <phoneticPr fontId="1" type="noConversion"/>
  </si>
  <si>
    <t>banchmark_0619_label_1</t>
    <phoneticPr fontId="1" type="noConversion"/>
  </si>
  <si>
    <t>banchmark_0619_label_2</t>
    <phoneticPr fontId="1" type="noConversion"/>
  </si>
  <si>
    <t>对齐任务1</t>
    <phoneticPr fontId="1" type="noConversion"/>
  </si>
  <si>
    <t>对齐任务2</t>
    <phoneticPr fontId="1" type="noConversion"/>
  </si>
  <si>
    <t>fac0613，任务1</t>
    <phoneticPr fontId="1" type="noConversion"/>
  </si>
  <si>
    <t>仅任务2的因子fac0625，其它所有标准按照任务1执行</t>
    <phoneticPr fontId="1" type="noConversion"/>
  </si>
  <si>
    <t>MLP_ver3.3</t>
    <phoneticPr fontId="1" type="noConversion"/>
  </si>
  <si>
    <t>MLP_ver3.2</t>
    <phoneticPr fontId="1" type="noConversion"/>
  </si>
  <si>
    <t>MLP_ver3.1</t>
    <phoneticPr fontId="1" type="noConversion"/>
  </si>
  <si>
    <t>fac0625,任务2</t>
    <phoneticPr fontId="1" type="noConversion"/>
  </si>
  <si>
    <t>MLP_ver4.1</t>
    <phoneticPr fontId="1" type="noConversion"/>
  </si>
  <si>
    <t>对标ver3.1，将MLP最后DNN输出改成KAN</t>
    <phoneticPr fontId="1" type="noConversion"/>
  </si>
  <si>
    <t>MLP_ver4.1_norm</t>
    <phoneticPr fontId="1" type="noConversion"/>
  </si>
  <si>
    <t>第一层加了Norm</t>
    <phoneticPr fontId="1" type="noConversion"/>
  </si>
  <si>
    <t>MLP_ver4.2</t>
    <phoneticPr fontId="1" type="noConversion"/>
  </si>
  <si>
    <t>最后输出层换成了KAN</t>
    <phoneticPr fontId="1" type="noConversion"/>
  </si>
  <si>
    <t>MLP_ver4.1.1</t>
    <phoneticPr fontId="1" type="noConversion"/>
  </si>
  <si>
    <t>第一层改成KAN</t>
    <phoneticPr fontId="1" type="noConversion"/>
  </si>
  <si>
    <t>MLP_ver4.1.2</t>
    <phoneticPr fontId="1" type="noConversion"/>
  </si>
  <si>
    <t>第二层改成KAN</t>
    <phoneticPr fontId="1" type="noConversion"/>
  </si>
  <si>
    <t>MLP_ver4.1.3</t>
    <phoneticPr fontId="1" type="noConversion"/>
  </si>
  <si>
    <t>第三层改成KAN</t>
    <phoneticPr fontId="1" type="noConversion"/>
  </si>
  <si>
    <t>MLP_ver4.1.4</t>
    <phoneticPr fontId="1" type="noConversion"/>
  </si>
  <si>
    <t>第四层改成KAN</t>
    <phoneticPr fontId="1" type="noConversion"/>
  </si>
  <si>
    <t>top7+均值</t>
    <phoneticPr fontId="1" type="noConversion"/>
  </si>
  <si>
    <t>top7+val_wei</t>
    <phoneticPr fontId="1" type="noConversion"/>
  </si>
  <si>
    <t>top2+均值</t>
    <phoneticPr fontId="1" type="noConversion"/>
  </si>
  <si>
    <t>top2+val_wei</t>
    <phoneticPr fontId="1" type="noConversion"/>
  </si>
  <si>
    <t>top9+均值</t>
    <phoneticPr fontId="1" type="noConversion"/>
  </si>
  <si>
    <t>top9+val_wei</t>
    <phoneticPr fontId="1" type="noConversion"/>
  </si>
  <si>
    <t>MLP_ver3.1_norm</t>
    <phoneticPr fontId="1" type="noConversion"/>
  </si>
  <si>
    <t>第三、四层改成KAN</t>
    <phoneticPr fontId="1" type="noConversion"/>
  </si>
  <si>
    <t>MLP_ver5</t>
    <phoneticPr fontId="1" type="noConversion"/>
  </si>
  <si>
    <t>Mixer</t>
    <phoneticPr fontId="1" type="noConversion"/>
  </si>
  <si>
    <t>Mixer_v2.1</t>
    <phoneticPr fontId="1" type="noConversion"/>
  </si>
  <si>
    <t>消融实验：减去因子融合</t>
    <phoneticPr fontId="1" type="noConversion"/>
  </si>
  <si>
    <t>Mixer_v2</t>
    <phoneticPr fontId="1" type="noConversion"/>
  </si>
  <si>
    <t>仅使用2024年4个季度做消融实验</t>
    <phoneticPr fontId="1" type="noConversion"/>
  </si>
  <si>
    <t>消融实验：减去时间融合</t>
    <phoneticPr fontId="1" type="noConversion"/>
  </si>
  <si>
    <t>Mixer_v2.2</t>
    <phoneticPr fontId="1" type="noConversion"/>
  </si>
  <si>
    <t>MASTER</t>
    <phoneticPr fontId="1" type="noConversion"/>
  </si>
  <si>
    <t>也仅使用2024年4个季度，如果好在跑8个季度</t>
    <phoneticPr fontId="1" type="noConversion"/>
  </si>
  <si>
    <t>8个季度，修改代码适配我们的应用</t>
    <phoneticPr fontId="1" type="noConversion"/>
  </si>
  <si>
    <t>MLP_ver7</t>
    <phoneticPr fontId="1" type="noConversion"/>
  </si>
  <si>
    <t>test集合改成30天</t>
    <phoneticPr fontId="1" type="noConversion"/>
  </si>
  <si>
    <t>0619_label_1只跑2024年4个季度</t>
    <phoneticPr fontId="1" type="noConversion"/>
  </si>
  <si>
    <t>KAN_ver5</t>
    <phoneticPr fontId="1" type="noConversion"/>
  </si>
  <si>
    <r>
      <rPr>
        <b/>
        <sz val="11"/>
        <color theme="1"/>
        <rFont val="等线"/>
        <family val="3"/>
        <charset val="134"/>
        <scheme val="minor"/>
      </rPr>
      <t>fac20250625,</t>
    </r>
    <r>
      <rPr>
        <sz val="11"/>
        <color theme="1"/>
        <rFont val="等线"/>
        <family val="2"/>
        <scheme val="minor"/>
      </rPr>
      <t>只训练2024的4个季度,认真学习了乐阳哥demo中对模型的处理</t>
    </r>
    <phoneticPr fontId="1" type="noConversion"/>
  </si>
  <si>
    <t>这段时间把任务1和任务2 的标签弄混了。但意外的发现用任务2的因子干任务1的活，指标极高</t>
    <phoneticPr fontId="1" type="noConversion"/>
  </si>
  <si>
    <t>7.04~7.05</t>
    <phoneticPr fontId="1" type="noConversion"/>
  </si>
  <si>
    <t>7.03~7.04</t>
    <phoneticPr fontId="1" type="noConversion"/>
  </si>
  <si>
    <t>Mixer_v3</t>
    <phoneticPr fontId="1" type="noConversion"/>
  </si>
  <si>
    <t>加了dropout</t>
    <phoneticPr fontId="1" type="noConversion"/>
  </si>
  <si>
    <t>Mixer_v3_norm</t>
    <phoneticPr fontId="1" type="noConversion"/>
  </si>
  <si>
    <t>加norm</t>
    <phoneticPr fontId="1" type="noConversion"/>
  </si>
  <si>
    <t>top10+val_wei</t>
    <phoneticPr fontId="1" type="noConversion"/>
  </si>
  <si>
    <t>top10+均值</t>
    <phoneticPr fontId="1" type="noConversion"/>
  </si>
  <si>
    <t>MLP_ver6.1</t>
    <phoneticPr fontId="1" type="noConversion"/>
  </si>
  <si>
    <t>不做因子筛选</t>
    <phoneticPr fontId="1" type="noConversion"/>
  </si>
  <si>
    <t>MLP_ver6.2</t>
    <phoneticPr fontId="1" type="noConversion"/>
  </si>
  <si>
    <t>增宽了隐藏层的大小</t>
    <phoneticPr fontId="1" type="noConversion"/>
  </si>
  <si>
    <t>MLP_ver6.3</t>
    <phoneticPr fontId="1" type="noConversion"/>
  </si>
  <si>
    <t>删去所有的norm</t>
    <phoneticPr fontId="1" type="noConversion"/>
  </si>
  <si>
    <t>Mixer_v4</t>
    <phoneticPr fontId="1" type="noConversion"/>
  </si>
  <si>
    <t>DNN+Mixer+KAN</t>
    <phoneticPr fontId="1" type="noConversion"/>
  </si>
  <si>
    <t>STGNN_ver1</t>
  </si>
  <si>
    <t>新模型</t>
    <phoneticPr fontId="1" type="noConversion"/>
  </si>
  <si>
    <t>MASTER_v2</t>
  </si>
  <si>
    <t>DNN+MASTER+KAN</t>
    <phoneticPr fontId="1" type="noConversion"/>
  </si>
  <si>
    <t>MLP_v3</t>
    <phoneticPr fontId="1" type="noConversion"/>
  </si>
  <si>
    <t>demo的MLP重新用fac0613跑了一次</t>
    <phoneticPr fontId="1" type="noConversion"/>
  </si>
  <si>
    <t>删去了140个离散因子后的fac0613</t>
    <phoneticPr fontId="1" type="noConversion"/>
  </si>
  <si>
    <t>IC</t>
  </si>
  <si>
    <t>ICIR</t>
  </si>
  <si>
    <t>top_return</t>
  </si>
  <si>
    <t>top_return_stability</t>
  </si>
  <si>
    <t>单一模型评估</t>
    <phoneticPr fontId="1" type="noConversion"/>
  </si>
  <si>
    <t>整体评估（1:2)</t>
    <phoneticPr fontId="1" type="noConversion"/>
  </si>
  <si>
    <t>整体评估（1:1)</t>
    <phoneticPr fontId="1" type="noConversion"/>
  </si>
  <si>
    <t>全因子</t>
    <phoneticPr fontId="1" type="noConversion"/>
  </si>
  <si>
    <t>删除140个离散值</t>
    <phoneticPr fontId="1" type="noConversion"/>
  </si>
  <si>
    <t>全因子训练</t>
    <phoneticPr fontId="1" type="noConversion"/>
  </si>
  <si>
    <t>全因子删掉140个离散因子</t>
    <phoneticPr fontId="1" type="noConversion"/>
  </si>
  <si>
    <t>DNN+STGNN+KAN</t>
    <phoneticPr fontId="1" type="noConversion"/>
  </si>
  <si>
    <t>STGNN_ver2</t>
    <phoneticPr fontId="1" type="noConversion"/>
  </si>
  <si>
    <t>2023q1</t>
    <phoneticPr fontId="1" type="noConversion"/>
  </si>
  <si>
    <t>2023q2</t>
    <phoneticPr fontId="1" type="noConversion"/>
  </si>
  <si>
    <t>2024q1</t>
    <phoneticPr fontId="1" type="noConversion"/>
  </si>
  <si>
    <t>2024q2</t>
    <phoneticPr fontId="1" type="noConversion"/>
  </si>
  <si>
    <t>2024q3</t>
    <phoneticPr fontId="1" type="noConversion"/>
  </si>
  <si>
    <t>2024q4</t>
    <phoneticPr fontId="1" type="noConversion"/>
  </si>
  <si>
    <t>top9+均值</t>
  </si>
  <si>
    <t>4专家集成MLP+Mixer+MASTER+STGNN</t>
    <phoneticPr fontId="1" type="noConversion"/>
  </si>
  <si>
    <t>related</t>
    <phoneticPr fontId="1" type="noConversion"/>
  </si>
  <si>
    <t>10个MLP专家</t>
    <phoneticPr fontId="1" type="noConversion"/>
  </si>
  <si>
    <t>MoE_v1.2</t>
    <phoneticPr fontId="1" type="noConversion"/>
  </si>
  <si>
    <t>10个MLP专家，使用任务均衡</t>
    <phoneticPr fontId="1" type="noConversion"/>
  </si>
  <si>
    <t>MoE_v2.1</t>
    <phoneticPr fontId="1" type="noConversion"/>
  </si>
  <si>
    <t>4专家集成MLP+Mixer+MASTER+STGNN，使用任务均衡</t>
    <phoneticPr fontId="1" type="noConversion"/>
  </si>
  <si>
    <t>label_ret_mix</t>
    <phoneticPr fontId="1" type="noConversion"/>
  </si>
  <si>
    <t>IC_mix</t>
    <phoneticPr fontId="1" type="noConversion"/>
  </si>
  <si>
    <t>MoE_v2.2</t>
    <phoneticPr fontId="1" type="noConversion"/>
  </si>
  <si>
    <t>MoE_v1.1</t>
    <phoneticPr fontId="1" type="noConversion"/>
  </si>
  <si>
    <t>7.13~7.14</t>
    <phoneticPr fontId="1" type="noConversion"/>
  </si>
  <si>
    <t>corr</t>
    <phoneticPr fontId="1" type="noConversion"/>
  </si>
  <si>
    <t>Mixer_v5.0</t>
    <phoneticPr fontId="1" type="noConversion"/>
  </si>
  <si>
    <t xml:space="preserve">ICIR </t>
    <phoneticPr fontId="1" type="noConversion"/>
  </si>
  <si>
    <t>stability</t>
    <phoneticPr fontId="1" type="noConversion"/>
  </si>
  <si>
    <t>ICIR_mix</t>
    <phoneticPr fontId="1" type="noConversion"/>
  </si>
  <si>
    <t>stability_mix</t>
    <phoneticPr fontId="1" type="noConversion"/>
  </si>
  <si>
    <t>5fold</t>
    <phoneticPr fontId="1" type="noConversion"/>
  </si>
  <si>
    <t>新因子切割逻辑，threshold=0.1</t>
    <phoneticPr fontId="1" type="noConversion"/>
  </si>
  <si>
    <t>新因子切割逻辑，threshold=0.2</t>
    <phoneticPr fontId="1" type="noConversion"/>
  </si>
  <si>
    <t>筛选1400后再删除</t>
    <phoneticPr fontId="1" type="noConversion"/>
  </si>
  <si>
    <t>新因子切割逻辑，threshold=0.5</t>
    <phoneticPr fontId="1" type="noConversion"/>
  </si>
  <si>
    <t>新因子切割逻辑，threshold=0.3</t>
    <phoneticPr fontId="1" type="noConversion"/>
  </si>
  <si>
    <t>2023q3</t>
  </si>
  <si>
    <t>2023q4</t>
  </si>
  <si>
    <t>fac0625_ic，最佳比例是1:1</t>
    <phoneticPr fontId="1" type="noConversion"/>
  </si>
  <si>
    <t>fac0715_ic，最佳比例是1:4</t>
    <phoneticPr fontId="1" type="noConversion"/>
  </si>
  <si>
    <t>fac0715_cluster，最佳比例是1:2</t>
    <phoneticPr fontId="1" type="noConversion"/>
  </si>
  <si>
    <t>fac0625_cluster，最佳比例是1:2</t>
    <phoneticPr fontId="1" type="noConversion"/>
  </si>
  <si>
    <t>MLP_v5</t>
    <phoneticPr fontId="1" type="noConversion"/>
  </si>
  <si>
    <t>threshold_0.5,4fold</t>
    <phoneticPr fontId="1" type="noConversion"/>
  </si>
  <si>
    <t>threshold_0.3,5fold</t>
    <phoneticPr fontId="1" type="noConversion"/>
  </si>
  <si>
    <t>threshold_0.3,4fold</t>
    <phoneticPr fontId="1" type="noConversion"/>
  </si>
  <si>
    <t>ic1400,5fold</t>
    <phoneticPr fontId="1" type="noConversion"/>
  </si>
  <si>
    <t>ic1400,4fold</t>
    <phoneticPr fontId="1" type="noConversion"/>
  </si>
  <si>
    <t>threshold_0.1,4fold</t>
    <phoneticPr fontId="1" type="noConversion"/>
  </si>
  <si>
    <t>threshold_0.1,5fold</t>
    <phoneticPr fontId="1" type="noConversion"/>
  </si>
  <si>
    <t>threshold_0.2,4fold</t>
    <phoneticPr fontId="1" type="noConversion"/>
  </si>
  <si>
    <t>a0001_factor_fea_20250701</t>
  </si>
  <si>
    <t>a0003_factor_fea_20250701</t>
  </si>
  <si>
    <t>a0004_factor_fea_20250701</t>
  </si>
  <si>
    <t>fac0701个数</t>
    <phoneticPr fontId="1" type="noConversion"/>
  </si>
  <si>
    <t>占比</t>
    <phoneticPr fontId="1" type="noConversion"/>
  </si>
  <si>
    <t>a0005_factor_fea_20250701</t>
  </si>
  <si>
    <t>a0006_factor_fea_20250701</t>
  </si>
  <si>
    <t>a0007_factor_fea_20250701</t>
  </si>
  <si>
    <t>a0008_factor_fea_20250701</t>
  </si>
  <si>
    <t>a0009_factor_fea_20250701</t>
  </si>
  <si>
    <t>a0010_factor_fea_20250701</t>
  </si>
  <si>
    <t>a0011_factor_fea_20250701</t>
  </si>
  <si>
    <t>a0012_factor_fea_20250701</t>
  </si>
  <si>
    <t>a0014_factor_fea_20250701</t>
  </si>
  <si>
    <t>a0017_factor_fea_20250701</t>
  </si>
  <si>
    <t>a0013_factor_fea_20250701</t>
  </si>
  <si>
    <t>a0016_factor_fea_20250701</t>
  </si>
  <si>
    <t>a0018_factor_fea_20250701</t>
  </si>
  <si>
    <t>a0020_factor_fea_20250701</t>
  </si>
  <si>
    <t>a0015_factor_fea_20250701</t>
  </si>
  <si>
    <t>a0022_factor_fea_20250701</t>
  </si>
  <si>
    <t>a0024_factor_fea_20250701</t>
  </si>
  <si>
    <t>a0027_factor_fea_20250701</t>
  </si>
  <si>
    <t>a0019_factor_fea_20250701</t>
  </si>
  <si>
    <t>a0026_factor_fea_20250701</t>
  </si>
  <si>
    <t>a0028_factor_fea_20250701</t>
  </si>
  <si>
    <t>a0030_factor_fea_20250701</t>
  </si>
  <si>
    <t>a0021_factor_fea_20250701</t>
  </si>
  <si>
    <t>a0031_factor_fea_20250701</t>
  </si>
  <si>
    <t>a0032_factor_fea_20250701</t>
  </si>
  <si>
    <t>a0033_factor_fea_20250701</t>
  </si>
  <si>
    <t>a0034_factor_fea_20250701</t>
  </si>
  <si>
    <t>a0029_factor_fea_20250701</t>
  </si>
  <si>
    <t>a0036_factor_fea_20250701</t>
  </si>
  <si>
    <t>a0037_factor_fea_20250701</t>
  </si>
  <si>
    <t>a0040_factor_fea_20250701</t>
  </si>
  <si>
    <t>a0042_factor_fea_20250701</t>
  </si>
  <si>
    <t>a0044_factor_fea_20250701</t>
  </si>
  <si>
    <t>a0045_factor_fea_20250701</t>
  </si>
  <si>
    <t>a0047_factor_fea_20250701</t>
  </si>
  <si>
    <t>a0046_factor_fea_20250701</t>
  </si>
  <si>
    <t>a0048_factor_fea_20250701</t>
  </si>
  <si>
    <t>a0035_factor_fea_20250701</t>
  </si>
  <si>
    <t>a0049_factor_fea_20250701</t>
  </si>
  <si>
    <t>a0053_factor_fea_20250701</t>
  </si>
  <si>
    <t>a0055_factor_fea_20250701</t>
  </si>
  <si>
    <t>a0050_factor_fea_20250701</t>
  </si>
  <si>
    <t>a0039_factor_fea_20250701</t>
  </si>
  <si>
    <t>a0057_factor_fea_20250701</t>
  </si>
  <si>
    <t>a0051_factor_fea_20250701</t>
  </si>
  <si>
    <t>a0041_factor_fea_20250701</t>
  </si>
  <si>
    <t>a0043_factor_fea_20250701</t>
  </si>
  <si>
    <t>a0058_factor_fea_20250701</t>
  </si>
  <si>
    <t>a0052_factor_fea_20250701</t>
  </si>
  <si>
    <t>a0059_factor_fea_20250701</t>
  </si>
  <si>
    <t>a0060_factor_fea_20250701</t>
  </si>
  <si>
    <t>a0061_factor_fea_20250701</t>
  </si>
  <si>
    <t>a0056_factor_fea_20250701</t>
  </si>
  <si>
    <t>a0063_factor_fea_20250701</t>
  </si>
  <si>
    <t>a0064_factor_fea_20250701</t>
  </si>
  <si>
    <t>a0066_factor_fea_20250701</t>
  </si>
  <si>
    <t>a0067_factor_fea_20250701</t>
  </si>
  <si>
    <t>a0068_factor_fea_20250701</t>
  </si>
  <si>
    <t>a0062_factor_fea_20250701</t>
  </si>
  <si>
    <t>a0070_factor_fea_20250701</t>
  </si>
  <si>
    <t>a0071_factor_fea_20250701</t>
  </si>
  <si>
    <t>a0073_factor_fea_20250701</t>
  </si>
  <si>
    <t>a0074_factor_fea_20250701</t>
  </si>
  <si>
    <t>a0054_factor_fea_20250701</t>
  </si>
  <si>
    <t>a0076_factor_fea_20250701</t>
  </si>
  <si>
    <t>a0077_factor_fea_20250701</t>
  </si>
  <si>
    <t>a0078_factor_fea_20250701</t>
  </si>
  <si>
    <t>a0079_factor_fea_20250701</t>
  </si>
  <si>
    <t>a0080_factor_fea_20250701</t>
  </si>
  <si>
    <t>a0075_factor_fea_20250701</t>
  </si>
  <si>
    <t>a0082_factor_fea_20250701</t>
  </si>
  <si>
    <t>a0083_factor_fea_20250701</t>
  </si>
  <si>
    <t>a0085_factor_fea_20250701</t>
  </si>
  <si>
    <t>a0086_factor_fea_20250701</t>
  </si>
  <si>
    <t>a0087_factor_fea_20250701</t>
  </si>
  <si>
    <t>a0088_factor_fea_20250701</t>
  </si>
  <si>
    <t>a0089_factor_fea_20250701</t>
  </si>
  <si>
    <t>a0084_factor_fea_20250701</t>
  </si>
  <si>
    <t>a0090_factor_fea_20250701</t>
  </si>
  <si>
    <t>a0069_factor_fea_20250701</t>
  </si>
  <si>
    <t>a0093_factor_fea_20250701</t>
  </si>
  <si>
    <t>a0095_factor_fea_20250701</t>
  </si>
  <si>
    <t>a0098_factor_fea_20250701</t>
  </si>
  <si>
    <t>a0102_factor_fea_20250701</t>
  </si>
  <si>
    <t>a0103_factor_fea_20250701</t>
  </si>
  <si>
    <t>a0072_factor_fea_20250701</t>
  </si>
  <si>
    <t>a0104_factor_fea_20250701</t>
  </si>
  <si>
    <t>a0105_factor_fea_20250701</t>
  </si>
  <si>
    <t>a0106_factor_fea_20250701</t>
  </si>
  <si>
    <t>a0107_factor_fea_20250701</t>
  </si>
  <si>
    <t>a0100_factor_fea_20250701</t>
  </si>
  <si>
    <t>a0108_factor_fea_20250701</t>
  </si>
  <si>
    <t>a0109_factor_fea_20250701</t>
  </si>
  <si>
    <t>a0112_factor_fea_20250701</t>
  </si>
  <si>
    <t>a0113_factor_fea_20250701</t>
  </si>
  <si>
    <t>a0115_factor_fea_20250701</t>
  </si>
  <si>
    <t>a0081_factor_fea_20250701</t>
  </si>
  <si>
    <t>a0091_factor_fea_20250701</t>
  </si>
  <si>
    <t>a0116_factor_fea_20250701</t>
  </si>
  <si>
    <t>a0117_factor_fea_20250701</t>
  </si>
  <si>
    <t>a0092_factor_fea_20250701</t>
  </si>
  <si>
    <t>a0118_factor_fea_20250701</t>
  </si>
  <si>
    <t>a0097_factor_fea_20250701</t>
  </si>
  <si>
    <t>a0119_factor_fea_20250701</t>
  </si>
  <si>
    <t>a0120_factor_fea_20250701</t>
  </si>
  <si>
    <t>a0121_factor_fea_20250701</t>
  </si>
  <si>
    <t>a0122_factor_fea_20250701</t>
  </si>
  <si>
    <t>a0123_factor_fea_20250701</t>
  </si>
  <si>
    <t>a0101_factor_fea_20250701</t>
  </si>
  <si>
    <t>a0124_factor_fea_20250701</t>
  </si>
  <si>
    <t>a0094_factor_fea_20250701</t>
  </si>
  <si>
    <t>a0126_factor_fea_20250701</t>
  </si>
  <si>
    <t>a0127_factor_fea_20250701</t>
  </si>
  <si>
    <t>a0128_factor_fea_20250701</t>
  </si>
  <si>
    <t>a0129_factor_fea_20250701</t>
  </si>
  <si>
    <t>a0131_factor_fea_20250701</t>
  </si>
  <si>
    <t>a0125_factor_fea_20250701</t>
  </si>
  <si>
    <t>a0133_factor_fea_20250701</t>
  </si>
  <si>
    <t>a0096_factor_fea_20250701</t>
  </si>
  <si>
    <t>a0136_factor_fea_20250701</t>
  </si>
  <si>
    <t>a0114_factor_fea_20250701</t>
  </si>
  <si>
    <t>a0137_factor_fea_20250701</t>
  </si>
  <si>
    <t>a0138_factor_fea_20250701</t>
  </si>
  <si>
    <t>a0143_factor_fea_20250701</t>
  </si>
  <si>
    <t>a0144_factor_fea_20250701</t>
  </si>
  <si>
    <t>a0130_factor_fea_20250701</t>
  </si>
  <si>
    <t>a0146_factor_fea_20250701</t>
  </si>
  <si>
    <t>a0147_factor_fea_20250701</t>
  </si>
  <si>
    <t>a0148_factor_fea_20250701</t>
  </si>
  <si>
    <t>a0140_factor_fea_20250701</t>
  </si>
  <si>
    <t>a0111_factor_fea_20250701</t>
  </si>
  <si>
    <t>a0149_factor_fea_20250701</t>
  </si>
  <si>
    <t>a0150_factor_fea_20250701</t>
  </si>
  <si>
    <t>a0152_factor_fea_20250701</t>
  </si>
  <si>
    <t>a0154_factor_fea_20250701</t>
  </si>
  <si>
    <t>a0155_factor_fea_20250701</t>
  </si>
  <si>
    <t>a0156_factor_fea_20250701</t>
  </si>
  <si>
    <t>a0145_factor_fea_20250701</t>
  </si>
  <si>
    <t>a0157_factor_fea_20250701</t>
  </si>
  <si>
    <t>a0158_factor_fea_20250701</t>
  </si>
  <si>
    <t>a0159_factor_fea_20250701</t>
  </si>
  <si>
    <t>a0160_factor_fea_20250701</t>
  </si>
  <si>
    <t>a0161_factor_fea_20250701</t>
  </si>
  <si>
    <t>a0132_factor_fea_20250701</t>
  </si>
  <si>
    <t>a0162_factor_fea_20250701</t>
  </si>
  <si>
    <t>a0163_factor_fea_20250701</t>
  </si>
  <si>
    <t>a0134_factor_fea_20250701</t>
  </si>
  <si>
    <t>a0164_factor_fea_20250701</t>
  </si>
  <si>
    <t>a0165_factor_fea_20250701</t>
  </si>
  <si>
    <t>a0167_factor_fea_20250701</t>
  </si>
  <si>
    <t>a0169_factor_fea_20250701</t>
  </si>
  <si>
    <t>a0170_factor_fea_20250701</t>
  </si>
  <si>
    <t>a0142_factor_fea_20250701</t>
  </si>
  <si>
    <t>a0171_factor_fea_20250701</t>
  </si>
  <si>
    <t>a0172_factor_fea_20250701</t>
  </si>
  <si>
    <t>a0173_factor_fea_20250701</t>
  </si>
  <si>
    <t>a0175_factor_fea_20250701</t>
  </si>
  <si>
    <t>a0179_factor_fea_20250701</t>
  </si>
  <si>
    <t>a0180_factor_fea_20250701</t>
  </si>
  <si>
    <t>a0135_factor_fea_20250701</t>
  </si>
  <si>
    <t>a0181_factor_fea_20250701</t>
  </si>
  <si>
    <t>a0184_factor_fea_20250701</t>
  </si>
  <si>
    <t>a0185_factor_fea_20250701</t>
  </si>
  <si>
    <t>a0151_factor_fea_20250701</t>
  </si>
  <si>
    <t>a0186_factor_fea_20250701</t>
  </si>
  <si>
    <t>a0176_factor_fea_20250701</t>
  </si>
  <si>
    <t>a0139_factor_fea_20250701</t>
  </si>
  <si>
    <t>a0187_factor_fea_20250701</t>
  </si>
  <si>
    <t>a0188_factor_fea_20250701</t>
  </si>
  <si>
    <t>a0189_factor_fea_20250701</t>
  </si>
  <si>
    <t>a0190_factor_fea_20250701</t>
  </si>
  <si>
    <t>a0183_factor_fea_20250701</t>
  </si>
  <si>
    <t>a0191_factor_fea_20250701</t>
  </si>
  <si>
    <t>a0193_factor_fea_20250701</t>
  </si>
  <si>
    <t>a0199_factor_fea_20250701</t>
  </si>
  <si>
    <t>a0200_factor_fea_20250701</t>
  </si>
  <si>
    <t>a0201_factor_fea_20250701</t>
  </si>
  <si>
    <t>a0202_factor_fea_20250701</t>
  </si>
  <si>
    <t>a0203_factor_fea_20250701</t>
  </si>
  <si>
    <t>a0205_factor_fea_20250701</t>
  </si>
  <si>
    <t>a0206_factor_fea_20250701</t>
  </si>
  <si>
    <t>a0207_factor_fea_20250701</t>
  </si>
  <si>
    <t>a0196_factor_fea_20250701</t>
  </si>
  <si>
    <t>a0209_factor_fea_20250701</t>
  </si>
  <si>
    <t>a0166_factor_fea_20250701</t>
  </si>
  <si>
    <t>a0210_factor_fea_20250701</t>
  </si>
  <si>
    <t>a0211_factor_fea_20250701</t>
  </si>
  <si>
    <t>a0195_factor_fea_20250701</t>
  </si>
  <si>
    <t>a0212_factor_fea_20250701</t>
  </si>
  <si>
    <t>a0213_factor_fea_20250701</t>
  </si>
  <si>
    <t>a0174_factor_fea_20250701</t>
  </si>
  <si>
    <t>a0215_factor_fea_20250701</t>
  </si>
  <si>
    <t>a0216_factor_fea_20250701</t>
  </si>
  <si>
    <t>a0218_factor_fea_20250701</t>
  </si>
  <si>
    <t>a0219_factor_fea_20250701</t>
  </si>
  <si>
    <t>a0220_factor_fea_20250701</t>
  </si>
  <si>
    <t>a0221_factor_fea_20250701</t>
  </si>
  <si>
    <t>a0222_factor_fea_20250701</t>
  </si>
  <si>
    <t>a0223_factor_fea_20250701</t>
  </si>
  <si>
    <t>a0208_factor_fea_20250701</t>
  </si>
  <si>
    <t>a0225_factor_fea_20250701</t>
  </si>
  <si>
    <t>a0214_factor_fea_20250701</t>
  </si>
  <si>
    <t>a0227_factor_fea_20250701</t>
  </si>
  <si>
    <t>a0228_factor_fea_20250701</t>
  </si>
  <si>
    <t>a0229_factor_fea_20250701</t>
  </si>
  <si>
    <t>a0230_factor_fea_20250701</t>
  </si>
  <si>
    <t>a0231_factor_fea_20250701</t>
  </si>
  <si>
    <t>a0192_factor_fea_20250701</t>
  </si>
  <si>
    <t>a0233_factor_fea_20250701</t>
  </si>
  <si>
    <t>a0217_factor_fea_20250701</t>
  </si>
  <si>
    <t>a0234_factor_fea_20250701</t>
  </si>
  <si>
    <t>a0194_factor_fea_20250701</t>
  </si>
  <si>
    <t>a0235_factor_fea_20250701</t>
  </si>
  <si>
    <t>a0241_factor_fea_20250701</t>
  </si>
  <si>
    <t>a0224_factor_fea_20250701</t>
  </si>
  <si>
    <t>a0243_factor_fea_20250701</t>
  </si>
  <si>
    <t>a0197_factor_fea_20250701</t>
  </si>
  <si>
    <t>a0244_factor_fea_20250701</t>
  </si>
  <si>
    <t>a0198_factor_fea_20250701</t>
  </si>
  <si>
    <t>a0245_factor_fea_20250701</t>
  </si>
  <si>
    <t>a0247_factor_fea_20250701</t>
  </si>
  <si>
    <t>a0249_factor_fea_20250701</t>
  </si>
  <si>
    <t>a0251_factor_fea_20250701</t>
  </si>
  <si>
    <t>a0252_factor_fea_20250701</t>
  </si>
  <si>
    <t>a0256_factor_fea_20250701</t>
  </si>
  <si>
    <t>a0257_factor_fea_20250701</t>
  </si>
  <si>
    <t>a0258_factor_fea_20250701</t>
  </si>
  <si>
    <t>a0237_factor_fea_20250701</t>
  </si>
  <si>
    <t>a0259_factor_fea_20250701</t>
  </si>
  <si>
    <t>a0238_factor_fea_20250701</t>
  </si>
  <si>
    <t>a0260_factor_fea_20250701</t>
  </si>
  <si>
    <t>a0239_factor_fea_20250701</t>
  </si>
  <si>
    <t>a0261_factor_fea_20250701</t>
  </si>
  <si>
    <t>a0263_factor_fea_20250701</t>
  </si>
  <si>
    <t>a0264_factor_fea_20250701</t>
  </si>
  <si>
    <t>a0266_factor_fea_20250701</t>
  </si>
  <si>
    <t>a0268_factor_fea_20250701</t>
  </si>
  <si>
    <t>a0269_factor_fea_20250701</t>
  </si>
  <si>
    <t>a0248_factor_fea_20250701</t>
  </si>
  <si>
    <t>a0270_factor_fea_20250701</t>
  </si>
  <si>
    <t>a0204_factor_fea_20250701</t>
  </si>
  <si>
    <t>a0272_factor_fea_20250701</t>
  </si>
  <si>
    <t>a0274_factor_fea_20250701</t>
  </si>
  <si>
    <t>a0275_factor_fea_20250701</t>
  </si>
  <si>
    <t>a0254_factor_fea_20250701</t>
  </si>
  <si>
    <t>a0277_factor_fea_20250701</t>
  </si>
  <si>
    <t>a0278_factor_fea_20250701</t>
  </si>
  <si>
    <t>a0279_factor_fea_20250701</t>
  </si>
  <si>
    <t>a0255_factor_fea_20250701</t>
  </si>
  <si>
    <t>a0281_factor_fea_20250701</t>
  </si>
  <si>
    <t>a0282_factor_fea_20250701</t>
  </si>
  <si>
    <t>a0283_factor_fea_20250701</t>
  </si>
  <si>
    <t>a0284_factor_fea_20250701</t>
  </si>
  <si>
    <t>a0285_factor_fea_20250701</t>
  </si>
  <si>
    <t>a0286_factor_fea_20250701</t>
  </si>
  <si>
    <t>a0287_factor_fea_20250701</t>
  </si>
  <si>
    <t>a0262_factor_fea_20250701</t>
  </si>
  <si>
    <t>a0289_factor_fea_20250701</t>
  </si>
  <si>
    <t>a0292_factor_fea_20250701</t>
  </si>
  <si>
    <t>a0295_factor_fea_20250701</t>
  </si>
  <si>
    <t>a0271_factor_fea_20250701</t>
  </si>
  <si>
    <t>a0297_factor_fea_20250701</t>
  </si>
  <si>
    <t>a0267_factor_fea_20250701</t>
  </si>
  <si>
    <t>a0299_factor_fea_20250701</t>
  </si>
  <si>
    <t>a0301_factor_fea_20250701</t>
  </si>
  <si>
    <t>a0240_factor_fea_20250701</t>
  </si>
  <si>
    <t>a0302_factor_fea_20250701</t>
  </si>
  <si>
    <t>a0304_factor_fea_20250701</t>
  </si>
  <si>
    <t>a0242_factor_fea_20250701</t>
  </si>
  <si>
    <t>a0305_factor_fea_20250701</t>
  </si>
  <si>
    <t>a0308_factor_fea_20250701</t>
  </si>
  <si>
    <t>a0273_factor_fea_20250701</t>
  </si>
  <si>
    <t>a0309_factor_fea_20250701</t>
  </si>
  <si>
    <t>a0310_factor_fea_20250701</t>
  </si>
  <si>
    <t>a0246_factor_fea_20250701</t>
  </si>
  <si>
    <t>a0311_factor_fea_20250701</t>
  </si>
  <si>
    <t>a0313_factor_fea_20250701</t>
  </si>
  <si>
    <t>a0232_factor_fea_20250701</t>
  </si>
  <si>
    <t>a0314_factor_fea_20250701</t>
  </si>
  <si>
    <t>a0315_factor_fea_20250701</t>
  </si>
  <si>
    <t>a0226_factor_fea_20250701</t>
  </si>
  <si>
    <t>a0316_factor_fea_20250701</t>
  </si>
  <si>
    <t>a0288_factor_fea_20250701</t>
  </si>
  <si>
    <t>a0317_factor_fea_20250701</t>
  </si>
  <si>
    <t>a0319_factor_fea_20250701</t>
  </si>
  <si>
    <t>a0294_factor_fea_20250701</t>
  </si>
  <si>
    <t>a0320_factor_fea_20250701</t>
  </si>
  <si>
    <t>a0321_factor_fea_20250701</t>
  </si>
  <si>
    <t>a0325_factor_fea_20250701</t>
  </si>
  <si>
    <t>a0326_factor_fea_20250701</t>
  </si>
  <si>
    <t>a0327_factor_fea_20250701</t>
  </si>
  <si>
    <t>a0328_factor_fea_20250701</t>
  </si>
  <si>
    <t>a0329_factor_fea_20250701</t>
  </si>
  <si>
    <t>a0330_factor_fea_20250701</t>
  </si>
  <si>
    <t>a0331_factor_fea_20250701</t>
  </si>
  <si>
    <t>a0300_factor_fea_20250701</t>
  </si>
  <si>
    <t>a0332_factor_fea_20250701</t>
  </si>
  <si>
    <t>a0333_factor_fea_20250701</t>
  </si>
  <si>
    <t>a0334_factor_fea_20250701</t>
  </si>
  <si>
    <t>a0312_factor_fea_20250701</t>
  </si>
  <si>
    <t>a0336_factor_fea_20250701</t>
  </si>
  <si>
    <t>a0253_factor_fea_20250701</t>
  </si>
  <si>
    <t>a0338_factor_fea_20250701</t>
  </si>
  <si>
    <t>a0339_factor_fea_20250701</t>
  </si>
  <si>
    <t>a0340_factor_fea_20250701</t>
  </si>
  <si>
    <t>a0341_factor_fea_20250701</t>
  </si>
  <si>
    <t>a0343_factor_fea_20250701</t>
  </si>
  <si>
    <t>a0344_factor_fea_20250701</t>
  </si>
  <si>
    <t>a0250_factor_fea_20250701</t>
  </si>
  <si>
    <t>a0346_factor_fea_20250701</t>
  </si>
  <si>
    <t>a0347_factor_fea_20250701</t>
  </si>
  <si>
    <t>a0349_factor_fea_20250701</t>
  </si>
  <si>
    <t>a0350_factor_fea_20250701</t>
  </si>
  <si>
    <t>a0351_factor_fea_20250701</t>
  </si>
  <si>
    <t>a0352_factor_fea_20250701</t>
  </si>
  <si>
    <t>a0324_factor_fea_20250701</t>
  </si>
  <si>
    <t>a0265_factor_fea_20250701</t>
  </si>
  <si>
    <t>a0353_factor_fea_20250701</t>
  </si>
  <si>
    <t>a0354_factor_fea_20250701</t>
  </si>
  <si>
    <t>a0356_factor_fea_20250701</t>
  </si>
  <si>
    <t>a0357_factor_fea_20250701</t>
  </si>
  <si>
    <t>a0358_factor_fea_20250701</t>
  </si>
  <si>
    <t>a0359_factor_fea_20250701</t>
  </si>
  <si>
    <t>a0360_factor_fea_20250701</t>
  </si>
  <si>
    <t>a0362_factor_fea_20250701</t>
  </si>
  <si>
    <t>a0363_factor_fea_20250701</t>
  </si>
  <si>
    <t>a0364_factor_fea_20250701</t>
  </si>
  <si>
    <t>a0276_factor_fea_20250701</t>
  </si>
  <si>
    <t>a0366_factor_fea_20250701</t>
  </si>
  <si>
    <t>a0368_factor_fea_20250701</t>
  </si>
  <si>
    <t>a0369_factor_fea_20250701</t>
  </si>
  <si>
    <t>a0370_factor_fea_20250701</t>
  </si>
  <si>
    <t>a0280_factor_fea_20250701</t>
  </si>
  <si>
    <t>a0371_factor_fea_20250701</t>
  </si>
  <si>
    <t>a0372_factor_fea_20250701</t>
  </si>
  <si>
    <t>a0374_factor_fea_20250701</t>
  </si>
  <si>
    <t>a0375_factor_fea_20250701</t>
  </si>
  <si>
    <t>a0380_factor_fea_20250701</t>
  </si>
  <si>
    <t>a0381_factor_fea_20250701</t>
  </si>
  <si>
    <t>a0383_factor_fea_20250701</t>
  </si>
  <si>
    <t>a0384_factor_fea_20250701</t>
  </si>
  <si>
    <t>a0389_factor_fea_20250701</t>
  </si>
  <si>
    <t>a0390_factor_fea_20250701</t>
  </si>
  <si>
    <t>a0291_factor_fea_20250701</t>
  </si>
  <si>
    <t>a0392_factor_fea_20250701</t>
  </si>
  <si>
    <t>a0290_factor_fea_20250701</t>
  </si>
  <si>
    <t>a0393_factor_fea_20250701</t>
  </si>
  <si>
    <t>a0323_factor_fea_20250701</t>
  </si>
  <si>
    <t>a0394_factor_fea_20250701</t>
  </si>
  <si>
    <t>a0395_factor_fea_20250701</t>
  </si>
  <si>
    <t>a0296_factor_fea_20250701</t>
  </si>
  <si>
    <t>a0397_factor_fea_20250701</t>
  </si>
  <si>
    <t>a0398_factor_fea_20250701</t>
  </si>
  <si>
    <t>a0298_factor_fea_20250701</t>
  </si>
  <si>
    <t>a0399_factor_fea_20250701</t>
  </si>
  <si>
    <t>a0400_factor_fea_20250701</t>
  </si>
  <si>
    <t>a0365_factor_fea_20250701</t>
  </si>
  <si>
    <t>a0402_factor_fea_20250701</t>
  </si>
  <si>
    <t>a0403_factor_fea_20250701</t>
  </si>
  <si>
    <t>a0404_factor_fea_20250701</t>
  </si>
  <si>
    <t>a0376_factor_fea_20250701</t>
  </si>
  <si>
    <t>a0406_factor_fea_20250701</t>
  </si>
  <si>
    <t>a0408_factor_fea_20250701</t>
  </si>
  <si>
    <t>a0410_factor_fea_20250701</t>
  </si>
  <si>
    <t>a0382_factor_fea_20250701</t>
  </si>
  <si>
    <t>a0411_factor_fea_20250701</t>
  </si>
  <si>
    <t>a0373_factor_fea_20250701</t>
  </si>
  <si>
    <t>a0412_factor_fea_20250701</t>
  </si>
  <si>
    <t>a0413_factor_fea_20250701</t>
  </si>
  <si>
    <t>a0387_factor_fea_20250701</t>
  </si>
  <si>
    <t>a0414_factor_fea_20250701</t>
  </si>
  <si>
    <t>a0415_factor_fea_20250701</t>
  </si>
  <si>
    <t>a0416_factor_fea_20250701</t>
  </si>
  <si>
    <t>a0391_factor_fea_20250701</t>
  </si>
  <si>
    <t>a0417_factor_fea_20250701</t>
  </si>
  <si>
    <t>a0345_factor_fea_20250701</t>
  </si>
  <si>
    <t>a0418_factor_fea_20250701</t>
  </si>
  <si>
    <t>a0420_factor_fea_20250701</t>
  </si>
  <si>
    <t>a0422_factor_fea_20250701</t>
  </si>
  <si>
    <t>a0307_factor_fea_20250701</t>
  </si>
  <si>
    <t>a0348_factor_fea_20250701</t>
  </si>
  <si>
    <t>a0423_factor_fea_20250701</t>
  </si>
  <si>
    <t>a0424_factor_fea_20250701</t>
  </si>
  <si>
    <t>a0428_factor_fea_20250701</t>
  </si>
  <si>
    <t>a0429_factor_fea_20250701</t>
  </si>
  <si>
    <t>a0432_factor_fea_20250701</t>
  </si>
  <si>
    <t>a0433_factor_fea_20250701</t>
  </si>
  <si>
    <t>a0434_factor_fea_20250701</t>
  </si>
  <si>
    <t>a0355_factor_fea_20250701</t>
  </si>
  <si>
    <t>a0435_factor_fea_20250701</t>
  </si>
  <si>
    <t>a0436_factor_fea_20250701</t>
  </si>
  <si>
    <t>a0437_factor_fea_20250701</t>
  </si>
  <si>
    <t>a0439_factor_fea_20250701</t>
  </si>
  <si>
    <t>a0440_factor_fea_20250701</t>
  </si>
  <si>
    <t>a0442_factor_fea_20250701</t>
  </si>
  <si>
    <t>a0335_factor_fea_20250701</t>
  </si>
  <si>
    <t>a0443_factor_fea_20250701</t>
  </si>
  <si>
    <t>a0444_factor_fea_20250701</t>
  </si>
  <si>
    <t>a0337_factor_fea_20250701</t>
  </si>
  <si>
    <t>a0446_factor_fea_20250701</t>
  </si>
  <si>
    <t>a0448_factor_fea_20250701</t>
  </si>
  <si>
    <t>a0419_factor_fea_20250701</t>
  </si>
  <si>
    <t>a0450_factor_fea_20250701</t>
  </si>
  <si>
    <t>a0454_factor_fea_20250701</t>
  </si>
  <si>
    <t>a0455_factor_fea_20250701</t>
  </si>
  <si>
    <t>a0456_factor_fea_20250701</t>
  </si>
  <si>
    <t>a0457_factor_fea_20250701</t>
  </si>
  <si>
    <t>a0425_factor_fea_20250701</t>
  </si>
  <si>
    <t>a0458_factor_fea_20250701</t>
  </si>
  <si>
    <t>a0459_factor_fea_20250701</t>
  </si>
  <si>
    <t>a0460_factor_fea_20250701</t>
  </si>
  <si>
    <t>a0461_factor_fea_20250701</t>
  </si>
  <si>
    <t>a0462_factor_fea_20250701</t>
  </si>
  <si>
    <t>a0463_factor_fea_20250701</t>
  </si>
  <si>
    <t>a0465_factor_fea_20250701</t>
  </si>
  <si>
    <t>a0466_factor_fea_20250701</t>
  </si>
  <si>
    <t>a0467_factor_fea_20250701</t>
  </si>
  <si>
    <t>a0469_factor_fea_20250701</t>
  </si>
  <si>
    <t>a0386_factor_fea_20250701</t>
  </si>
  <si>
    <t>a0470_factor_fea_20250701</t>
  </si>
  <si>
    <t>a0342_factor_fea_20250701</t>
  </si>
  <si>
    <t>a0388_factor_fea_20250701</t>
  </si>
  <si>
    <t>a0471_factor_fea_20250701</t>
  </si>
  <si>
    <t>a0472_factor_fea_20250701</t>
  </si>
  <si>
    <t>a0473_factor_fea_20250701</t>
  </si>
  <si>
    <t>a0441_factor_fea_20250701</t>
  </si>
  <si>
    <t>a0474_factor_fea_20250701</t>
  </si>
  <si>
    <t>a0447_factor_fea_20250701</t>
  </si>
  <si>
    <t>a0475_factor_fea_20250701</t>
  </si>
  <si>
    <t>a0361_factor_fea_20250701</t>
  </si>
  <si>
    <t>a0476_factor_fea_20250701</t>
  </si>
  <si>
    <t>a0478_factor_fea_20250701</t>
  </si>
  <si>
    <t>a0480_factor_fea_20250701</t>
  </si>
  <si>
    <t>a0396_factor_fea_20250701</t>
  </si>
  <si>
    <t>a0481_factor_fea_20250701</t>
  </si>
  <si>
    <t>a0482_factor_fea_20250701</t>
  </si>
  <si>
    <t>a0483_factor_fea_20250701</t>
  </si>
  <si>
    <t>a0367_factor_fea_20250701</t>
  </si>
  <si>
    <t>a0401_factor_fea_20250701</t>
  </si>
  <si>
    <t>a0484_factor_fea_20250701</t>
  </si>
  <si>
    <t>a0487_factor_fea_20250701</t>
  </si>
  <si>
    <t>a0490_factor_fea_20250701</t>
  </si>
  <si>
    <t>a0492_factor_fea_20250701</t>
  </si>
  <si>
    <t>a0494_factor_fea_20250701</t>
  </si>
  <si>
    <t>a0496_factor_fea_20250701</t>
  </si>
  <si>
    <t>a0405_factor_fea_20250701</t>
  </si>
  <si>
    <t>a0409_factor_fea_20250701</t>
  </si>
  <si>
    <t>a0497_factor_fea_20250701</t>
  </si>
  <si>
    <t>a0498_factor_fea_20250701</t>
  </si>
  <si>
    <t>a0499_factor_fea_20250701</t>
  </si>
  <si>
    <t>a0502_factor_fea_20250701</t>
  </si>
  <si>
    <t>a0377_factor_fea_20250701</t>
  </si>
  <si>
    <t>a0504_factor_fea_20250701</t>
  </si>
  <si>
    <t>a0506_factor_fea_20250701</t>
  </si>
  <si>
    <t>a0507_factor_fea_20250701</t>
  </si>
  <si>
    <t>a0509_factor_fea_20250701</t>
  </si>
  <si>
    <t>a0511_factor_fea_20250701</t>
  </si>
  <si>
    <t>a0513_factor_fea_20250701</t>
  </si>
  <si>
    <t>a0517_factor_fea_20250701</t>
  </si>
  <si>
    <t>a0519_factor_fea_20250701</t>
  </si>
  <si>
    <t>a0521_factor_fea_20250701</t>
  </si>
  <si>
    <t>a0522_factor_fea_20250701</t>
  </si>
  <si>
    <t>a0479_factor_fea_20250701</t>
  </si>
  <si>
    <t>a0421_factor_fea_20250701</t>
  </si>
  <si>
    <t>a0523_factor_fea_20250701</t>
  </si>
  <si>
    <t>a0524_factor_fea_20250701</t>
  </si>
  <si>
    <t>a0486_factor_fea_20250701</t>
  </si>
  <si>
    <t>a0527_factor_fea_20250701</t>
  </si>
  <si>
    <t>a0528_factor_fea_20250701</t>
  </si>
  <si>
    <t>a0431_factor_fea_20250701</t>
  </si>
  <si>
    <t>a0529_factor_fea_20250701</t>
  </si>
  <si>
    <t>a0530_factor_fea_20250701</t>
  </si>
  <si>
    <t>a0536_factor_fea_20250701</t>
  </si>
  <si>
    <t>a0495_factor_fea_20250701</t>
  </si>
  <si>
    <t>a0489_factor_fea_20250701</t>
  </si>
  <si>
    <t>a0430_factor_fea_20250701</t>
  </si>
  <si>
    <t>a0539_factor_fea_20250701</t>
  </si>
  <si>
    <t>a0540_factor_fea_20250701</t>
  </si>
  <si>
    <t>a0541_factor_fea_20250701</t>
  </si>
  <si>
    <t>a0493_factor_fea_20250701</t>
  </si>
  <si>
    <t>a0385_factor_fea_20250701</t>
  </si>
  <si>
    <t>a0543_factor_fea_20250701</t>
  </si>
  <si>
    <t>a0544_factor_fea_20250701</t>
  </si>
  <si>
    <t>a0505_factor_fea_20250701</t>
  </si>
  <si>
    <t>a0545_factor_fea_20250701</t>
  </si>
  <si>
    <t>a0546_factor_fea_20250701</t>
  </si>
  <si>
    <t>a0548_factor_fea_20250701</t>
  </si>
  <si>
    <t>a0549_factor_fea_20250701</t>
  </si>
  <si>
    <t>a0550_factor_fea_20250701</t>
  </si>
  <si>
    <t>a0445_factor_fea_20250701</t>
  </si>
  <si>
    <t>a0552_factor_fea_20250701</t>
  </si>
  <si>
    <t>a0516_factor_fea_20250701</t>
  </si>
  <si>
    <t>a0555_factor_fea_20250701</t>
  </si>
  <si>
    <t>a0556_factor_fea_20250701</t>
  </si>
  <si>
    <t>a0558_factor_fea_20250701</t>
  </si>
  <si>
    <t>a0561_factor_fea_20250701</t>
  </si>
  <si>
    <t>a0451_factor_fea_20250701</t>
  </si>
  <si>
    <t>a0563_factor_fea_20250701</t>
  </si>
  <si>
    <t>a0453_factor_fea_20250701</t>
  </si>
  <si>
    <t>a0565_factor_fea_20250701</t>
  </si>
  <si>
    <t>a0567_factor_fea_20250701</t>
  </si>
  <si>
    <t>a0568_factor_fea_20250701</t>
  </si>
  <si>
    <t>a0570_factor_fea_20250701</t>
  </si>
  <si>
    <t>a0525_factor_fea_20250701</t>
  </si>
  <si>
    <t>a0571_factor_fea_20250701</t>
  </si>
  <si>
    <t>a0573_factor_fea_20250701</t>
  </si>
  <si>
    <t>a0531_factor_fea_20250701</t>
  </si>
  <si>
    <t>a0576_factor_fea_20250701</t>
  </si>
  <si>
    <t>a0532_factor_fea_20250701</t>
  </si>
  <si>
    <t>a0577_factor_fea_20250701</t>
  </si>
  <si>
    <t>a0407_factor_fea_20250701</t>
  </si>
  <si>
    <t>a0578_factor_fea_20250701</t>
  </si>
  <si>
    <t>a0579_factor_fea_20250701</t>
  </si>
  <si>
    <t>a0580_factor_fea_20250701</t>
  </si>
  <si>
    <t>a0538_factor_fea_20250701</t>
  </si>
  <si>
    <t>a0582_factor_fea_20250701</t>
  </si>
  <si>
    <t>a0542_factor_fea_20250701</t>
  </si>
  <si>
    <t>a0427_factor_fea_20250701</t>
  </si>
  <si>
    <t>a0583_factor_fea_20250701</t>
  </si>
  <si>
    <t>a0585_factor_fea_20250701</t>
  </si>
  <si>
    <t>a0468_factor_fea_20250701</t>
  </si>
  <si>
    <t>a0587_factor_fea_20250701</t>
  </si>
  <si>
    <t>a0589_factor_fea_20250701</t>
  </si>
  <si>
    <t>a0591_factor_fea_20250701</t>
  </si>
  <si>
    <t>a0594_factor_fea_20250701</t>
  </si>
  <si>
    <t>a0596_factor_fea_20250701</t>
  </si>
  <si>
    <t>a0597_factor_fea_20250701</t>
  </si>
  <si>
    <t>a0598_factor_fea_20250701</t>
  </si>
  <si>
    <t>a0553_factor_fea_20250701</t>
  </si>
  <si>
    <t>a0600_factor_fea_20250701</t>
  </si>
  <si>
    <t>a0601_factor_fea_20250701</t>
  </si>
  <si>
    <t>a0602_factor_fea_20250701</t>
  </si>
  <si>
    <t>a0603_factor_fea_20250701</t>
  </si>
  <si>
    <t>a0560_factor_fea_20250701</t>
  </si>
  <si>
    <t>a0606_factor_fea_20250701</t>
  </si>
  <si>
    <t>a0607_factor_fea_20250701</t>
  </si>
  <si>
    <t>a0562_factor_fea_20250701</t>
  </si>
  <si>
    <t>a0426_factor_fea_20250701</t>
  </si>
  <si>
    <t>a0608_factor_fea_20250701</t>
  </si>
  <si>
    <t>a0609_factor_fea_20250701</t>
  </si>
  <si>
    <t>a0613_factor_fea_20250701</t>
  </si>
  <si>
    <t>a0485_factor_fea_20250701</t>
  </si>
  <si>
    <t>a0614_factor_fea_20250701</t>
  </si>
  <si>
    <t>a0449_factor_fea_20250701</t>
  </si>
  <si>
    <t>a0617_factor_fea_20250701</t>
  </si>
  <si>
    <t>a0618_factor_fea_20250701</t>
  </si>
  <si>
    <t>a0488_factor_fea_20250701</t>
  </si>
  <si>
    <t>a0620_factor_fea_20250701</t>
  </si>
  <si>
    <t>a0452_factor_fea_20250701</t>
  </si>
  <si>
    <t>a0621_factor_fea_20250701</t>
  </si>
  <si>
    <t>a0575_factor_fea_20250701</t>
  </si>
  <si>
    <t>a0622_factor_fea_20250701</t>
  </si>
  <si>
    <t>a0624_factor_fea_20250701</t>
  </si>
  <si>
    <t>a0625_factor_fea_20250701</t>
  </si>
  <si>
    <t>a0626_factor_fea_20250701</t>
  </si>
  <si>
    <t>a0438_factor_fea_20250701</t>
  </si>
  <si>
    <t>fac0002</t>
  </si>
  <si>
    <t>a0581_factor_fea_20250701</t>
  </si>
  <si>
    <t>fac0003</t>
  </si>
  <si>
    <t>fac0004</t>
  </si>
  <si>
    <t>a0501_factor_fea_20250701</t>
  </si>
  <si>
    <t>fac0005</t>
  </si>
  <si>
    <t>fac0006</t>
  </si>
  <si>
    <t>a0503_factor_fea_20250701</t>
  </si>
  <si>
    <t>fac0007</t>
  </si>
  <si>
    <t>a0588_factor_fea_20250701</t>
  </si>
  <si>
    <t>fac0008</t>
  </si>
  <si>
    <t>a0464_factor_fea_20250701</t>
  </si>
  <si>
    <t>fac0009</t>
  </si>
  <si>
    <t>fac0010</t>
  </si>
  <si>
    <t>a0595_factor_fea_20250701</t>
  </si>
  <si>
    <t>a0508_factor_fea_20250701</t>
  </si>
  <si>
    <t>fac0012</t>
  </si>
  <si>
    <t>fac0020</t>
  </si>
  <si>
    <t>fac0031</t>
  </si>
  <si>
    <t>a0512_factor_fea_20250701</t>
  </si>
  <si>
    <t>fac0032</t>
  </si>
  <si>
    <t>fac0033</t>
  </si>
  <si>
    <t>fac0034</t>
  </si>
  <si>
    <t>fac0035</t>
  </si>
  <si>
    <t>fac0039</t>
  </si>
  <si>
    <t>a0605_factor_fea_20250701</t>
  </si>
  <si>
    <t>fac0040</t>
  </si>
  <si>
    <t>fac0041</t>
  </si>
  <si>
    <t>fac0042</t>
  </si>
  <si>
    <t>fac0043</t>
  </si>
  <si>
    <t>fac0044</t>
  </si>
  <si>
    <t>fac0056</t>
  </si>
  <si>
    <t>fac0066</t>
  </si>
  <si>
    <t>a0615_factor_fea_20250701</t>
  </si>
  <si>
    <t>fac0067</t>
  </si>
  <si>
    <t>a0616_factor_fea_20250701</t>
  </si>
  <si>
    <t>fac0068</t>
  </si>
  <si>
    <t>fac0069</t>
  </si>
  <si>
    <t>a0619_factor_fea_20250701</t>
  </si>
  <si>
    <t>a0533_factor_fea_20250701</t>
  </si>
  <si>
    <t>fac0071</t>
  </si>
  <si>
    <t>fac0072</t>
  </si>
  <si>
    <t>a0534_factor_fea_20250701</t>
  </si>
  <si>
    <t>a0537_factor_fea_20250701</t>
  </si>
  <si>
    <t>fac0080</t>
  </si>
  <si>
    <t>fac0082</t>
  </si>
  <si>
    <t>fac0095</t>
  </si>
  <si>
    <t>fac0097</t>
  </si>
  <si>
    <t>fac0098</t>
  </si>
  <si>
    <t>fac0099</t>
  </si>
  <si>
    <t>fac0109</t>
  </si>
  <si>
    <t>fac0110</t>
  </si>
  <si>
    <t>fac0111</t>
  </si>
  <si>
    <t>fac0117</t>
  </si>
  <si>
    <t>a0477_factor_fea_20250701</t>
  </si>
  <si>
    <t>fac0121</t>
  </si>
  <si>
    <t>fac0123</t>
  </si>
  <si>
    <t>fac0015</t>
  </si>
  <si>
    <t>fac0128</t>
  </si>
  <si>
    <t>fac0130</t>
  </si>
  <si>
    <t>fac0139</t>
  </si>
  <si>
    <t>fac0141</t>
  </si>
  <si>
    <t>fac0143</t>
  </si>
  <si>
    <t>fac0144</t>
  </si>
  <si>
    <t>fac0151</t>
  </si>
  <si>
    <t>fac0153</t>
  </si>
  <si>
    <t>a0510_factor_fea_20250701</t>
  </si>
  <si>
    <t>fac0182</t>
  </si>
  <si>
    <t>fac0185</t>
  </si>
  <si>
    <t>fac0197</t>
  </si>
  <si>
    <t>a0566_factor_fea_20250701</t>
  </si>
  <si>
    <t>fac0198</t>
  </si>
  <si>
    <t>fac0231</t>
  </si>
  <si>
    <t>a0514_factor_fea_20250701</t>
  </si>
  <si>
    <t>a0572_factor_fea_20250701</t>
  </si>
  <si>
    <t>fac0232</t>
  </si>
  <si>
    <t>fac0233</t>
  </si>
  <si>
    <t>fac0062</t>
  </si>
  <si>
    <t>fac0234</t>
  </si>
  <si>
    <t>fac0235</t>
  </si>
  <si>
    <t>fac0236</t>
  </si>
  <si>
    <t>fac0238</t>
  </si>
  <si>
    <t>a0500_factor_fea_20250701</t>
  </si>
  <si>
    <t>fac0239</t>
  </si>
  <si>
    <t>a0526_factor_fea_20250701</t>
  </si>
  <si>
    <t>fac0241</t>
  </si>
  <si>
    <t>fac0242</t>
  </si>
  <si>
    <t>fac0244</t>
  </si>
  <si>
    <t>fac0245</t>
  </si>
  <si>
    <t>a0584_factor_fea_20250701</t>
  </si>
  <si>
    <t>fac0246</t>
  </si>
  <si>
    <t>fac0249</t>
  </si>
  <si>
    <t>fac0250</t>
  </si>
  <si>
    <t>fac0261</t>
  </si>
  <si>
    <t>fac0262</t>
  </si>
  <si>
    <t>a0535_factor_fea_20250701</t>
  </si>
  <si>
    <t>fac0263</t>
  </si>
  <si>
    <t>fac0270</t>
  </si>
  <si>
    <t>fac0280</t>
  </si>
  <si>
    <t>fac0282</t>
  </si>
  <si>
    <t>fac0138</t>
  </si>
  <si>
    <t>a0593_factor_fea_20250701</t>
  </si>
  <si>
    <t>fac0295</t>
  </si>
  <si>
    <t>fac0296</t>
  </si>
  <si>
    <t>a0518_factor_fea_20250701</t>
  </si>
  <si>
    <t>a0599_factor_fea_20250701</t>
  </si>
  <si>
    <t>fac0297</t>
  </si>
  <si>
    <t>fac0298</t>
  </si>
  <si>
    <t>fac0306</t>
  </si>
  <si>
    <t>fac0332</t>
  </si>
  <si>
    <t>fac0358</t>
  </si>
  <si>
    <t>fac0360</t>
  </si>
  <si>
    <t>fac0193</t>
  </si>
  <si>
    <t>fac0365</t>
  </si>
  <si>
    <t>fac0194</t>
  </si>
  <si>
    <t>a0547_factor_fea_20250701</t>
  </si>
  <si>
    <t>fac0367</t>
  </si>
  <si>
    <t>fac0368</t>
  </si>
  <si>
    <t>fac0378</t>
  </si>
  <si>
    <t>fac0206</t>
  </si>
  <si>
    <t>a0554_factor_fea_20250701</t>
  </si>
  <si>
    <t>a0611_factor_fea_20250701</t>
  </si>
  <si>
    <t>fac0380</t>
  </si>
  <si>
    <t>fac0396</t>
  </si>
  <si>
    <t>fac0397</t>
  </si>
  <si>
    <t>fac0449</t>
  </si>
  <si>
    <t>a0559_factor_fea_20250701</t>
  </si>
  <si>
    <t>fac0456</t>
  </si>
  <si>
    <t>fac0475</t>
  </si>
  <si>
    <t>fac0477</t>
  </si>
  <si>
    <t>fac0478</t>
  </si>
  <si>
    <t>fac0479</t>
  </si>
  <si>
    <t>a0564_factor_fea_20250701</t>
  </si>
  <si>
    <t>fac0480</t>
  </si>
  <si>
    <t>fac0481</t>
  </si>
  <si>
    <t>fac0482</t>
  </si>
  <si>
    <t>fac0490</t>
  </si>
  <si>
    <t>fac0491</t>
  </si>
  <si>
    <t>fac0492</t>
  </si>
  <si>
    <t>a0627_factor_fea_20250701</t>
  </si>
  <si>
    <t>fac0493</t>
  </si>
  <si>
    <t>a0569_factor_fea_20250701</t>
  </si>
  <si>
    <t>fac0494</t>
  </si>
  <si>
    <t>fac0495</t>
  </si>
  <si>
    <t>fac0503</t>
  </si>
  <si>
    <t>fac0504</t>
  </si>
  <si>
    <t>fac0505</t>
  </si>
  <si>
    <t>fac0506</t>
  </si>
  <si>
    <t>a0551_factor_fea_20250701</t>
  </si>
  <si>
    <t>fac0507</t>
  </si>
  <si>
    <t>fac0514</t>
  </si>
  <si>
    <t>fac0621</t>
  </si>
  <si>
    <t>fac0651</t>
  </si>
  <si>
    <t>fac0333</t>
  </si>
  <si>
    <t>fac0658</t>
  </si>
  <si>
    <t>fac0335</t>
  </si>
  <si>
    <t>a0557_factor_fea_20250701</t>
  </si>
  <si>
    <t>fac0659</t>
  </si>
  <si>
    <t>fac0337</t>
  </si>
  <si>
    <t>fac0660</t>
  </si>
  <si>
    <t>fac0339</t>
  </si>
  <si>
    <t>fac0661</t>
  </si>
  <si>
    <t>fac0347</t>
  </si>
  <si>
    <t>fac0664</t>
  </si>
  <si>
    <t>fac0665</t>
  </si>
  <si>
    <t>fac0666</t>
  </si>
  <si>
    <t>a0592_factor_fea_20250701</t>
  </si>
  <si>
    <t>fac0667</t>
  </si>
  <si>
    <t>fac0674</t>
  </si>
  <si>
    <t>fac0436</t>
  </si>
  <si>
    <t>fac0057</t>
  </si>
  <si>
    <t>fac0677</t>
  </si>
  <si>
    <t>fac0473</t>
  </si>
  <si>
    <t>fac0060</t>
  </si>
  <si>
    <t>fac0693</t>
  </si>
  <si>
    <t>fac0388</t>
  </si>
  <si>
    <t>fac0061</t>
  </si>
  <si>
    <t>fac0694</t>
  </si>
  <si>
    <t>fac0697</t>
  </si>
  <si>
    <t>fac0704</t>
  </si>
  <si>
    <t>fac0705</t>
  </si>
  <si>
    <t>fac0437</t>
  </si>
  <si>
    <t>fac0706</t>
  </si>
  <si>
    <t>fac0707</t>
  </si>
  <si>
    <t>fac0710</t>
  </si>
  <si>
    <t>fac0711</t>
  </si>
  <si>
    <t>fac0712</t>
  </si>
  <si>
    <t>fac0713</t>
  </si>
  <si>
    <t>fac0104</t>
  </si>
  <si>
    <t>fac0716</t>
  </si>
  <si>
    <t>fac0717</t>
  </si>
  <si>
    <t>fac0722</t>
  </si>
  <si>
    <t>a0610_factor_fea_20250701</t>
  </si>
  <si>
    <t>fac0723</t>
  </si>
  <si>
    <t>fac0589</t>
  </si>
  <si>
    <t>fac0725</t>
  </si>
  <si>
    <t>fac0591</t>
  </si>
  <si>
    <t>fac0586</t>
  </si>
  <si>
    <t>a0612_factor_fea_20250701</t>
  </si>
  <si>
    <t>fac0726</t>
  </si>
  <si>
    <t>fac0618</t>
  </si>
  <si>
    <t>fac0728</t>
  </si>
  <si>
    <t>fac0649</t>
  </si>
  <si>
    <t>fac0729</t>
  </si>
  <si>
    <t>fac0614</t>
  </si>
  <si>
    <t>a0586_factor_fea_20250701</t>
  </si>
  <si>
    <t>fac0730</t>
  </si>
  <si>
    <t>fac0617</t>
  </si>
  <si>
    <t>fac0731</t>
  </si>
  <si>
    <t>fac0732</t>
  </si>
  <si>
    <t>fac0750</t>
  </si>
  <si>
    <t>fac0676</t>
  </si>
  <si>
    <t>fac0622</t>
  </si>
  <si>
    <t>a0590_factor_fea_20250701</t>
  </si>
  <si>
    <t>fac0753</t>
  </si>
  <si>
    <t>fac0623</t>
  </si>
  <si>
    <t>fac0754</t>
  </si>
  <si>
    <t>fac0689</t>
  </si>
  <si>
    <t>fac0624</t>
  </si>
  <si>
    <t>fac0756</t>
  </si>
  <si>
    <t>fac0690</t>
  </si>
  <si>
    <t>fac0759</t>
  </si>
  <si>
    <t>fac0696</t>
  </si>
  <si>
    <t>fac0760</t>
  </si>
  <si>
    <t>fac0767</t>
  </si>
  <si>
    <t>fac0768</t>
  </si>
  <si>
    <t>fac0771</t>
  </si>
  <si>
    <t>fac0675</t>
  </si>
  <si>
    <t>fac0774</t>
  </si>
  <si>
    <t>fac0775</t>
  </si>
  <si>
    <t>fac0776</t>
  </si>
  <si>
    <t>fac0688</t>
  </si>
  <si>
    <t>fac0780</t>
  </si>
  <si>
    <t>fac0781</t>
  </si>
  <si>
    <t>fac0782</t>
  </si>
  <si>
    <t>fac0695</t>
  </si>
  <si>
    <t>a0604_factor_fea_20250701</t>
  </si>
  <si>
    <t>fac0783</t>
  </si>
  <si>
    <t>fac0784</t>
  </si>
  <si>
    <t>fac0785</t>
  </si>
  <si>
    <t>fac0741</t>
  </si>
  <si>
    <t>fac0789</t>
  </si>
  <si>
    <t>fac0790</t>
  </si>
  <si>
    <t>fac0751</t>
  </si>
  <si>
    <t>fac0791</t>
  </si>
  <si>
    <t>fac0260</t>
  </si>
  <si>
    <t>fac0792</t>
  </si>
  <si>
    <t>fac0793</t>
  </si>
  <si>
    <t>fac0755</t>
  </si>
  <si>
    <t>fac0794</t>
  </si>
  <si>
    <t>fac0796</t>
  </si>
  <si>
    <t>fac0757</t>
  </si>
  <si>
    <t>fac0727</t>
  </si>
  <si>
    <t>fac0038</t>
  </si>
  <si>
    <t>fac0798</t>
  </si>
  <si>
    <t>fac0278</t>
  </si>
  <si>
    <t>fac0799</t>
  </si>
  <si>
    <t>fac0800</t>
  </si>
  <si>
    <t>fac0804</t>
  </si>
  <si>
    <t>fac0805</t>
  </si>
  <si>
    <t>fac0806</t>
  </si>
  <si>
    <t>fac0350</t>
  </si>
  <si>
    <t>fac0811</t>
  </si>
  <si>
    <t>fac0745</t>
  </si>
  <si>
    <t>fac0354</t>
  </si>
  <si>
    <t>fac0812</t>
  </si>
  <si>
    <t>fac0814</t>
  </si>
  <si>
    <t>a0623_factor_fea_20250701</t>
  </si>
  <si>
    <t>fac0361</t>
  </si>
  <si>
    <t>fac0357</t>
  </si>
  <si>
    <t>fac0823</t>
  </si>
  <si>
    <t>fac0362</t>
  </si>
  <si>
    <t>fac0827</t>
  </si>
  <si>
    <t>fac0359</t>
  </si>
  <si>
    <t>fac0828</t>
  </si>
  <si>
    <t>fac0070</t>
  </si>
  <si>
    <t>fac0830</t>
  </si>
  <si>
    <t>fac0364</t>
  </si>
  <si>
    <t>fac0832</t>
  </si>
  <si>
    <t>fac0081</t>
  </si>
  <si>
    <t>fac0382</t>
  </si>
  <si>
    <t>fac0366</t>
  </si>
  <si>
    <t>fac0834</t>
  </si>
  <si>
    <t>fac0835</t>
  </si>
  <si>
    <t>fac0765</t>
  </si>
  <si>
    <t>fac0836</t>
  </si>
  <si>
    <t>fac0837</t>
  </si>
  <si>
    <t>fac0844</t>
  </si>
  <si>
    <t>fac0845</t>
  </si>
  <si>
    <t>fac0850</t>
  </si>
  <si>
    <t>fac0115</t>
  </si>
  <si>
    <t>fac0854</t>
  </si>
  <si>
    <t>fac0855</t>
  </si>
  <si>
    <t>fac0856</t>
  </si>
  <si>
    <t>fac0857</t>
  </si>
  <si>
    <t>fac0859</t>
  </si>
  <si>
    <t>fac0027</t>
  </si>
  <si>
    <t>fac0601</t>
  </si>
  <si>
    <t>fac0861</t>
  </si>
  <si>
    <t>fac0829</t>
  </si>
  <si>
    <t>fac0602</t>
  </si>
  <si>
    <t>fac0552</t>
  </si>
  <si>
    <t>fac0862</t>
  </si>
  <si>
    <t>fac0863</t>
  </si>
  <si>
    <t>fac0831</t>
  </si>
  <si>
    <t>fac0797</t>
  </si>
  <si>
    <t>fac0616</t>
  </si>
  <si>
    <t>fac0656</t>
  </si>
  <si>
    <t>fac0864</t>
  </si>
  <si>
    <t>fac0657</t>
  </si>
  <si>
    <t>fac0865</t>
  </si>
  <si>
    <t>fac0630</t>
  </si>
  <si>
    <t>fac0866</t>
  </si>
  <si>
    <t>fac0633</t>
  </si>
  <si>
    <t>fac0663</t>
  </si>
  <si>
    <t>fac0867</t>
  </si>
  <si>
    <t>fac0635</t>
  </si>
  <si>
    <t>fac0869</t>
  </si>
  <si>
    <t>fac0636</t>
  </si>
  <si>
    <t>fac0873</t>
  </si>
  <si>
    <t>fac0874</t>
  </si>
  <si>
    <t>fac0824</t>
  </si>
  <si>
    <t>fac0875</t>
  </si>
  <si>
    <t>fac0892</t>
  </si>
  <si>
    <t>fac0893</t>
  </si>
  <si>
    <t>fac0894</t>
  </si>
  <si>
    <t>fac0910</t>
  </si>
  <si>
    <t>fac0911</t>
  </si>
  <si>
    <t>fac0912</t>
  </si>
  <si>
    <t>fac0913</t>
  </si>
  <si>
    <t>fac0914</t>
  </si>
  <si>
    <t>fac0847</t>
  </si>
  <si>
    <t>fac0338</t>
  </si>
  <si>
    <t>fac0915</t>
  </si>
  <si>
    <t>fac0916</t>
  </si>
  <si>
    <t>fac0922</t>
  </si>
  <si>
    <t>fac0709</t>
  </si>
  <si>
    <t>fac0923</t>
  </si>
  <si>
    <t>fac0924</t>
  </si>
  <si>
    <t>fac0903</t>
  </si>
  <si>
    <t>fac0925</t>
  </si>
  <si>
    <t>fac0904</t>
  </si>
  <si>
    <t>fac0926</t>
  </si>
  <si>
    <t>fac0927</t>
  </si>
  <si>
    <t>fac0931</t>
  </si>
  <si>
    <t>fac0932</t>
  </si>
  <si>
    <t>fac0167</t>
  </si>
  <si>
    <t>fac0933</t>
  </si>
  <si>
    <t>fac0587</t>
  </si>
  <si>
    <t>fac0934</t>
  </si>
  <si>
    <t>fac0303</t>
  </si>
  <si>
    <t>fac0935</t>
  </si>
  <si>
    <t>fac0936</t>
  </si>
  <si>
    <t>fac0724</t>
  </si>
  <si>
    <t>fac0943</t>
  </si>
  <si>
    <t>fac0628</t>
  </si>
  <si>
    <t>fac0944</t>
  </si>
  <si>
    <t>fac0945</t>
  </si>
  <si>
    <t>fac0375</t>
  </si>
  <si>
    <t>fac0631</t>
  </si>
  <si>
    <t>fac0946</t>
  </si>
  <si>
    <t>fac0376</t>
  </si>
  <si>
    <t>fac0947</t>
  </si>
  <si>
    <t>fac0953</t>
  </si>
  <si>
    <t>fac0389</t>
  </si>
  <si>
    <t>fac0954</t>
  </si>
  <si>
    <t>fac0762</t>
  </si>
  <si>
    <t>fac0955</t>
  </si>
  <si>
    <t>fac0476</t>
  </si>
  <si>
    <t>fac0956</t>
  </si>
  <si>
    <t>fac0502</t>
  </si>
  <si>
    <t>fac0766</t>
  </si>
  <si>
    <t>fac0957</t>
  </si>
  <si>
    <t>fac0772</t>
  </si>
  <si>
    <t>fac0963</t>
  </si>
  <si>
    <t>fac0964</t>
  </si>
  <si>
    <t>fac0627</t>
  </si>
  <si>
    <t>fac0758</t>
  </si>
  <si>
    <t>fac0965</t>
  </si>
  <si>
    <t>fac0761</t>
  </si>
  <si>
    <t>fac0966</t>
  </si>
  <si>
    <t>fac0952</t>
  </si>
  <si>
    <t>fac0967</t>
  </si>
  <si>
    <t>fac0968</t>
  </si>
  <si>
    <t>fac0972</t>
  </si>
  <si>
    <t>fac0973</t>
  </si>
  <si>
    <t>fac0769</t>
  </si>
  <si>
    <t>fac0974</t>
  </si>
  <si>
    <t>fac0975</t>
  </si>
  <si>
    <t>fac0976</t>
  </si>
  <si>
    <t>fac0982</t>
  </si>
  <si>
    <t>fac0981</t>
  </si>
  <si>
    <t>fac0983</t>
  </si>
  <si>
    <t>fac0984</t>
  </si>
  <si>
    <t>fac0985</t>
  </si>
  <si>
    <t>fac0802</t>
  </si>
  <si>
    <t>fac0988</t>
  </si>
  <si>
    <t>fac0708</t>
  </si>
  <si>
    <t>fac0803</t>
  </si>
  <si>
    <t>fac0991</t>
  </si>
  <si>
    <t>fac0987</t>
  </si>
  <si>
    <t>fac0992</t>
  </si>
  <si>
    <t>fac0993</t>
  </si>
  <si>
    <t>fac0994</t>
  </si>
  <si>
    <t>fac0997</t>
  </si>
  <si>
    <t>fac0998</t>
  </si>
  <si>
    <t>fac0714</t>
  </si>
  <si>
    <t>fac0801</t>
  </si>
  <si>
    <t>fac0999</t>
  </si>
  <si>
    <t>fac0720</t>
  </si>
  <si>
    <t>fac0995</t>
  </si>
  <si>
    <t>fac1000</t>
  </si>
  <si>
    <t>fac0721</t>
  </si>
  <si>
    <t>fac0996</t>
  </si>
  <si>
    <t>fac1001</t>
  </si>
  <si>
    <t>fac0743</t>
  </si>
  <si>
    <t>fac1003</t>
  </si>
  <si>
    <t>fac0744</t>
  </si>
  <si>
    <t>fac0815</t>
  </si>
  <si>
    <t>fac1008</t>
  </si>
  <si>
    <t>fac1009</t>
  </si>
  <si>
    <t>fac1010</t>
  </si>
  <si>
    <t>fac1014</t>
  </si>
  <si>
    <t>fac0833</t>
  </si>
  <si>
    <t>fac1002</t>
  </si>
  <si>
    <t>fac1015</t>
  </si>
  <si>
    <t>fac1016</t>
  </si>
  <si>
    <t>fac1006</t>
  </si>
  <si>
    <t>fac1021</t>
  </si>
  <si>
    <t>fac1007</t>
  </si>
  <si>
    <t>fac1022</t>
  </si>
  <si>
    <t>fac1032</t>
  </si>
  <si>
    <t>fac1042</t>
  </si>
  <si>
    <t>fac1044</t>
  </si>
  <si>
    <t>fac1045</t>
  </si>
  <si>
    <t>fac1046</t>
  </si>
  <si>
    <t>fac0919</t>
  </si>
  <si>
    <t>fac1047</t>
  </si>
  <si>
    <t>fac0921</t>
  </si>
  <si>
    <t>fac1018</t>
  </si>
  <si>
    <t>fac1048</t>
  </si>
  <si>
    <t>fac1019</t>
  </si>
  <si>
    <t>fac1049</t>
  </si>
  <si>
    <t>fac0868</t>
  </si>
  <si>
    <t>fac1020</t>
  </si>
  <si>
    <t>fac1066</t>
  </si>
  <si>
    <t>fac1068</t>
  </si>
  <si>
    <t>fac1108</t>
  </si>
  <si>
    <t>fac1023</t>
  </si>
  <si>
    <t>fac1109</t>
  </si>
  <si>
    <t>fac1024</t>
  </si>
  <si>
    <t>fac1135</t>
  </si>
  <si>
    <t>fac1137</t>
  </si>
  <si>
    <t>fac1163</t>
  </si>
  <si>
    <t>fac1176</t>
  </si>
  <si>
    <t>fac1177</t>
  </si>
  <si>
    <t>fac1186</t>
  </si>
  <si>
    <t>fac1067</t>
  </si>
  <si>
    <t>fac1207</t>
  </si>
  <si>
    <t>fac0853</t>
  </si>
  <si>
    <t>fac1208</t>
  </si>
  <si>
    <t>fac1064</t>
  </si>
  <si>
    <t>fac1209</t>
  </si>
  <si>
    <t>fac0808</t>
  </si>
  <si>
    <t>fac1210</t>
  </si>
  <si>
    <t>fac1213</t>
  </si>
  <si>
    <t>fac1133</t>
  </si>
  <si>
    <t>fac1136</t>
  </si>
  <si>
    <t>fac1214</t>
  </si>
  <si>
    <t>fac0825</t>
  </si>
  <si>
    <t>fac1215</t>
  </si>
  <si>
    <t>fac1216</t>
  </si>
  <si>
    <t>fac1160</t>
  </si>
  <si>
    <t>fac1175</t>
  </si>
  <si>
    <t>fac1217</t>
  </si>
  <si>
    <t>fac1161</t>
  </si>
  <si>
    <t>fac0807</t>
  </si>
  <si>
    <t>fac1218</t>
  </si>
  <si>
    <t>fac0905</t>
  </si>
  <si>
    <t>fac1219</t>
  </si>
  <si>
    <t>fac0906</t>
  </si>
  <si>
    <t>fac1220</t>
  </si>
  <si>
    <t>fac0908</t>
  </si>
  <si>
    <t>fac1231</t>
  </si>
  <si>
    <t>fac0909</t>
  </si>
  <si>
    <t>fac0937</t>
  </si>
  <si>
    <t>fac1232</t>
  </si>
  <si>
    <t>fac1187</t>
  </si>
  <si>
    <t>fac0979</t>
  </si>
  <si>
    <t>fac1233</t>
  </si>
  <si>
    <t>fac1206</t>
  </si>
  <si>
    <t>fac1235</t>
  </si>
  <si>
    <t>fac1236</t>
  </si>
  <si>
    <t>fac1237</t>
  </si>
  <si>
    <t>fac0920</t>
  </si>
  <si>
    <t>fac0948</t>
  </si>
  <si>
    <t>fac1248</t>
  </si>
  <si>
    <t>fac1252</t>
  </si>
  <si>
    <t>fac0986</t>
  </si>
  <si>
    <t>fac1255</t>
  </si>
  <si>
    <t>fac1256</t>
  </si>
  <si>
    <t>fac0990</t>
  </si>
  <si>
    <t>fac1260</t>
  </si>
  <si>
    <t>fac1261</t>
  </si>
  <si>
    <t>fac1234</t>
  </si>
  <si>
    <t>fac1262</t>
  </si>
  <si>
    <t>fac0928</t>
  </si>
  <si>
    <t>fac1263</t>
  </si>
  <si>
    <t>fac0930</t>
  </si>
  <si>
    <t>fac1239</t>
  </si>
  <si>
    <t>fac1270</t>
  </si>
  <si>
    <t>fac1246</t>
  </si>
  <si>
    <t>fac1276</t>
  </si>
  <si>
    <t>fac1224</t>
  </si>
  <si>
    <t>fac1247</t>
  </si>
  <si>
    <t>fac1277</t>
  </si>
  <si>
    <t>fac1225</t>
  </si>
  <si>
    <t>fac0969</t>
  </si>
  <si>
    <t>fac1278</t>
  </si>
  <si>
    <t>fac0970</t>
  </si>
  <si>
    <t>fac1324</t>
  </si>
  <si>
    <t>fac1259</t>
  </si>
  <si>
    <t>fac1325</t>
  </si>
  <si>
    <t>fac1326</t>
  </si>
  <si>
    <t>fac0938</t>
  </si>
  <si>
    <t>fac1327</t>
  </si>
  <si>
    <t>fac0942</t>
  </si>
  <si>
    <t>fac1328</t>
  </si>
  <si>
    <t>fac1329</t>
  </si>
  <si>
    <t>fac1330</t>
  </si>
  <si>
    <t>fac1331</t>
  </si>
  <si>
    <t>fac1332</t>
  </si>
  <si>
    <t>fac1333</t>
  </si>
  <si>
    <t>fac1334</t>
  </si>
  <si>
    <t>fac0949</t>
  </si>
  <si>
    <t>fac1335</t>
  </si>
  <si>
    <t>fac0950</t>
  </si>
  <si>
    <t>fac1026</t>
  </si>
  <si>
    <t>fac1336</t>
  </si>
  <si>
    <t>fac1337</t>
  </si>
  <si>
    <t>fac1338</t>
  </si>
  <si>
    <t>fac1339</t>
  </si>
  <si>
    <t>fac1340</t>
  </si>
  <si>
    <t>fac1345</t>
  </si>
  <si>
    <t>fac1346</t>
  </si>
  <si>
    <t>fac1347</t>
  </si>
  <si>
    <t>fac1104</t>
  </si>
  <si>
    <t>fac1349</t>
  </si>
  <si>
    <t>fac1342</t>
  </si>
  <si>
    <t>fac0960</t>
  </si>
  <si>
    <t>fac1105</t>
  </si>
  <si>
    <t>fac1350</t>
  </si>
  <si>
    <t>fac1344</t>
  </si>
  <si>
    <t>fac1106</t>
  </si>
  <si>
    <t>fac1351</t>
  </si>
  <si>
    <t>fac1162</t>
  </si>
  <si>
    <t>fac1352</t>
  </si>
  <si>
    <t>fac1353</t>
  </si>
  <si>
    <t>fac1354</t>
  </si>
  <si>
    <t>fac1355</t>
  </si>
  <si>
    <t>fac1356</t>
  </si>
  <si>
    <t>fac0989</t>
  </si>
  <si>
    <t>fac1357</t>
  </si>
  <si>
    <t>fac1358</t>
  </si>
  <si>
    <t>fac1359</t>
  </si>
  <si>
    <t>fac1360</t>
  </si>
  <si>
    <t>fac1212</t>
  </si>
  <si>
    <t>fac1361</t>
  </si>
  <si>
    <t>fac1362</t>
  </si>
  <si>
    <t>fac1025</t>
  </si>
  <si>
    <t>fac1363</t>
  </si>
  <si>
    <t>fac1364</t>
  </si>
  <si>
    <t>fac1365</t>
  </si>
  <si>
    <t>fac1037</t>
  </si>
  <si>
    <t>fac1366</t>
  </si>
  <si>
    <t>fac1041</t>
  </si>
  <si>
    <t>fac1241</t>
  </si>
  <si>
    <t>fac1367</t>
  </si>
  <si>
    <t>fac1368</t>
  </si>
  <si>
    <t>fac1373</t>
  </si>
  <si>
    <t>fac1374</t>
  </si>
  <si>
    <t>fac1370</t>
  </si>
  <si>
    <t>fac1375</t>
  </si>
  <si>
    <t>fac1377</t>
  </si>
  <si>
    <t>fac1103</t>
  </si>
  <si>
    <t>fac1378</t>
  </si>
  <si>
    <t>fac1379</t>
  </si>
  <si>
    <t>fac1380</t>
  </si>
  <si>
    <t>fac1381</t>
  </si>
  <si>
    <t>fac1382</t>
  </si>
  <si>
    <t>fac1386</t>
  </si>
  <si>
    <t>fac1387</t>
  </si>
  <si>
    <t>fac1188</t>
  </si>
  <si>
    <t>fac1388</t>
  </si>
  <si>
    <t>fac1343</t>
  </si>
  <si>
    <t>fac1389</t>
  </si>
  <si>
    <t>fac1390</t>
  </si>
  <si>
    <t>fac1031</t>
  </si>
  <si>
    <t>fac1392</t>
  </si>
  <si>
    <t>fac1393</t>
  </si>
  <si>
    <t>fac1394</t>
  </si>
  <si>
    <t>fac1395</t>
  </si>
  <si>
    <t>fac1396</t>
  </si>
  <si>
    <t>fac1397</t>
  </si>
  <si>
    <t>fac1398</t>
  </si>
  <si>
    <t>fac1189</t>
  </si>
  <si>
    <t>fac1399</t>
  </si>
  <si>
    <t>fac1407</t>
  </si>
  <si>
    <t>fac1403</t>
  </si>
  <si>
    <t>fac1408</t>
  </si>
  <si>
    <t>fac1341</t>
  </si>
  <si>
    <t>fac1404</t>
  </si>
  <si>
    <t>fac1409</t>
  </si>
  <si>
    <t>fac1348</t>
  </si>
  <si>
    <t>fac1405</t>
  </si>
  <si>
    <t>fac1416</t>
  </si>
  <si>
    <t>fac1406</t>
  </si>
  <si>
    <t>fac1422</t>
  </si>
  <si>
    <t>fac1423</t>
  </si>
  <si>
    <t>fac1424</t>
  </si>
  <si>
    <t>fac1371</t>
  </si>
  <si>
    <t>fac1425</t>
  </si>
  <si>
    <t>fac1376</t>
  </si>
  <si>
    <t>fac1410</t>
  </si>
  <si>
    <t>fac1426</t>
  </si>
  <si>
    <t>fac1372</t>
  </si>
  <si>
    <t>fac1411</t>
  </si>
  <si>
    <t>fac1427</t>
  </si>
  <si>
    <t>fac1415</t>
  </si>
  <si>
    <t>fac1428</t>
  </si>
  <si>
    <t>fac1475</t>
  </si>
  <si>
    <t>fac1429</t>
  </si>
  <si>
    <t>fac1492</t>
  </si>
  <si>
    <t>fac1421</t>
  </si>
  <si>
    <t>fac1417</t>
  </si>
  <si>
    <t>fac1430</t>
  </si>
  <si>
    <t>fac1493</t>
  </si>
  <si>
    <t>fac1418</t>
  </si>
  <si>
    <t>fac1434</t>
  </si>
  <si>
    <t>fac1494</t>
  </si>
  <si>
    <t>fac1436</t>
  </si>
  <si>
    <t>fac1419</t>
  </si>
  <si>
    <t>fac1435</t>
  </si>
  <si>
    <t>fac1495</t>
  </si>
  <si>
    <t>fac1420</t>
  </si>
  <si>
    <t>fac1499</t>
  </si>
  <si>
    <t>fac1480</t>
  </si>
  <si>
    <t>fac1437</t>
  </si>
  <si>
    <t>fac1500</t>
  </si>
  <si>
    <t>fac1482</t>
  </si>
  <si>
    <t>fac1438</t>
  </si>
  <si>
    <t>fac1501</t>
  </si>
  <si>
    <t>fac1483</t>
  </si>
  <si>
    <t>fac1439</t>
  </si>
  <si>
    <t>fac1502</t>
  </si>
  <si>
    <t>fac1440</t>
  </si>
  <si>
    <t>fac1503</t>
  </si>
  <si>
    <t>fac1507</t>
  </si>
  <si>
    <t>fac1510</t>
  </si>
  <si>
    <t>fac1511</t>
  </si>
  <si>
    <t>fac1496</t>
  </si>
  <si>
    <t>fac1512</t>
  </si>
  <si>
    <t>fac1516</t>
  </si>
  <si>
    <t>fac1517</t>
  </si>
  <si>
    <t>fac1431</t>
  </si>
  <si>
    <t>fac1497</t>
  </si>
  <si>
    <t>fac1518</t>
  </si>
  <si>
    <t>fac1504</t>
  </si>
  <si>
    <t>fac1432</t>
  </si>
  <si>
    <t>fac1535</t>
  </si>
  <si>
    <t>fac1433</t>
  </si>
  <si>
    <t>fac1536</t>
  </si>
  <si>
    <t>fac1537</t>
  </si>
  <si>
    <t>fac1506</t>
  </si>
  <si>
    <t>fac1538</t>
  </si>
  <si>
    <t>fac1539</t>
  </si>
  <si>
    <t>fac1498</t>
  </si>
  <si>
    <t>fac1505</t>
  </si>
  <si>
    <t>fac1540</t>
  </si>
  <si>
    <t>fac1542</t>
  </si>
  <si>
    <t>fac1520</t>
  </si>
  <si>
    <t>fac1588</t>
  </si>
  <si>
    <t>fac1523</t>
  </si>
  <si>
    <t>fac1513</t>
  </si>
  <si>
    <t>fac1589</t>
  </si>
  <si>
    <t>fac1590</t>
  </si>
  <si>
    <t>fac1591</t>
  </si>
  <si>
    <t>fac1592</t>
  </si>
  <si>
    <t>fac1514</t>
  </si>
  <si>
    <t>fac1593</t>
  </si>
  <si>
    <t>fac1533</t>
  </si>
  <si>
    <t>fac1508</t>
  </si>
  <si>
    <t>fac1515</t>
  </si>
  <si>
    <t>fac1594</t>
  </si>
  <si>
    <t>fac1534</t>
  </si>
  <si>
    <t>fac1509</t>
  </si>
  <si>
    <t>fac1595</t>
  </si>
  <si>
    <t>fac1596</t>
  </si>
  <si>
    <t>fac1522</t>
  </si>
  <si>
    <t>fac1597</t>
  </si>
  <si>
    <t>fac1598</t>
  </si>
  <si>
    <t>fac1524</t>
  </si>
  <si>
    <t>fac1599</t>
  </si>
  <si>
    <t>fac1527</t>
  </si>
  <si>
    <t>fac1600</t>
  </si>
  <si>
    <t>fac1528</t>
  </si>
  <si>
    <t>fac1601</t>
  </si>
  <si>
    <t>fac1529</t>
  </si>
  <si>
    <t>fac1602</t>
  </si>
  <si>
    <t>fac1530</t>
  </si>
  <si>
    <t>fac1532</t>
  </si>
  <si>
    <t>fac1603</t>
  </si>
  <si>
    <t>fac1604</t>
  </si>
  <si>
    <t>fac1605</t>
  </si>
  <si>
    <t>fac1606</t>
  </si>
  <si>
    <t>fac1607</t>
  </si>
  <si>
    <t>fac1608</t>
  </si>
  <si>
    <t>fac1543</t>
  </si>
  <si>
    <t>fac1609</t>
  </si>
  <si>
    <t>fac1541</t>
  </si>
  <si>
    <t>fac1544</t>
  </si>
  <si>
    <t>fac1610</t>
  </si>
  <si>
    <t>fac1545</t>
  </si>
  <si>
    <t>fac1611</t>
  </si>
  <si>
    <t>fac1546</t>
  </si>
  <si>
    <t>fac1612</t>
  </si>
  <si>
    <t>fac1629</t>
  </si>
  <si>
    <t>fac1630</t>
  </si>
  <si>
    <t>fac1639</t>
  </si>
  <si>
    <t>fac1640</t>
  </si>
  <si>
    <t>fac1654</t>
  </si>
  <si>
    <t>fac1657</t>
  </si>
  <si>
    <t>fac1663</t>
  </si>
  <si>
    <t>fac1664</t>
  </si>
  <si>
    <t>fac1665</t>
  </si>
  <si>
    <t>fac1666</t>
  </si>
  <si>
    <t>fac1667</t>
  </si>
  <si>
    <t>fac1668</t>
  </si>
  <si>
    <t>fac1669</t>
  </si>
  <si>
    <t>fac1670</t>
  </si>
  <si>
    <t>fac1626</t>
  </si>
  <si>
    <t>fac1671</t>
  </si>
  <si>
    <t>fac1673</t>
  </si>
  <si>
    <t>fac1676</t>
  </si>
  <si>
    <t>fac1678</t>
  </si>
  <si>
    <t>fac1652</t>
  </si>
  <si>
    <t>fac1680</t>
  </si>
  <si>
    <t>fac1681</t>
  </si>
  <si>
    <t>fac1682</t>
  </si>
  <si>
    <t>fac1661</t>
  </si>
  <si>
    <t>fac1683</t>
  </si>
  <si>
    <t>fac1684</t>
  </si>
  <si>
    <t>fac1685</t>
  </si>
  <si>
    <t>fac1686</t>
  </si>
  <si>
    <t>fac1687</t>
  </si>
  <si>
    <t>fac1688</t>
  </si>
  <si>
    <t>fac1689</t>
  </si>
  <si>
    <t>fac1636</t>
  </si>
  <si>
    <t>fac1690</t>
  </si>
  <si>
    <t>fac1691</t>
  </si>
  <si>
    <t>fac1655</t>
  </si>
  <si>
    <t>fac1692</t>
  </si>
  <si>
    <t>fac1693</t>
  </si>
  <si>
    <t>fac1694</t>
  </si>
  <si>
    <t>fac1706</t>
  </si>
  <si>
    <t>fac1708</t>
  </si>
  <si>
    <t>fac1711</t>
  </si>
  <si>
    <t>fac1712</t>
  </si>
  <si>
    <t>fac1716</t>
  </si>
  <si>
    <t>fac1725</t>
  </si>
  <si>
    <t>fac1735</t>
  </si>
  <si>
    <t>fac1739</t>
  </si>
  <si>
    <t>fac1740</t>
  </si>
  <si>
    <t>fac1741</t>
  </si>
  <si>
    <t>fac1742</t>
  </si>
  <si>
    <t>fac1745</t>
  </si>
  <si>
    <t>fac1749</t>
  </si>
  <si>
    <t>fac1750</t>
  </si>
  <si>
    <t>fac1751</t>
  </si>
  <si>
    <t>fac1752</t>
  </si>
  <si>
    <t>fac1760</t>
  </si>
  <si>
    <t>fac1766</t>
  </si>
  <si>
    <t>fac1767</t>
  </si>
  <si>
    <t>fac1744</t>
  </si>
  <si>
    <t>fac1769</t>
  </si>
  <si>
    <t>fac1771</t>
  </si>
  <si>
    <t>fac1775</t>
  </si>
  <si>
    <t>fac1726</t>
  </si>
  <si>
    <t>fac1777</t>
  </si>
  <si>
    <t>fac1732</t>
  </si>
  <si>
    <t>fac1779</t>
  </si>
  <si>
    <t>fac1781</t>
  </si>
  <si>
    <t>fac1782</t>
  </si>
  <si>
    <t>fac1783</t>
  </si>
  <si>
    <t>fac1784</t>
  </si>
  <si>
    <t>fac1791</t>
  </si>
  <si>
    <t>fac1792</t>
  </si>
  <si>
    <t>fac1793</t>
  </si>
  <si>
    <t>fac1723</t>
  </si>
  <si>
    <t>fac1814</t>
  </si>
  <si>
    <t>fac1815</t>
  </si>
  <si>
    <t>fac1816</t>
  </si>
  <si>
    <t>fac1817</t>
  </si>
  <si>
    <t>fac1828</t>
  </si>
  <si>
    <t>fac1832</t>
  </si>
  <si>
    <t>fac1838</t>
  </si>
  <si>
    <t>fac1734</t>
  </si>
  <si>
    <t>fac1843</t>
  </si>
  <si>
    <t>fac1851</t>
  </si>
  <si>
    <t>fac1794</t>
  </si>
  <si>
    <t>fac1854</t>
  </si>
  <si>
    <t>fac1856</t>
  </si>
  <si>
    <t>fac1748</t>
  </si>
  <si>
    <t>fac1885</t>
  </si>
  <si>
    <t>fac1895</t>
  </si>
  <si>
    <t>fac1898</t>
  </si>
  <si>
    <t>fac1904</t>
  </si>
  <si>
    <t>fac1905</t>
  </si>
  <si>
    <t>fac1835</t>
  </si>
  <si>
    <t>fac1755</t>
  </si>
  <si>
    <t>fac1906</t>
  </si>
  <si>
    <t>fac1907</t>
  </si>
  <si>
    <t>fac1928</t>
  </si>
  <si>
    <t>fac1930</t>
  </si>
  <si>
    <t>fac1754</t>
  </si>
  <si>
    <t>fac1931</t>
  </si>
  <si>
    <t>fac1932</t>
  </si>
  <si>
    <t>fac1933</t>
  </si>
  <si>
    <t>fac1934</t>
  </si>
  <si>
    <t>fac1897</t>
  </si>
  <si>
    <t>fac1935</t>
  </si>
  <si>
    <t>fac1936</t>
  </si>
  <si>
    <t>fac1937</t>
  </si>
  <si>
    <t>fac1938</t>
  </si>
  <si>
    <t>fac1812</t>
  </si>
  <si>
    <t>fac1939</t>
  </si>
  <si>
    <t>fac1962</t>
  </si>
  <si>
    <t>fac1918</t>
  </si>
  <si>
    <t>fac1963</t>
  </si>
  <si>
    <t>fac1976</t>
  </si>
  <si>
    <t>fac1980</t>
  </si>
  <si>
    <t>fac1981</t>
  </si>
  <si>
    <t>fac1982</t>
  </si>
  <si>
    <t>fac1841</t>
  </si>
  <si>
    <t>fac1983</t>
  </si>
  <si>
    <t>fac1984</t>
  </si>
  <si>
    <t>fac1990</t>
  </si>
  <si>
    <t>fac1993</t>
  </si>
  <si>
    <t>fac1859</t>
  </si>
  <si>
    <t>fac1995</t>
  </si>
  <si>
    <t>fac1861</t>
  </si>
  <si>
    <t>fac2001</t>
  </si>
  <si>
    <t>fac1863</t>
  </si>
  <si>
    <t>fac2002</t>
  </si>
  <si>
    <t>fac1865</t>
  </si>
  <si>
    <t>fac2003</t>
  </si>
  <si>
    <t>fac1872</t>
  </si>
  <si>
    <t>fac2004</t>
  </si>
  <si>
    <t>fac1875</t>
  </si>
  <si>
    <t>fac2005</t>
  </si>
  <si>
    <t>fac1877</t>
  </si>
  <si>
    <t>fac2006</t>
  </si>
  <si>
    <t>fac1858</t>
  </si>
  <si>
    <t>fac1884</t>
  </si>
  <si>
    <t>fac2007</t>
  </si>
  <si>
    <t>fac2008</t>
  </si>
  <si>
    <t>fac1888</t>
  </si>
  <si>
    <t>fac1887</t>
  </si>
  <si>
    <t>fac2009</t>
  </si>
  <si>
    <t>fac2011</t>
  </si>
  <si>
    <t>fac1989</t>
  </si>
  <si>
    <t>fac1894</t>
  </si>
  <si>
    <t>fac1889</t>
  </si>
  <si>
    <t>fac2012</t>
  </si>
  <si>
    <t>fac1864</t>
  </si>
  <si>
    <t>fac2013</t>
  </si>
  <si>
    <t>fac2014</t>
  </si>
  <si>
    <t>fac2017</t>
  </si>
  <si>
    <t>fac1996</t>
  </si>
  <si>
    <t>fac1899</t>
  </si>
  <si>
    <t>fac1876</t>
  </si>
  <si>
    <t>fac2098</t>
  </si>
  <si>
    <t>fac2099</t>
  </si>
  <si>
    <t>fac2100</t>
  </si>
  <si>
    <t>fac2101</t>
  </si>
  <si>
    <t>fac2102</t>
  </si>
  <si>
    <t>fac2104</t>
  </si>
  <si>
    <t>fac2105</t>
  </si>
  <si>
    <t>fac2106</t>
  </si>
  <si>
    <t>fac2111</t>
  </si>
  <si>
    <t>fac2113</t>
  </si>
  <si>
    <t>fac2118</t>
  </si>
  <si>
    <t>fac2119</t>
  </si>
  <si>
    <t>fac2121</t>
  </si>
  <si>
    <t>fac2122</t>
  </si>
  <si>
    <t>fac2015</t>
  </si>
  <si>
    <t>fac2123</t>
  </si>
  <si>
    <t>fac2124</t>
  </si>
  <si>
    <t>fac2018</t>
  </si>
  <si>
    <t>fac2125</t>
  </si>
  <si>
    <t>fac2126</t>
  </si>
  <si>
    <t>fac2127</t>
  </si>
  <si>
    <t>fac2129</t>
  </si>
  <si>
    <t>fac2130</t>
  </si>
  <si>
    <t>fac2131</t>
  </si>
  <si>
    <t>fac2132</t>
  </si>
  <si>
    <t>fac2134</t>
  </si>
  <si>
    <t>fac2135</t>
  </si>
  <si>
    <t>fac2136</t>
  </si>
  <si>
    <t>fac1991</t>
  </si>
  <si>
    <t>fac2137</t>
  </si>
  <si>
    <t>fac2138</t>
  </si>
  <si>
    <t>fac2120</t>
  </si>
  <si>
    <t>fac2139</t>
  </si>
  <si>
    <t>fac2140</t>
  </si>
  <si>
    <t>fac2142</t>
  </si>
  <si>
    <t>fac2143</t>
  </si>
  <si>
    <t>fac2145</t>
  </si>
  <si>
    <t>fac2148</t>
  </si>
  <si>
    <t>fac2149</t>
  </si>
  <si>
    <t>fac2150</t>
  </si>
  <si>
    <t>fac2151</t>
  </si>
  <si>
    <t>fac2155</t>
  </si>
  <si>
    <t>fac2156</t>
  </si>
  <si>
    <t>fac2157</t>
  </si>
  <si>
    <t>fac2158</t>
  </si>
  <si>
    <t>fac2160</t>
  </si>
  <si>
    <t>fac2161</t>
  </si>
  <si>
    <t>fac2162</t>
  </si>
  <si>
    <t>fac2163</t>
  </si>
  <si>
    <t>fac2164</t>
  </si>
  <si>
    <t>fac2165</t>
  </si>
  <si>
    <t>fac2166</t>
  </si>
  <si>
    <t>fac2168</t>
  </si>
  <si>
    <t>fac2115</t>
  </si>
  <si>
    <t>fac2169</t>
  </si>
  <si>
    <t>fac2174</t>
  </si>
  <si>
    <t>fac2175</t>
  </si>
  <si>
    <t>fac2176</t>
  </si>
  <si>
    <t>fac2177</t>
  </si>
  <si>
    <t>fac2192</t>
  </si>
  <si>
    <t>fac2193</t>
  </si>
  <si>
    <t>fac2194</t>
  </si>
  <si>
    <t>fac2195</t>
  </si>
  <si>
    <t>fac2196</t>
  </si>
  <si>
    <t>fac2197</t>
  </si>
  <si>
    <t>fac2198</t>
  </si>
  <si>
    <t>fac2199</t>
  </si>
  <si>
    <t>fac2200</t>
  </si>
  <si>
    <t>fac2201</t>
  </si>
  <si>
    <t>fac2202</t>
  </si>
  <si>
    <t>fac2203</t>
  </si>
  <si>
    <t>fac2216</t>
  </si>
  <si>
    <t>fac2217</t>
  </si>
  <si>
    <t>fac2218</t>
  </si>
  <si>
    <t>fac2219</t>
  </si>
  <si>
    <t>fac2220</t>
  </si>
  <si>
    <t>fac2221</t>
  </si>
  <si>
    <t>fac2229</t>
  </si>
  <si>
    <t>fac2230</t>
  </si>
  <si>
    <t>fac2249</t>
  </si>
  <si>
    <t>fac2253</t>
  </si>
  <si>
    <t>fac2254</t>
  </si>
  <si>
    <t>fac2265</t>
  </si>
  <si>
    <t>fac2267</t>
  </si>
  <si>
    <t>fac2271</t>
  </si>
  <si>
    <t>fac2274</t>
  </si>
  <si>
    <t>fac2275</t>
  </si>
  <si>
    <t>fac2280</t>
  </si>
  <si>
    <t>fac2281</t>
  </si>
  <si>
    <t>fac2282</t>
  </si>
  <si>
    <t>fac2283</t>
  </si>
  <si>
    <t>fac2284</t>
  </si>
  <si>
    <t>fac2288</t>
  </si>
  <si>
    <t>fac2289</t>
  </si>
  <si>
    <t>fac2290</t>
  </si>
  <si>
    <t>fac2297</t>
  </si>
  <si>
    <t>fac2301</t>
  </si>
  <si>
    <t>fac2302</t>
  </si>
  <si>
    <t>fac2303</t>
  </si>
  <si>
    <t>fac2305</t>
  </si>
  <si>
    <t>fac2307</t>
  </si>
  <si>
    <t>fac2308</t>
  </si>
  <si>
    <t>fac2309</t>
  </si>
  <si>
    <t>fac2304</t>
  </si>
  <si>
    <t>fac2310</t>
  </si>
  <si>
    <t>fac2311</t>
  </si>
  <si>
    <t>fac2306</t>
  </si>
  <si>
    <t>fac2312</t>
  </si>
  <si>
    <t>fac2314</t>
  </si>
  <si>
    <t>fac2315</t>
  </si>
  <si>
    <t>fac2316</t>
  </si>
  <si>
    <t>fac2322</t>
  </si>
  <si>
    <t>fac2323</t>
  </si>
  <si>
    <t>fac2324</t>
  </si>
  <si>
    <t>fac2318</t>
  </si>
  <si>
    <t>fac2354</t>
  </si>
  <si>
    <t>fac2320</t>
  </si>
  <si>
    <t>fac2251</t>
  </si>
  <si>
    <t>fac2355</t>
  </si>
  <si>
    <t>fac2321</t>
  </si>
  <si>
    <t>fac2356</t>
  </si>
  <si>
    <t>fac2357</t>
  </si>
  <si>
    <t>fac2358</t>
  </si>
  <si>
    <t>fac2326</t>
  </si>
  <si>
    <t>fac2361</t>
  </si>
  <si>
    <t>fac2328</t>
  </si>
  <si>
    <t>fac2327</t>
  </si>
  <si>
    <t>fac2362</t>
  </si>
  <si>
    <t>fac2363</t>
  </si>
  <si>
    <t>fac2366</t>
  </si>
  <si>
    <t>fac2367</t>
  </si>
  <si>
    <t>fac2368</t>
  </si>
  <si>
    <t>fac2317</t>
  </si>
  <si>
    <t>fac2371</t>
  </si>
  <si>
    <t>fac2286</t>
  </si>
  <si>
    <t>fac2372</t>
  </si>
  <si>
    <t>fac2319</t>
  </si>
  <si>
    <t>fac2373</t>
  </si>
  <si>
    <t>fac2376</t>
  </si>
  <si>
    <t>fac2377</t>
  </si>
  <si>
    <t>fac2378</t>
  </si>
  <si>
    <t>fac2381</t>
  </si>
  <si>
    <t>fac2325</t>
  </si>
  <si>
    <t>fac2382</t>
  </si>
  <si>
    <t>fac2383</t>
  </si>
  <si>
    <t>fac2298</t>
  </si>
  <si>
    <t>fac2386</t>
  </si>
  <si>
    <t>fac2387</t>
  </si>
  <si>
    <t>fac2388</t>
  </si>
  <si>
    <t>fac2395</t>
  </si>
  <si>
    <t>fac2396</t>
  </si>
  <si>
    <t>fac2397</t>
  </si>
  <si>
    <t>fac2398</t>
  </si>
  <si>
    <t>fac2401</t>
  </si>
  <si>
    <t>fac2402</t>
  </si>
  <si>
    <t>fac2403</t>
  </si>
  <si>
    <t>fac2404</t>
  </si>
  <si>
    <t>fac2406</t>
  </si>
  <si>
    <t>fac2424</t>
  </si>
  <si>
    <t>fac2427</t>
  </si>
  <si>
    <t>fac2429</t>
  </si>
  <si>
    <t>fac2430</t>
  </si>
  <si>
    <t>fac2433</t>
  </si>
  <si>
    <t>fac2329</t>
  </si>
  <si>
    <t>fac2434</t>
  </si>
  <si>
    <t>fac2435</t>
  </si>
  <si>
    <t>fac2405</t>
  </si>
  <si>
    <t>fac2436</t>
  </si>
  <si>
    <t>fac2437</t>
  </si>
  <si>
    <t>fac2421</t>
  </si>
  <si>
    <t>fac2438</t>
  </si>
  <si>
    <t>fac2439</t>
  </si>
  <si>
    <t>fac2440</t>
  </si>
  <si>
    <t>fac2441</t>
  </si>
  <si>
    <t>fac2442</t>
  </si>
  <si>
    <t>fac2443</t>
  </si>
  <si>
    <t>fac2444</t>
  </si>
  <si>
    <t>fac2445</t>
  </si>
  <si>
    <t>fac2369</t>
  </si>
  <si>
    <t>fac2446</t>
  </si>
  <si>
    <t>fac2447</t>
  </si>
  <si>
    <t>fac2448</t>
  </si>
  <si>
    <t>fac2449</t>
  </si>
  <si>
    <t>fac2374</t>
  </si>
  <si>
    <t>fac2450</t>
  </si>
  <si>
    <t>fac2451</t>
  </si>
  <si>
    <t>fac2452</t>
  </si>
  <si>
    <t>fac2453</t>
  </si>
  <si>
    <t>fac2379</t>
  </si>
  <si>
    <t>fac2454</t>
  </si>
  <si>
    <t>fac2431</t>
  </si>
  <si>
    <t>fac2455</t>
  </si>
  <si>
    <t>fac2456</t>
  </si>
  <si>
    <t>fac2457</t>
  </si>
  <si>
    <t>fac2384</t>
  </si>
  <si>
    <t>fac2458</t>
  </si>
  <si>
    <t>fac2459</t>
  </si>
  <si>
    <t>fac2460</t>
  </si>
  <si>
    <t>fac2462</t>
  </si>
  <si>
    <t>fac2389</t>
  </si>
  <si>
    <t>fac2464</t>
  </si>
  <si>
    <t>fac2465</t>
  </si>
  <si>
    <t>fac2502</t>
  </si>
  <si>
    <t>fac2503</t>
  </si>
  <si>
    <t>fac2504</t>
  </si>
  <si>
    <t>fac2505</t>
  </si>
  <si>
    <t>fac2461</t>
  </si>
  <si>
    <t>fac2506</t>
  </si>
  <si>
    <t>fac2507</t>
  </si>
  <si>
    <t>fac2508</t>
  </si>
  <si>
    <t>fac2509</t>
  </si>
  <si>
    <t>fac2510</t>
  </si>
  <si>
    <t>fac2511</t>
  </si>
  <si>
    <t>fac2512</t>
  </si>
  <si>
    <t>fac2514</t>
  </si>
  <si>
    <t>fac2422</t>
  </si>
  <si>
    <t>fac2515</t>
  </si>
  <si>
    <t>fac2516</t>
  </si>
  <si>
    <t>fac2517</t>
  </si>
  <si>
    <t>fac2518</t>
  </si>
  <si>
    <t>fac2519</t>
  </si>
  <si>
    <t>fac2520</t>
  </si>
  <si>
    <t>fac2521</t>
  </si>
  <si>
    <t>fac2522</t>
  </si>
  <si>
    <t>fac2523</t>
  </si>
  <si>
    <t>fac2525</t>
  </si>
  <si>
    <t>fac2527</t>
  </si>
  <si>
    <t>fac2528</t>
  </si>
  <si>
    <t>fac2481</t>
  </si>
  <si>
    <t>fac2529</t>
  </si>
  <si>
    <t>fac2530</t>
  </si>
  <si>
    <t>fac2531</t>
  </si>
  <si>
    <t>fac2552</t>
  </si>
  <si>
    <t>fac2554</t>
  </si>
  <si>
    <t>fac2560</t>
  </si>
  <si>
    <t>fac2562</t>
  </si>
  <si>
    <t>fac2563</t>
  </si>
  <si>
    <t>fac2564</t>
  </si>
  <si>
    <t>fac2565</t>
  </si>
  <si>
    <t>fac2566</t>
  </si>
  <si>
    <t>fac2573</t>
  </si>
  <si>
    <t>fac2574</t>
  </si>
  <si>
    <t>fac2534</t>
  </si>
  <si>
    <t>fac2485</t>
  </si>
  <si>
    <t>fac2576</t>
  </si>
  <si>
    <t>fac2583</t>
  </si>
  <si>
    <t>fac2590</t>
  </si>
  <si>
    <t>fac2592</t>
  </si>
  <si>
    <t>fac2593</t>
  </si>
  <si>
    <t>fac2594</t>
  </si>
  <si>
    <t>fac2595</t>
  </si>
  <si>
    <t>fac2597</t>
  </si>
  <si>
    <t>fac2624</t>
  </si>
  <si>
    <t>fac2626</t>
  </si>
  <si>
    <t>fac2628</t>
  </si>
  <si>
    <t>fac2629</t>
  </si>
  <si>
    <t>fac2630</t>
  </si>
  <si>
    <t>fac2633</t>
  </si>
  <si>
    <t>fac2634</t>
  </si>
  <si>
    <t>fac2645</t>
  </si>
  <si>
    <t>fac2648</t>
  </si>
  <si>
    <t>fac2672</t>
  </si>
  <si>
    <t>fac2559</t>
  </si>
  <si>
    <t>fac2675</t>
  </si>
  <si>
    <t>fac2676</t>
  </si>
  <si>
    <t>fac2677</t>
  </si>
  <si>
    <t>fac2678</t>
  </si>
  <si>
    <t>fac2679</t>
  </si>
  <si>
    <t>fac2526</t>
  </si>
  <si>
    <t>fac2680</t>
  </si>
  <si>
    <t>fac2681</t>
  </si>
  <si>
    <t>fac2682</t>
  </si>
  <si>
    <t>fac2687</t>
  </si>
  <si>
    <t>fac2688</t>
  </si>
  <si>
    <t>fac2689</t>
  </si>
  <si>
    <t>fac2532</t>
  </si>
  <si>
    <t>fac2690</t>
  </si>
  <si>
    <t>fac2691</t>
  </si>
  <si>
    <t>fac2692</t>
  </si>
  <si>
    <t>fac2693</t>
  </si>
  <si>
    <t>fac2602</t>
  </si>
  <si>
    <t>fac2694</t>
  </si>
  <si>
    <t>fac2695</t>
  </si>
  <si>
    <t>fac2632</t>
  </si>
  <si>
    <t>fac2696</t>
  </si>
  <si>
    <t>fac2697</t>
  </si>
  <si>
    <t>fac2698</t>
  </si>
  <si>
    <t>fac2699</t>
  </si>
  <si>
    <t>fac2700</t>
  </si>
  <si>
    <t>fac2577</t>
  </si>
  <si>
    <t>fac2707</t>
  </si>
  <si>
    <t>fac2708</t>
  </si>
  <si>
    <t>fac2571</t>
  </si>
  <si>
    <t>fac2709</t>
  </si>
  <si>
    <t>fac2710</t>
  </si>
  <si>
    <t>fac2716</t>
  </si>
  <si>
    <t>fac2717</t>
  </si>
  <si>
    <t>fac2719</t>
  </si>
  <si>
    <t>fac2720</t>
  </si>
  <si>
    <t>fac2721</t>
  </si>
  <si>
    <t>fac2722</t>
  </si>
  <si>
    <t>fac2723</t>
  </si>
  <si>
    <t>fac2724</t>
  </si>
  <si>
    <t>fac2725</t>
  </si>
  <si>
    <t>fac2726</t>
  </si>
  <si>
    <t>fac2727</t>
  </si>
  <si>
    <t>fac2728</t>
  </si>
  <si>
    <t>fac2730</t>
  </si>
  <si>
    <t>fac2732</t>
  </si>
  <si>
    <t>fac2731</t>
  </si>
  <si>
    <t>fac2733</t>
  </si>
  <si>
    <t>fac2735</t>
  </si>
  <si>
    <t>fac2736</t>
  </si>
  <si>
    <t>fac2737</t>
  </si>
  <si>
    <t>fac2744</t>
  </si>
  <si>
    <t>fac2814</t>
  </si>
  <si>
    <t>fac2742</t>
  </si>
  <si>
    <t>fac2824</t>
  </si>
  <si>
    <t>fac2743</t>
  </si>
  <si>
    <t>fac2826</t>
  </si>
  <si>
    <t>fac2812</t>
  </si>
  <si>
    <t>fac2827</t>
  </si>
  <si>
    <t>fac2833</t>
  </si>
  <si>
    <t>fac2835</t>
  </si>
  <si>
    <t>fac2836</t>
  </si>
  <si>
    <t>fac2837</t>
  </si>
  <si>
    <t>fac2838</t>
  </si>
  <si>
    <t>fac2841</t>
  </si>
  <si>
    <t>fac2843</t>
  </si>
  <si>
    <t>fac2844</t>
  </si>
  <si>
    <t>fac2901</t>
  </si>
  <si>
    <t>fac2869</t>
  </si>
  <si>
    <t>fac2902</t>
  </si>
  <si>
    <t>fac2842</t>
  </si>
  <si>
    <t>fac2870</t>
  </si>
  <si>
    <t>fac2903</t>
  </si>
  <si>
    <t>fac2879</t>
  </si>
  <si>
    <t>fac2904</t>
  </si>
  <si>
    <t>fac2905</t>
  </si>
  <si>
    <t>fac2907</t>
  </si>
  <si>
    <t>fac2908</t>
  </si>
  <si>
    <t>fac2713</t>
  </si>
  <si>
    <t>fac2909</t>
  </si>
  <si>
    <t>fac2819</t>
  </si>
  <si>
    <t>fac2714</t>
  </si>
  <si>
    <t>fac2910</t>
  </si>
  <si>
    <t>fac2820</t>
  </si>
  <si>
    <t>fac2911</t>
  </si>
  <si>
    <t>fac2912</t>
  </si>
  <si>
    <t>fac2913</t>
  </si>
  <si>
    <t>fac2914</t>
  </si>
  <si>
    <t>fac2915</t>
  </si>
  <si>
    <t>fac2916</t>
  </si>
  <si>
    <t>fac2917</t>
  </si>
  <si>
    <t>fac2918</t>
  </si>
  <si>
    <t>fac2919</t>
  </si>
  <si>
    <t>fac2920</t>
  </si>
  <si>
    <t>fac2921</t>
  </si>
  <si>
    <t>fac2811</t>
  </si>
  <si>
    <t>fac2922</t>
  </si>
  <si>
    <t>fac2923</t>
  </si>
  <si>
    <t>fac2924</t>
  </si>
  <si>
    <t>fac2925</t>
  </si>
  <si>
    <t>fac2926</t>
  </si>
  <si>
    <t>fac2927</t>
  </si>
  <si>
    <t>fac2928</t>
  </si>
  <si>
    <t>fac2929</t>
  </si>
  <si>
    <t>fac2930</t>
  </si>
  <si>
    <t>fac2931</t>
  </si>
  <si>
    <t>fac2865</t>
  </si>
  <si>
    <t>fac2932</t>
  </si>
  <si>
    <t>fac2866</t>
  </si>
  <si>
    <t>fac2933</t>
  </si>
  <si>
    <t>fac2868</t>
  </si>
  <si>
    <t>fac2934</t>
  </si>
  <si>
    <t>fac2874</t>
  </si>
  <si>
    <t>fac2935</t>
  </si>
  <si>
    <t>fac2875</t>
  </si>
  <si>
    <t>fac2936</t>
  </si>
  <si>
    <t>fac2937</t>
  </si>
  <si>
    <t>fac2939</t>
  </si>
  <si>
    <t>fac2940</t>
  </si>
  <si>
    <t>fac2941</t>
  </si>
  <si>
    <t>fac2942</t>
  </si>
  <si>
    <t>fac2943</t>
  </si>
  <si>
    <t>fac2944</t>
  </si>
  <si>
    <t>fac2945</t>
  </si>
  <si>
    <t>fac2946</t>
  </si>
  <si>
    <t>fac2947</t>
  </si>
  <si>
    <t>fac2948</t>
  </si>
  <si>
    <t>fac2950</t>
  </si>
  <si>
    <t>fac2951</t>
  </si>
  <si>
    <t>fac2952</t>
  </si>
  <si>
    <t>fac2953</t>
  </si>
  <si>
    <t>fac2954</t>
  </si>
  <si>
    <t>fac2955</t>
  </si>
  <si>
    <t>fac2956</t>
  </si>
  <si>
    <t>fac2957</t>
  </si>
  <si>
    <t>fac2959</t>
  </si>
  <si>
    <t>fac2960</t>
  </si>
  <si>
    <t>fac2961</t>
  </si>
  <si>
    <t>fac2962</t>
  </si>
  <si>
    <t>fac2963</t>
  </si>
  <si>
    <t>fac2964</t>
  </si>
  <si>
    <t>fac2965</t>
  </si>
  <si>
    <t>fac2967</t>
  </si>
  <si>
    <t>fac2968</t>
  </si>
  <si>
    <t>fac2969</t>
  </si>
  <si>
    <t>fac2970</t>
  </si>
  <si>
    <t>fac2971</t>
  </si>
  <si>
    <t>fac2972</t>
  </si>
  <si>
    <t>fac2973</t>
  </si>
  <si>
    <t>fac2974</t>
  </si>
  <si>
    <t>fac2975</t>
  </si>
  <si>
    <t>fac2976</t>
  </si>
  <si>
    <t>fac2977</t>
  </si>
  <si>
    <t>fac2978</t>
  </si>
  <si>
    <t>fac2979</t>
  </si>
  <si>
    <t>fac2980</t>
  </si>
  <si>
    <t>fac2981</t>
  </si>
  <si>
    <t>fac2982</t>
  </si>
  <si>
    <t>fac2983</t>
  </si>
  <si>
    <t>fac2984</t>
  </si>
  <si>
    <t>fac2985</t>
  </si>
  <si>
    <t>fac2986</t>
  </si>
  <si>
    <t>fac2987</t>
  </si>
  <si>
    <t>fac2988</t>
  </si>
  <si>
    <t>fac2989</t>
  </si>
  <si>
    <t>fac2990</t>
  </si>
  <si>
    <t>fac2991</t>
  </si>
  <si>
    <t>fac2992</t>
  </si>
  <si>
    <t>fac2993</t>
  </si>
  <si>
    <t>fac2994</t>
  </si>
  <si>
    <t>fac2995</t>
  </si>
  <si>
    <t>fac2996</t>
  </si>
  <si>
    <t>fac2997</t>
  </si>
  <si>
    <t>fac2998</t>
  </si>
  <si>
    <t>fac2999</t>
  </si>
  <si>
    <t>fac3000</t>
  </si>
  <si>
    <t>fac3001</t>
  </si>
  <si>
    <t>fac3002</t>
  </si>
  <si>
    <t>fac3003</t>
  </si>
  <si>
    <t>fac3004</t>
  </si>
  <si>
    <t>fac3005</t>
  </si>
  <si>
    <t>fac3006</t>
  </si>
  <si>
    <t>fac3007</t>
  </si>
  <si>
    <t>fac3008</t>
  </si>
  <si>
    <t>fac3009</t>
  </si>
  <si>
    <t>fac3010</t>
  </si>
  <si>
    <t>fac3011</t>
  </si>
  <si>
    <t>fac3012</t>
  </si>
  <si>
    <t>fac3013</t>
  </si>
  <si>
    <t>fac3014</t>
  </si>
  <si>
    <t>fac3015</t>
  </si>
  <si>
    <t>fac3016</t>
  </si>
  <si>
    <t>fac3017</t>
  </si>
  <si>
    <t>fac3018</t>
  </si>
  <si>
    <t>fac3019</t>
  </si>
  <si>
    <t>fac3020</t>
  </si>
  <si>
    <t>fac3021</t>
  </si>
  <si>
    <t>fac3022</t>
  </si>
  <si>
    <t>fac3023</t>
  </si>
  <si>
    <t>fac3024</t>
  </si>
  <si>
    <t>fac3025</t>
  </si>
  <si>
    <t>fac3026</t>
  </si>
  <si>
    <t>fac3027</t>
  </si>
  <si>
    <t>fac3028</t>
  </si>
  <si>
    <t>fac3029</t>
  </si>
  <si>
    <t>fac3030</t>
  </si>
  <si>
    <t>fac3032</t>
  </si>
  <si>
    <t>fac3033</t>
  </si>
  <si>
    <t>fac3034</t>
  </si>
  <si>
    <t>fac3035</t>
  </si>
  <si>
    <t>fac3036</t>
  </si>
  <si>
    <t>fac3037</t>
  </si>
  <si>
    <t>fac3038</t>
  </si>
  <si>
    <t>fac3039</t>
  </si>
  <si>
    <t>fac3040</t>
  </si>
  <si>
    <t>fac3041</t>
  </si>
  <si>
    <t>fac3043</t>
  </si>
  <si>
    <t>fac3044</t>
  </si>
  <si>
    <t>fac3046</t>
  </si>
  <si>
    <t>fac3047</t>
  </si>
  <si>
    <t>fac3048</t>
  </si>
  <si>
    <t>fac3049</t>
  </si>
  <si>
    <t>fac3050</t>
  </si>
  <si>
    <t>fac3051</t>
  </si>
  <si>
    <t>fac3053</t>
  </si>
  <si>
    <t>fac3054</t>
  </si>
  <si>
    <t>threshold_0.5,5fold</t>
    <phoneticPr fontId="1" type="noConversion"/>
  </si>
  <si>
    <t>threshold_0.2,5fold</t>
    <phoneticPr fontId="1" type="noConversion"/>
  </si>
  <si>
    <t>Equal_Weight，4fold</t>
    <phoneticPr fontId="1" type="noConversion"/>
  </si>
  <si>
    <t>Equal_Weight，5fold</t>
    <phoneticPr fontId="1" type="noConversion"/>
  </si>
  <si>
    <t>top3,4fold</t>
    <phoneticPr fontId="1" type="noConversion"/>
  </si>
  <si>
    <t>top3,5fold</t>
    <phoneticPr fontId="1" type="noConversion"/>
  </si>
  <si>
    <t>PCA，4fold</t>
    <phoneticPr fontId="1" type="noConversion"/>
  </si>
  <si>
    <t>PCA，5fold</t>
    <phoneticPr fontId="1" type="noConversion"/>
  </si>
  <si>
    <t>weight2,4fold</t>
    <phoneticPr fontId="1" type="noConversion"/>
  </si>
  <si>
    <t>weight2,5fold</t>
    <phoneticPr fontId="1" type="noConversion"/>
  </si>
  <si>
    <t>0613_baseic</t>
    <phoneticPr fontId="1" type="noConversion"/>
  </si>
  <si>
    <t>0613_ic1400</t>
    <phoneticPr fontId="1" type="noConversion"/>
  </si>
  <si>
    <t xml:space="preserve">0613_PCA </t>
    <phoneticPr fontId="1" type="noConversion"/>
  </si>
  <si>
    <t>0721_baseic</t>
    <phoneticPr fontId="1" type="noConversion"/>
  </si>
  <si>
    <t>0721_ic1400</t>
    <phoneticPr fontId="1" type="noConversion"/>
  </si>
  <si>
    <t>0721_PCA</t>
    <phoneticPr fontId="1" type="noConversion"/>
  </si>
  <si>
    <t>fac0722_baseic</t>
    <phoneticPr fontId="1" type="noConversion"/>
  </si>
  <si>
    <t>a0005_factor_fea_20250630</t>
  </si>
  <si>
    <t>a0007_factor_fea_20250630</t>
  </si>
  <si>
    <t>a0008_factor_fea_20250630</t>
  </si>
  <si>
    <t>a0009_factor_fea_20250630</t>
  </si>
  <si>
    <t>a0010_factor_fea_20250630</t>
  </si>
  <si>
    <t>a0013_factor_fea_20250630</t>
  </si>
  <si>
    <t>a0016_factor_fea_20250630</t>
  </si>
  <si>
    <t>a0017_factor_fea_20250630</t>
  </si>
  <si>
    <t>a0018_factor_fea_20250630</t>
  </si>
  <si>
    <t>a0019_factor_fea_20250630</t>
  </si>
  <si>
    <t>a0022_factor_fea_20250630</t>
  </si>
  <si>
    <t>a0023_factor_fea_20250630</t>
  </si>
  <si>
    <t>a0027_factor_fea_20250630</t>
  </si>
  <si>
    <t>a0029_factor_fea_20250630</t>
  </si>
  <si>
    <t>a0031_factor_fea_20250630</t>
  </si>
  <si>
    <t>a0032_factor_fea_20250630</t>
  </si>
  <si>
    <t>a0034_factor_fea_20250630</t>
  </si>
  <si>
    <t>a0035_factor_fea_20250630</t>
  </si>
  <si>
    <t>a0036_factor_fea_20250630</t>
  </si>
  <si>
    <t>a0038_factor_fea_20250630</t>
  </si>
  <si>
    <t>a0040_factor_fea_20250630</t>
  </si>
  <si>
    <t>a0041_factor_fea_20250630</t>
  </si>
  <si>
    <t>a0045_factor_fea_20250630</t>
  </si>
  <si>
    <t>a0047_factor_fea_20250630</t>
  </si>
  <si>
    <t>a0048_factor_fea_20250630</t>
  </si>
  <si>
    <t>a0049_factor_fea_20250630</t>
  </si>
  <si>
    <t>a0053_factor_fea_20250630</t>
  </si>
  <si>
    <t>a0055_factor_fea_20250630</t>
  </si>
  <si>
    <t>a0056_factor_fea_20250630</t>
  </si>
  <si>
    <t>a0057_factor_fea_20250630</t>
  </si>
  <si>
    <t>a0058_factor_fea_20250630</t>
  </si>
  <si>
    <t>a0063_factor_fea_20250630</t>
  </si>
  <si>
    <t>a0064_factor_fea_20250630</t>
  </si>
  <si>
    <t>a0065_factor_fea_20250630</t>
  </si>
  <si>
    <t>a0075_factor_fea_20250630</t>
  </si>
  <si>
    <t>a0076_factor_fea_20250630</t>
  </si>
  <si>
    <t>a0078_factor_fea_20250630</t>
  </si>
  <si>
    <t>a0079_factor_fea_20250630</t>
  </si>
  <si>
    <t>a0084_factor_fea_20250630</t>
  </si>
  <si>
    <t>a0086_factor_fea_20250630</t>
  </si>
  <si>
    <t>a0087_factor_fea_20250630</t>
  </si>
  <si>
    <t>a0088_factor_fea_20250630</t>
  </si>
  <si>
    <t>a0089_factor_fea_20250630</t>
  </si>
  <si>
    <t>a0092_factor_fea_20250630</t>
  </si>
  <si>
    <t>a0095_factor_fea_20250630</t>
  </si>
  <si>
    <t>a0097_factor_fea_20250630</t>
  </si>
  <si>
    <t>a0098_factor_fea_20250630</t>
  </si>
  <si>
    <t>a0101_factor_fea_20250630</t>
  </si>
  <si>
    <t>a0103_factor_fea_20250630</t>
  </si>
  <si>
    <t>a0109_factor_fea_20250630</t>
  </si>
  <si>
    <t>a0111_factor_fea_20250630</t>
  </si>
  <si>
    <t>a0112_factor_fea_20250630</t>
  </si>
  <si>
    <t>a0114_factor_fea_20250630</t>
  </si>
  <si>
    <t>a0117_factor_fea_20250630</t>
  </si>
  <si>
    <t>a0118_factor_fea_20250630</t>
  </si>
  <si>
    <t>a0119_factor_fea_20250630</t>
  </si>
  <si>
    <t>a0122_factor_fea_20250630</t>
  </si>
  <si>
    <t>a0123_factor_fea_20250630</t>
  </si>
  <si>
    <t>a0125_factor_fea_20250630</t>
  </si>
  <si>
    <t>a0130_factor_fea_20250630</t>
  </si>
  <si>
    <t>a0131_factor_fea_20250630</t>
  </si>
  <si>
    <t>a0133_factor_fea_20250630</t>
  </si>
  <si>
    <t>a0134_factor_fea_20250630</t>
  </si>
  <si>
    <t>a0135_factor_fea_20250630</t>
  </si>
  <si>
    <t>a0137_factor_fea_20250630</t>
  </si>
  <si>
    <t>a0139_factor_fea_20250630</t>
  </si>
  <si>
    <t>a0143_factor_fea_20250630</t>
  </si>
  <si>
    <t>a0144_factor_fea_20250630</t>
  </si>
  <si>
    <t>a0145_factor_fea_20250630</t>
  </si>
  <si>
    <t>a0147_factor_fea_20250630</t>
  </si>
  <si>
    <t>a0148_factor_fea_20250630</t>
  </si>
  <si>
    <t>a0151_factor_fea_20250630</t>
  </si>
  <si>
    <t>a0152_factor_fea_20250630</t>
  </si>
  <si>
    <t>a0156_factor_fea_20250630</t>
  </si>
  <si>
    <t>a0158_factor_fea_20250630</t>
  </si>
  <si>
    <t>a0160_factor_fea_20250630</t>
  </si>
  <si>
    <t>a0161_factor_fea_20250630</t>
  </si>
  <si>
    <t>a0162_factor_fea_20250630</t>
  </si>
  <si>
    <t>a0165_factor_fea_20250630</t>
  </si>
  <si>
    <t>a0167_factor_fea_20250630</t>
  </si>
  <si>
    <t>a0169_factor_fea_20250630</t>
  </si>
  <si>
    <t>a0171_factor_fea_20250630</t>
  </si>
  <si>
    <t>a0172_factor_fea_20250630</t>
  </si>
  <si>
    <t>a0175_factor_fea_20250630</t>
  </si>
  <si>
    <t>a0176_factor_fea_20250630</t>
  </si>
  <si>
    <t>a0177_factor_fea_20250630</t>
  </si>
  <si>
    <t>a0178_factor_fea_20250630</t>
  </si>
  <si>
    <t>a0183_factor_fea_20250630</t>
  </si>
  <si>
    <t>a0187_factor_fea_20250630</t>
  </si>
  <si>
    <t>a0188_factor_fea_20250630</t>
  </si>
  <si>
    <t>a0189_factor_fea_20250630</t>
  </si>
  <si>
    <t>a0190_factor_fea_20250630</t>
  </si>
  <si>
    <t>a0191_factor_fea_20250630</t>
  </si>
  <si>
    <t>a0192_factor_fea_20250630</t>
  </si>
  <si>
    <t>a0193_factor_fea_20250630</t>
  </si>
  <si>
    <t>a0194_factor_fea_20250630</t>
  </si>
  <si>
    <t>a0195_factor_fea_20250630</t>
  </si>
  <si>
    <t>a0198_factor_fea_20250630</t>
  </si>
  <si>
    <t>a0199_factor_fea_20250630</t>
  </si>
  <si>
    <t>a0201_factor_fea_20250630</t>
  </si>
  <si>
    <t>a0203_factor_fea_20250630</t>
  </si>
  <si>
    <t>a0205_factor_fea_20250630</t>
  </si>
  <si>
    <t>a0208_factor_fea_20250630</t>
  </si>
  <si>
    <t>a0210_factor_fea_20250630</t>
  </si>
  <si>
    <t>a0211_factor_fea_20250630</t>
  </si>
  <si>
    <t>a0212_factor_fea_20250630</t>
  </si>
  <si>
    <t>a0213_factor_fea_20250630</t>
  </si>
  <si>
    <t>a0215_factor_fea_20250630</t>
  </si>
  <si>
    <t>a0218_factor_fea_20250630</t>
  </si>
  <si>
    <t>a0219_factor_fea_20250630</t>
  </si>
  <si>
    <t>a0220_factor_fea_20250630</t>
  </si>
  <si>
    <t>a0223_factor_fea_20250630</t>
  </si>
  <si>
    <t>a0226_factor_fea_20250630</t>
  </si>
  <si>
    <t>a0227_factor_fea_20250630</t>
  </si>
  <si>
    <t>a0228_factor_fea_20250630</t>
  </si>
  <si>
    <t>a0236_factor_fea_20250630</t>
  </si>
  <si>
    <t>a0237_factor_fea_20250630</t>
  </si>
  <si>
    <t>a0238_factor_fea_20250630</t>
  </si>
  <si>
    <t>a0239_factor_fea_20250630</t>
  </si>
  <si>
    <t>a0241_factor_fea_20250630</t>
  </si>
  <si>
    <t>a0243_factor_fea_20250630</t>
  </si>
  <si>
    <t>a0251_factor_fea_20250630</t>
  </si>
  <si>
    <t>a0253_factor_fea_20250630</t>
  </si>
  <si>
    <t>a0254_factor_fea_20250630</t>
  </si>
  <si>
    <t>fac0011</t>
  </si>
  <si>
    <t>fac0013</t>
  </si>
  <si>
    <t>fac0026</t>
  </si>
  <si>
    <t>fac0028</t>
  </si>
  <si>
    <t>fac0029</t>
  </si>
  <si>
    <t>fac0030</t>
  </si>
  <si>
    <t>fac0037</t>
  </si>
  <si>
    <t>fac0051</t>
  </si>
  <si>
    <t>fac0079</t>
  </si>
  <si>
    <t>fac0107</t>
  </si>
  <si>
    <t>fac0114</t>
  </si>
  <si>
    <t>fac0132</t>
  </si>
  <si>
    <t>fac0145</t>
  </si>
  <si>
    <t>fac0147</t>
  </si>
  <si>
    <t>fac0164</t>
  </si>
  <si>
    <t>fac0176</t>
  </si>
  <si>
    <t>fac0177</t>
  </si>
  <si>
    <t>fac0204</t>
  </si>
  <si>
    <t>fac0209</t>
  </si>
  <si>
    <t>fac0265</t>
  </si>
  <si>
    <t>fac0273</t>
  </si>
  <si>
    <t>fac0274</t>
  </si>
  <si>
    <t>fac0276</t>
  </si>
  <si>
    <t>fac0312</t>
  </si>
  <si>
    <t>fac0313</t>
  </si>
  <si>
    <t>fac0314</t>
  </si>
  <si>
    <t>fac0315</t>
  </si>
  <si>
    <t>fac0316</t>
  </si>
  <si>
    <t>fac0317</t>
  </si>
  <si>
    <t>fac0318</t>
  </si>
  <si>
    <t>fac0319</t>
  </si>
  <si>
    <t>fac0320</t>
  </si>
  <si>
    <t>fac0404</t>
  </si>
  <si>
    <t>fac0408</t>
  </si>
  <si>
    <t>fac0469</t>
  </si>
  <si>
    <t>fac0483</t>
  </si>
  <si>
    <t>fac0484</t>
  </si>
  <si>
    <t>fac0485</t>
  </si>
  <si>
    <t>fac0489</t>
  </si>
  <si>
    <t>fac0496</t>
  </si>
  <si>
    <t>fac0497</t>
  </si>
  <si>
    <t>fac0498</t>
  </si>
  <si>
    <t>fac0500</t>
  </si>
  <si>
    <t>fac0556</t>
  </si>
  <si>
    <t>fac0558</t>
  </si>
  <si>
    <t>fac0560</t>
  </si>
  <si>
    <t>fac0568</t>
  </si>
  <si>
    <t>fac0576</t>
  </si>
  <si>
    <t>fac0578</t>
  </si>
  <si>
    <t>fac0582</t>
  </si>
  <si>
    <t>fac0583</t>
  </si>
  <si>
    <t>fac0603</t>
  </si>
  <si>
    <t>fac0604</t>
  </si>
  <si>
    <t>fac0605</t>
  </si>
  <si>
    <t>fac0606</t>
  </si>
  <si>
    <t>fac0607</t>
  </si>
  <si>
    <t>fac0654</t>
  </si>
  <si>
    <t>fac0748</t>
  </si>
  <si>
    <t>fac0749</t>
  </si>
  <si>
    <t>fac0752</t>
  </si>
  <si>
    <t>fac0786</t>
  </si>
  <si>
    <t>fac0787</t>
  </si>
  <si>
    <t>fac0848</t>
  </si>
  <si>
    <t>fac0849</t>
  </si>
  <si>
    <t>fac0851</t>
  </si>
  <si>
    <t>fac0852</t>
  </si>
  <si>
    <t>fac1063</t>
  </si>
  <si>
    <t>fac1132</t>
  </si>
  <si>
    <t>fac1172</t>
  </si>
  <si>
    <t>fac1179</t>
  </si>
  <si>
    <t>fac1180</t>
  </si>
  <si>
    <t>fac1383</t>
  </si>
  <si>
    <t>fac1384</t>
  </si>
  <si>
    <t>fac1385</t>
  </si>
  <si>
    <t>fac1441</t>
  </si>
  <si>
    <t>fac1442</t>
  </si>
  <si>
    <t>fac1443</t>
  </si>
  <si>
    <t>fac1444</t>
  </si>
  <si>
    <t>fac1452</t>
  </si>
  <si>
    <t>fac1453</t>
  </si>
  <si>
    <t>fac1454</t>
  </si>
  <si>
    <t>fac1469</t>
  </si>
  <si>
    <t>fac1470</t>
  </si>
  <si>
    <t>fac1471</t>
  </si>
  <si>
    <t>fac1472</t>
  </si>
  <si>
    <t>fac1486</t>
  </si>
  <si>
    <t>fac1487</t>
  </si>
  <si>
    <t>fac1491</t>
  </si>
  <si>
    <t>fac1547</t>
  </si>
  <si>
    <t>fac1548</t>
  </si>
  <si>
    <t>fac1582</t>
  </si>
  <si>
    <t>fac1627</t>
  </si>
  <si>
    <t>fac1628</t>
  </si>
  <si>
    <t>fac1638</t>
  </si>
  <si>
    <t>fac1644</t>
  </si>
  <si>
    <t>fac1645</t>
  </si>
  <si>
    <t>fac1656</t>
  </si>
  <si>
    <t>fac1662</t>
  </si>
  <si>
    <t>fac1674</t>
  </si>
  <si>
    <t>fac1695</t>
  </si>
  <si>
    <t>fac1697</t>
  </si>
  <si>
    <t>fac1701</t>
  </si>
  <si>
    <t>fac1710</t>
  </si>
  <si>
    <t>fac1721</t>
  </si>
  <si>
    <t>fac1756</t>
  </si>
  <si>
    <t>fac1757</t>
  </si>
  <si>
    <t>fac1758</t>
  </si>
  <si>
    <t>fac1770</t>
  </si>
  <si>
    <t>fac1773</t>
  </si>
  <si>
    <t>fac1785</t>
  </si>
  <si>
    <t>fac1822</t>
  </si>
  <si>
    <t>fac1825</t>
  </si>
  <si>
    <t>fac1831</t>
  </si>
  <si>
    <t>fac1833</t>
  </si>
  <si>
    <t>fac1834</t>
  </si>
  <si>
    <t>fac1837</t>
  </si>
  <si>
    <t>fac1849</t>
  </si>
  <si>
    <t>fac1910</t>
  </si>
  <si>
    <t>fac1911</t>
  </si>
  <si>
    <t>fac1950</t>
  </si>
  <si>
    <t>fac2016</t>
  </si>
  <si>
    <t>fac2021</t>
  </si>
  <si>
    <t>fac2022</t>
  </si>
  <si>
    <t>fac2024</t>
  </si>
  <si>
    <t>fac2052</t>
  </si>
  <si>
    <t>fac2075</t>
  </si>
  <si>
    <t>fac2078</t>
  </si>
  <si>
    <t>fac2089</t>
  </si>
  <si>
    <t>fac2090</t>
  </si>
  <si>
    <t>fac2107</t>
  </si>
  <si>
    <t>fac2116</t>
  </si>
  <si>
    <t>fac2117</t>
  </si>
  <si>
    <t>fac2128</t>
  </si>
  <si>
    <t>fac2133</t>
  </si>
  <si>
    <t>fac2141</t>
  </si>
  <si>
    <t>fac2144</t>
  </si>
  <si>
    <t>fac2146</t>
  </si>
  <si>
    <t>fac2147</t>
  </si>
  <si>
    <t>fac2152</t>
  </si>
  <si>
    <t>fac2153</t>
  </si>
  <si>
    <t>fac2154</t>
  </si>
  <si>
    <t>fac2159</t>
  </si>
  <si>
    <t>fac2167</t>
  </si>
  <si>
    <t>fac2170</t>
  </si>
  <si>
    <t>fac2171</t>
  </si>
  <si>
    <t>fac2172</t>
  </si>
  <si>
    <t>fac2173</t>
  </si>
  <si>
    <t>fac2178</t>
  </si>
  <si>
    <t>fac2179</t>
  </si>
  <si>
    <t>fac2224</t>
  </si>
  <si>
    <t>fac2227</t>
  </si>
  <si>
    <t>fac2233</t>
  </si>
  <si>
    <t>fac2236</t>
  </si>
  <si>
    <t>fac2239</t>
  </si>
  <si>
    <t>fac2242</t>
  </si>
  <si>
    <t>fac2248</t>
  </si>
  <si>
    <t>fac2255</t>
  </si>
  <si>
    <t>fac2263</t>
  </si>
  <si>
    <t>fac2279</t>
  </si>
  <si>
    <t>fac2287</t>
  </si>
  <si>
    <t>fac2293</t>
  </si>
  <si>
    <t>fac2299</t>
  </si>
  <si>
    <t>fac2313</t>
  </si>
  <si>
    <t>fac2351</t>
  </si>
  <si>
    <t>fac2364</t>
  </si>
  <si>
    <t>fac2365</t>
  </si>
  <si>
    <t>fac2370</t>
  </si>
  <si>
    <t>fac2375</t>
  </si>
  <si>
    <t>fac2380</t>
  </si>
  <si>
    <t>fac2385</t>
  </si>
  <si>
    <t>fac2390</t>
  </si>
  <si>
    <t>fac2467</t>
  </si>
  <si>
    <t>fac2482</t>
  </si>
  <si>
    <t>fac2483</t>
  </si>
  <si>
    <t>fac2484</t>
  </si>
  <si>
    <t>fac2486</t>
  </si>
  <si>
    <t>fac2491</t>
  </si>
  <si>
    <t>fac2492</t>
  </si>
  <si>
    <t>fac2493</t>
  </si>
  <si>
    <t>fac2513</t>
  </si>
  <si>
    <t>fac2561</t>
  </si>
  <si>
    <t>fac2570</t>
  </si>
  <si>
    <t>fac2575</t>
  </si>
  <si>
    <t>fac2578</t>
  </si>
  <si>
    <t>fac2579</t>
  </si>
  <si>
    <t>fac2582</t>
  </si>
  <si>
    <t>fac2589</t>
  </si>
  <si>
    <t>fac2601</t>
  </si>
  <si>
    <t>fac2604</t>
  </si>
  <si>
    <t>fac2638</t>
  </si>
  <si>
    <t>fac2666</t>
  </si>
  <si>
    <t>fac2667</t>
  </si>
  <si>
    <t>fac2671</t>
  </si>
  <si>
    <t>fac2673</t>
  </si>
  <si>
    <t>fac2674</t>
  </si>
  <si>
    <t>fac2702</t>
  </si>
  <si>
    <t>fac2734</t>
  </si>
  <si>
    <t>fac2738</t>
  </si>
  <si>
    <t>fac2749</t>
  </si>
  <si>
    <t>fac2751</t>
  </si>
  <si>
    <t>fac2752</t>
  </si>
  <si>
    <t>fac2753</t>
  </si>
  <si>
    <t>fac2754</t>
  </si>
  <si>
    <t>fac2755</t>
  </si>
  <si>
    <t>fac2756</t>
  </si>
  <si>
    <t>fac2757</t>
  </si>
  <si>
    <t>fac2758</t>
  </si>
  <si>
    <t>fac2760</t>
  </si>
  <si>
    <t>fac2761</t>
  </si>
  <si>
    <t>fac2764</t>
  </si>
  <si>
    <t>fac2765</t>
  </si>
  <si>
    <t>fac2766</t>
  </si>
  <si>
    <t>fac2767</t>
  </si>
  <si>
    <t>fac2768</t>
  </si>
  <si>
    <t>fac2769</t>
  </si>
  <si>
    <t>fac2770</t>
  </si>
  <si>
    <t>fac2771</t>
  </si>
  <si>
    <t>fac2773</t>
  </si>
  <si>
    <t>fac2774</t>
  </si>
  <si>
    <t>fac2775</t>
  </si>
  <si>
    <t>fac2776</t>
  </si>
  <si>
    <t>fac2777</t>
  </si>
  <si>
    <t>fac2778</t>
  </si>
  <si>
    <t>fac2779</t>
  </si>
  <si>
    <t>fac2780</t>
  </si>
  <si>
    <t>fac2782</t>
  </si>
  <si>
    <t>fac2783</t>
  </si>
  <si>
    <t>fac2784</t>
  </si>
  <si>
    <t>fac2785</t>
  </si>
  <si>
    <t>fac2786</t>
  </si>
  <si>
    <t>fac2787</t>
  </si>
  <si>
    <t>fac2788</t>
  </si>
  <si>
    <t>fac2789</t>
  </si>
  <si>
    <t>fac2790</t>
  </si>
  <si>
    <t>fac2823</t>
  </si>
  <si>
    <t>fac2825</t>
  </si>
  <si>
    <t>fac2829</t>
  </si>
  <si>
    <t>fac2831</t>
  </si>
  <si>
    <t>fac2834</t>
  </si>
  <si>
    <t>a0001_factor_fea_20250630</t>
  </si>
  <si>
    <t>a0002_factor_fea_20250630</t>
  </si>
  <si>
    <t>a0003_factor_fea_20250630</t>
  </si>
  <si>
    <t>a0004_factor_fea_20250630</t>
  </si>
  <si>
    <t>a0006_factor_fea_20250630</t>
  </si>
  <si>
    <t>a0011_factor_fea_20250630</t>
  </si>
  <si>
    <t>a0012_factor_fea_20250630</t>
  </si>
  <si>
    <t>a0015_factor_fea_20250630</t>
  </si>
  <si>
    <t>a0020_factor_fea_20250630</t>
  </si>
  <si>
    <t>a0021_factor_fea_20250630</t>
  </si>
  <si>
    <t>a0024_factor_fea_20250630</t>
  </si>
  <si>
    <t>a0025_factor_fea_20250630</t>
  </si>
  <si>
    <t>a0026_factor_fea_20250630</t>
  </si>
  <si>
    <t>a0028_factor_fea_20250630</t>
  </si>
  <si>
    <t>a0030_factor_fea_20250630</t>
  </si>
  <si>
    <t>a0033_factor_fea_20250630</t>
  </si>
  <si>
    <t>a0037_factor_fea_20250630</t>
  </si>
  <si>
    <t>a0039_factor_fea_20250630</t>
  </si>
  <si>
    <t>a0042_factor_fea_20250630</t>
  </si>
  <si>
    <t>a0043_factor_fea_20250630</t>
  </si>
  <si>
    <t>a0044_factor_fea_20250630</t>
  </si>
  <si>
    <t>a0046_factor_fea_20250630</t>
  </si>
  <si>
    <t>a0050_factor_fea_20250630</t>
  </si>
  <si>
    <t>a0051_factor_fea_20250630</t>
  </si>
  <si>
    <t>a0052_factor_fea_20250630</t>
  </si>
  <si>
    <t>a0054_factor_fea_20250630</t>
  </si>
  <si>
    <t>a0059_factor_fea_20250630</t>
  </si>
  <si>
    <t>a0060_factor_fea_20250630</t>
  </si>
  <si>
    <t>a0061_factor_fea_20250630</t>
  </si>
  <si>
    <t>a0062_factor_fea_20250630</t>
  </si>
  <si>
    <t>a0067_factor_fea_20250630</t>
  </si>
  <si>
    <t>a0068_factor_fea_20250630</t>
  </si>
  <si>
    <t>a0069_factor_fea_20250630</t>
  </si>
  <si>
    <t>a0070_factor_fea_20250630</t>
  </si>
  <si>
    <t>a0071_factor_fea_20250630</t>
  </si>
  <si>
    <t>a0072_factor_fea_20250630</t>
  </si>
  <si>
    <t>a0073_factor_fea_20250630</t>
  </si>
  <si>
    <t>a0074_factor_fea_20250630</t>
  </si>
  <si>
    <t>a0077_factor_fea_20250630</t>
  </si>
  <si>
    <t>a0080_factor_fea_20250630</t>
  </si>
  <si>
    <t>a0081_factor_fea_20250630</t>
  </si>
  <si>
    <t>a0082_factor_fea_20250630</t>
  </si>
  <si>
    <t>a0083_factor_fea_20250630</t>
  </si>
  <si>
    <t>a0085_factor_fea_20250630</t>
  </si>
  <si>
    <t>a0090_factor_fea_20250630</t>
  </si>
  <si>
    <t>a0091_factor_fea_20250630</t>
  </si>
  <si>
    <t>a0093_factor_fea_20250630</t>
  </si>
  <si>
    <t>a0094_factor_fea_20250630</t>
  </si>
  <si>
    <t>a0096_factor_fea_20250630</t>
  </si>
  <si>
    <t>a0099_factor_fea_20250630</t>
  </si>
  <si>
    <t>a0100_factor_fea_20250630</t>
  </si>
  <si>
    <t>a0102_factor_fea_20250630</t>
  </si>
  <si>
    <t>a0105_factor_fea_20250630</t>
  </si>
  <si>
    <t>a0106_factor_fea_20250630</t>
  </si>
  <si>
    <t>a0108_factor_fea_20250630</t>
  </si>
  <si>
    <t>a0113_factor_fea_20250630</t>
  </si>
  <si>
    <t>a0115_factor_fea_20250630</t>
  </si>
  <si>
    <t>a0116_factor_fea_20250630</t>
  </si>
  <si>
    <t>a0120_factor_fea_20250630</t>
  </si>
  <si>
    <t>a0121_factor_fea_20250630</t>
  </si>
  <si>
    <t>a0124_factor_fea_20250630</t>
  </si>
  <si>
    <t>a0126_factor_fea_20250630</t>
  </si>
  <si>
    <t>a0127_factor_fea_20250630</t>
  </si>
  <si>
    <t>a0128_factor_fea_20250630</t>
  </si>
  <si>
    <t>a0129_factor_fea_20250630</t>
  </si>
  <si>
    <t>a0132_factor_fea_20250630</t>
  </si>
  <si>
    <t>a0136_factor_fea_20250630</t>
  </si>
  <si>
    <t>a0138_factor_fea_20250630</t>
  </si>
  <si>
    <t>a0140_factor_fea_20250630</t>
  </si>
  <si>
    <t>a0141_factor_fea_20250630</t>
  </si>
  <si>
    <t>a0146_factor_fea_20250630</t>
  </si>
  <si>
    <t>a0149_factor_fea_20250630</t>
  </si>
  <si>
    <t>a0150_factor_fea_20250630</t>
  </si>
  <si>
    <t>a0153_factor_fea_20250630</t>
  </si>
  <si>
    <t>a0154_factor_fea_20250630</t>
  </si>
  <si>
    <t>a0155_factor_fea_20250630</t>
  </si>
  <si>
    <t>a0157_factor_fea_20250630</t>
  </si>
  <si>
    <t>a0159_factor_fea_20250630</t>
  </si>
  <si>
    <t>a0163_factor_fea_20250630</t>
  </si>
  <si>
    <t>a0164_factor_fea_20250630</t>
  </si>
  <si>
    <t>a0168_factor_fea_20250630</t>
  </si>
  <si>
    <t>a0170_factor_fea_20250630</t>
  </si>
  <si>
    <t>a0173_factor_fea_20250630</t>
  </si>
  <si>
    <t>a0174_factor_fea_20250630</t>
  </si>
  <si>
    <t>a0179_factor_fea_20250630</t>
  </si>
  <si>
    <t>a0180_factor_fea_20250630</t>
  </si>
  <si>
    <t>a0181_factor_fea_20250630</t>
  </si>
  <si>
    <t>a0182_factor_fea_20250630</t>
  </si>
  <si>
    <t>a0184_factor_fea_20250630</t>
  </si>
  <si>
    <t>a0185_factor_fea_20250630</t>
  </si>
  <si>
    <t>a0186_factor_fea_20250630</t>
  </si>
  <si>
    <t>a0196_factor_fea_20250630</t>
  </si>
  <si>
    <t>a0197_factor_fea_20250630</t>
  </si>
  <si>
    <t>a0202_factor_fea_20250630</t>
  </si>
  <si>
    <t>a0204_factor_fea_20250630</t>
  </si>
  <si>
    <t>a0206_factor_fea_20250630</t>
  </si>
  <si>
    <t>a0209_factor_fea_20250630</t>
  </si>
  <si>
    <t>a0214_factor_fea_20250630</t>
  </si>
  <si>
    <t>a0216_factor_fea_20250630</t>
  </si>
  <si>
    <t>a0217_factor_fea_20250630</t>
  </si>
  <si>
    <t>a0221_factor_fea_20250630</t>
  </si>
  <si>
    <t>a0222_factor_fea_20250630</t>
  </si>
  <si>
    <t>a0224_factor_fea_20250630</t>
  </si>
  <si>
    <t>a0225_factor_fea_20250630</t>
  </si>
  <si>
    <t>a0229_factor_fea_20250630</t>
  </si>
  <si>
    <t>a0231_factor_fea_20250630</t>
  </si>
  <si>
    <t>a0232_factor_fea_20250630</t>
  </si>
  <si>
    <t>a0233_factor_fea_20250630</t>
  </si>
  <si>
    <t>a0234_factor_fea_20250630</t>
  </si>
  <si>
    <t>a0235_factor_fea_20250630</t>
  </si>
  <si>
    <t>a0240_factor_fea_20250630</t>
  </si>
  <si>
    <t>a0242_factor_fea_20250630</t>
  </si>
  <si>
    <t>a0244_factor_fea_20250630</t>
  </si>
  <si>
    <t>a0246_factor_fea_20250630</t>
  </si>
  <si>
    <t>a0247_factor_fea_20250630</t>
  </si>
  <si>
    <t>a0248_factor_fea_20250630</t>
  </si>
  <si>
    <t>a0249_factor_fea_20250630</t>
  </si>
  <si>
    <t>a0250_factor_fea_20250630</t>
  </si>
  <si>
    <t>a0252_factor_fea_20250630</t>
  </si>
  <si>
    <t>fac0022</t>
  </si>
  <si>
    <t>fac0046</t>
  </si>
  <si>
    <t>fac0049</t>
  </si>
  <si>
    <t>fac0050</t>
  </si>
  <si>
    <t>fac0055</t>
  </si>
  <si>
    <t>fac0078</t>
  </si>
  <si>
    <t>fac0084</t>
  </si>
  <si>
    <t>fac0086</t>
  </si>
  <si>
    <t>fac0087</t>
  </si>
  <si>
    <t>fac0102</t>
  </si>
  <si>
    <t>fac0105</t>
  </si>
  <si>
    <t>fac0108</t>
  </si>
  <si>
    <t>fac0116</t>
  </si>
  <si>
    <t>fac0120</t>
  </si>
  <si>
    <t>fac0122</t>
  </si>
  <si>
    <t>fac0124</t>
  </si>
  <si>
    <t>fac0129</t>
  </si>
  <si>
    <t>fac0152</t>
  </si>
  <si>
    <t>fac0159</t>
  </si>
  <si>
    <t>fac0160</t>
  </si>
  <si>
    <t>fac0161</t>
  </si>
  <si>
    <t>fac0163</t>
  </si>
  <si>
    <t>fac0175</t>
  </si>
  <si>
    <t>fac0183</t>
  </si>
  <si>
    <t>fac0186</t>
  </si>
  <si>
    <t>fac0196</t>
  </si>
  <si>
    <t>fac0203</t>
  </si>
  <si>
    <t>fac0205</t>
  </si>
  <si>
    <t>fac0207</t>
  </si>
  <si>
    <t>fac0213</t>
  </si>
  <si>
    <t>fac0214</t>
  </si>
  <si>
    <t>fac0215</t>
  </si>
  <si>
    <t>fac0222</t>
  </si>
  <si>
    <t>fac0223</t>
  </si>
  <si>
    <t>fac0229</t>
  </si>
  <si>
    <t>fac0248</t>
  </si>
  <si>
    <t>fac0252</t>
  </si>
  <si>
    <t>fac0253</t>
  </si>
  <si>
    <t>fac0256</t>
  </si>
  <si>
    <t>fac0264</t>
  </si>
  <si>
    <t>fac0266</t>
  </si>
  <si>
    <t>fac0283</t>
  </si>
  <si>
    <t>fac0284</t>
  </si>
  <si>
    <t>fac0285</t>
  </si>
  <si>
    <t>fac0286</t>
  </si>
  <si>
    <t>fac0287</t>
  </si>
  <si>
    <t>fac0288</t>
  </si>
  <si>
    <t>fac0289</t>
  </si>
  <si>
    <t>fac0290</t>
  </si>
  <si>
    <t>fac0291</t>
  </si>
  <si>
    <t>fac0292</t>
  </si>
  <si>
    <t>fac0299</t>
  </si>
  <si>
    <t>fac0301</t>
  </si>
  <si>
    <t>fac0302</t>
  </si>
  <si>
    <t>fac0309</t>
  </si>
  <si>
    <t>fac0310</t>
  </si>
  <si>
    <t>fac0322</t>
  </si>
  <si>
    <t>fac0323</t>
  </si>
  <si>
    <t>fac0326</t>
  </si>
  <si>
    <t>fac0327</t>
  </si>
  <si>
    <t>fac0328</t>
  </si>
  <si>
    <t>fac0329</t>
  </si>
  <si>
    <t>fac0330</t>
  </si>
  <si>
    <t>fac0331</t>
  </si>
  <si>
    <t>fac0336</t>
  </si>
  <si>
    <t>fac0340</t>
  </si>
  <si>
    <t>fac0344</t>
  </si>
  <si>
    <t>fac0346</t>
  </si>
  <si>
    <t>fac0348</t>
  </si>
  <si>
    <t>fac0351</t>
  </si>
  <si>
    <t>fac0353</t>
  </si>
  <si>
    <t>fac0355</t>
  </si>
  <si>
    <t>fac0356</t>
  </si>
  <si>
    <t>fac0363</t>
  </si>
  <si>
    <t>fac0377</t>
  </si>
  <si>
    <t>fac0379</t>
  </si>
  <si>
    <t>fac0381</t>
  </si>
  <si>
    <t>fac0385</t>
  </si>
  <si>
    <t>fac0387</t>
  </si>
  <si>
    <t>fac0390</t>
  </si>
  <si>
    <t>fac0391</t>
  </si>
  <si>
    <t>fac0393</t>
  </si>
  <si>
    <t>fac0394</t>
  </si>
  <si>
    <t>fac0395</t>
  </si>
  <si>
    <t>fac0452</t>
  </si>
  <si>
    <t>fac0461</t>
  </si>
  <si>
    <t>fac0462</t>
  </si>
  <si>
    <t>fac0463</t>
  </si>
  <si>
    <t>fac0464</t>
  </si>
  <si>
    <t>fac0465</t>
  </si>
  <si>
    <t>fac0466</t>
  </si>
  <si>
    <t>fac0509</t>
  </si>
  <si>
    <t>fac0511</t>
  </si>
  <si>
    <t>fac0512</t>
  </si>
  <si>
    <t>fac0513</t>
  </si>
  <si>
    <t>fac0516</t>
  </si>
  <si>
    <t>fac0517</t>
  </si>
  <si>
    <t>fac0518</t>
  </si>
  <si>
    <t>fac0521</t>
  </si>
  <si>
    <t>fac0523</t>
  </si>
  <si>
    <t>fac0525</t>
  </si>
  <si>
    <t>fac0529</t>
  </si>
  <si>
    <t>fac0531</t>
  </si>
  <si>
    <t>fac0543</t>
  </si>
  <si>
    <t>fac0544</t>
  </si>
  <si>
    <t>fac0545</t>
  </si>
  <si>
    <t>fac0548</t>
  </si>
  <si>
    <t>fac0551</t>
  </si>
  <si>
    <t>fac0588</t>
  </si>
  <si>
    <t>fac0594</t>
  </si>
  <si>
    <t>fac0595</t>
  </si>
  <si>
    <t>fac0596</t>
  </si>
  <si>
    <t>fac0625</t>
  </si>
  <si>
    <t>fac0626</t>
  </si>
  <si>
    <t>fac0632</t>
  </si>
  <si>
    <t>fac0634</t>
  </si>
  <si>
    <t>fac0638</t>
  </si>
  <si>
    <t>fac0639</t>
  </si>
  <si>
    <t>fac0640</t>
  </si>
  <si>
    <t>fac0641</t>
  </si>
  <si>
    <t>fac0642</t>
  </si>
  <si>
    <t>fac0643</t>
  </si>
  <si>
    <t>fac0644</t>
  </si>
  <si>
    <t>fac0647</t>
  </si>
  <si>
    <t>fac0648</t>
  </si>
  <si>
    <t>fac0650</t>
  </si>
  <si>
    <t>fac0652</t>
  </si>
  <si>
    <t>fac0653</t>
  </si>
  <si>
    <t>fac0662</t>
  </si>
  <si>
    <t>fac0668</t>
  </si>
  <si>
    <t>fac0669</t>
  </si>
  <si>
    <t>fac0670</t>
  </si>
  <si>
    <t>fac0671</t>
  </si>
  <si>
    <t>fac0672</t>
  </si>
  <si>
    <t>fac0673</t>
  </si>
  <si>
    <t>fac0679</t>
  </si>
  <si>
    <t>fac0680</t>
  </si>
  <si>
    <t>fac0682</t>
  </si>
  <si>
    <t>fac0683</t>
  </si>
  <si>
    <t>fac0684</t>
  </si>
  <si>
    <t>fac0685</t>
  </si>
  <si>
    <t>fac0686</t>
  </si>
  <si>
    <t>fac0687</t>
  </si>
  <si>
    <t>fac0691</t>
  </si>
  <si>
    <t>fac0692</t>
  </si>
  <si>
    <t>fac0698</t>
  </si>
  <si>
    <t>fac0699</t>
  </si>
  <si>
    <t>fac0700</t>
  </si>
  <si>
    <t>fac0701</t>
  </si>
  <si>
    <t>fac0702</t>
  </si>
  <si>
    <t>fac0715</t>
  </si>
  <si>
    <t>fac0718</t>
  </si>
  <si>
    <t>fac0719</t>
  </si>
  <si>
    <t>fac0733</t>
  </si>
  <si>
    <t>fac0734</t>
  </si>
  <si>
    <t>fac0738</t>
  </si>
  <si>
    <t>fac0742</t>
  </si>
  <si>
    <t>fac0763</t>
  </si>
  <si>
    <t>fac0764</t>
  </si>
  <si>
    <t>fac0770</t>
  </si>
  <si>
    <t>fac0773</t>
  </si>
  <si>
    <t>fac0809</t>
  </si>
  <si>
    <t>fac0810</t>
  </si>
  <si>
    <t>fac0813</t>
  </si>
  <si>
    <t>fac0819</t>
  </si>
  <si>
    <t>fac0820</t>
  </si>
  <si>
    <t>fac0821</t>
  </si>
  <si>
    <t>fac0839</t>
  </si>
  <si>
    <t>fac0840</t>
  </si>
  <si>
    <t>fac0846</t>
  </si>
  <si>
    <t>fac0860</t>
  </si>
  <si>
    <t>fac0872</t>
  </si>
  <si>
    <t>fac0876</t>
  </si>
  <si>
    <t>fac0877</t>
  </si>
  <si>
    <t>fac0878</t>
  </si>
  <si>
    <t>fac0884</t>
  </si>
  <si>
    <t>fac0885</t>
  </si>
  <si>
    <t>fac0886</t>
  </si>
  <si>
    <t>fac0895</t>
  </si>
  <si>
    <t>fac0896</t>
  </si>
  <si>
    <t>fac0902</t>
  </si>
  <si>
    <t>fac0907</t>
  </si>
  <si>
    <t>fac0917</t>
  </si>
  <si>
    <t>fac0918</t>
  </si>
  <si>
    <t>fac0929</t>
  </si>
  <si>
    <t>fac0951</t>
  </si>
  <si>
    <t>fac0958</t>
  </si>
  <si>
    <t>fac0959</t>
  </si>
  <si>
    <t>fac0961</t>
  </si>
  <si>
    <t>fac0962</t>
  </si>
  <si>
    <t>fac0971</t>
  </si>
  <si>
    <t>fac0977</t>
  </si>
  <si>
    <t>fac0978</t>
  </si>
  <si>
    <t>fac0980</t>
  </si>
  <si>
    <t>fac1004</t>
  </si>
  <si>
    <t>fac1005</t>
  </si>
  <si>
    <t>fac1011</t>
  </si>
  <si>
    <t>fac1012</t>
  </si>
  <si>
    <t>fac1013</t>
  </si>
  <si>
    <t>fac1017</t>
  </si>
  <si>
    <t>fac1035</t>
  </si>
  <si>
    <t>fac1040</t>
  </si>
  <si>
    <t>fac1043</t>
  </si>
  <si>
    <t>fac1083</t>
  </si>
  <si>
    <t>fac1111</t>
  </si>
  <si>
    <t>fac1116</t>
  </si>
  <si>
    <t>fac1152</t>
  </si>
  <si>
    <t>fac1190</t>
  </si>
  <si>
    <t>fac1196</t>
  </si>
  <si>
    <t>fac1197</t>
  </si>
  <si>
    <t>fac1203</t>
  </si>
  <si>
    <t>fac1204</t>
  </si>
  <si>
    <t>fac1205</t>
  </si>
  <si>
    <t>fac1283</t>
  </si>
  <si>
    <t>fac1312</t>
  </si>
  <si>
    <t>fac1319</t>
  </si>
  <si>
    <t>fac1322</t>
  </si>
  <si>
    <t>fac1323</t>
  </si>
  <si>
    <t>fac1466</t>
  </si>
  <si>
    <t>fac1477</t>
  </si>
  <si>
    <t>fac1478</t>
  </si>
  <si>
    <t>fac1479</t>
  </si>
  <si>
    <t>fac1481</t>
  </si>
  <si>
    <t>fac1521</t>
  </si>
  <si>
    <t>fac1526</t>
  </si>
  <si>
    <t>fac1585</t>
  </si>
  <si>
    <t>fac1616</t>
  </si>
  <si>
    <t>fac1621</t>
  </si>
  <si>
    <t>fac1624</t>
  </si>
  <si>
    <t>fac1625</t>
  </si>
  <si>
    <t>fac1631</t>
  </si>
  <si>
    <t>fac1634</t>
  </si>
  <si>
    <t>fac1635</t>
  </si>
  <si>
    <t>fac1707</t>
  </si>
  <si>
    <t>fac1720</t>
  </si>
  <si>
    <t>fac1722</t>
  </si>
  <si>
    <t>fac1738</t>
  </si>
  <si>
    <t>fac1768</t>
  </si>
  <si>
    <t>fac1803</t>
  </si>
  <si>
    <t>fac1805</t>
  </si>
  <si>
    <t>fac1806</t>
  </si>
  <si>
    <t>fac1810</t>
  </si>
  <si>
    <t>fac1811</t>
  </si>
  <si>
    <t>fac1813</t>
  </si>
  <si>
    <t>fac1818</t>
  </si>
  <si>
    <t>fac1819</t>
  </si>
  <si>
    <t>fac1867</t>
  </si>
  <si>
    <t>fac1869</t>
  </si>
  <si>
    <t>fac1871</t>
  </si>
  <si>
    <t>fac1892</t>
  </si>
  <si>
    <t>fac1917</t>
  </si>
  <si>
    <t>fac1919</t>
  </si>
  <si>
    <t>fac1920</t>
  </si>
  <si>
    <t>fac1921</t>
  </si>
  <si>
    <t>fac1923</t>
  </si>
  <si>
    <t>fac1925</t>
  </si>
  <si>
    <t>fac1927</t>
  </si>
  <si>
    <t>fac1929</t>
  </si>
  <si>
    <t>fac1940</t>
  </si>
  <si>
    <t>fac1942</t>
  </si>
  <si>
    <t>fac1945</t>
  </si>
  <si>
    <t>fac1947</t>
  </si>
  <si>
    <t>fac1949</t>
  </si>
  <si>
    <t>fac1951</t>
  </si>
  <si>
    <t>fac1952</t>
  </si>
  <si>
    <t>fac1953</t>
  </si>
  <si>
    <t>fac1956</t>
  </si>
  <si>
    <t>fac1957</t>
  </si>
  <si>
    <t>fac1958</t>
  </si>
  <si>
    <t>fac1959</t>
  </si>
  <si>
    <t>fac1964</t>
  </si>
  <si>
    <t>fac1965</t>
  </si>
  <si>
    <t>fac1968</t>
  </si>
  <si>
    <t>fac1969</t>
  </si>
  <si>
    <t>fac1970</t>
  </si>
  <si>
    <t>fac1971</t>
  </si>
  <si>
    <t>fac2000</t>
  </si>
  <si>
    <t>fac2010</t>
  </si>
  <si>
    <t>fac2020</t>
  </si>
  <si>
    <t>fac2026</t>
  </si>
  <si>
    <t>fac2032</t>
  </si>
  <si>
    <t>fac2033</t>
  </si>
  <si>
    <t>fac2038</t>
  </si>
  <si>
    <t>fac2041</t>
  </si>
  <si>
    <t>fac2065</t>
  </si>
  <si>
    <t>fac2070</t>
  </si>
  <si>
    <t>fac2074</t>
  </si>
  <si>
    <t>fac2076</t>
  </si>
  <si>
    <t>fac2077</t>
  </si>
  <si>
    <t>fac2080</t>
  </si>
  <si>
    <t>fac2088</t>
  </si>
  <si>
    <t>fac2109</t>
  </si>
  <si>
    <t>fac2180</t>
  </si>
  <si>
    <t>fac2181</t>
  </si>
  <si>
    <t>fac2182</t>
  </si>
  <si>
    <t>fac2183</t>
  </si>
  <si>
    <t>fac2184</t>
  </si>
  <si>
    <t>fac2185</t>
  </si>
  <si>
    <t>fac2210</t>
  </si>
  <si>
    <t>fac2211</t>
  </si>
  <si>
    <t>fac2212</t>
  </si>
  <si>
    <t>fac2213</t>
  </si>
  <si>
    <t>fac2214</t>
  </si>
  <si>
    <t>fac2215</t>
  </si>
  <si>
    <t>fac2223</t>
  </si>
  <si>
    <t>fac2226</t>
  </si>
  <si>
    <t>fac2232</t>
  </si>
  <si>
    <t>fac2235</t>
  </si>
  <si>
    <t>fac2238</t>
  </si>
  <si>
    <t>fac2241</t>
  </si>
  <si>
    <t>fac2244</t>
  </si>
  <si>
    <t>fac2247</t>
  </si>
  <si>
    <t>fac2252</t>
  </si>
  <si>
    <t>fac2257</t>
  </si>
  <si>
    <t>fac2272</t>
  </si>
  <si>
    <t>fac2292</t>
  </si>
  <si>
    <t>fac2294</t>
  </si>
  <si>
    <t>fac2330</t>
  </si>
  <si>
    <t>fac2331</t>
  </si>
  <si>
    <t>fac2332</t>
  </si>
  <si>
    <t>fac2333</t>
  </si>
  <si>
    <t>fac2335</t>
  </si>
  <si>
    <t>fac2336</t>
  </si>
  <si>
    <t>fac2337</t>
  </si>
  <si>
    <t>fac2340</t>
  </si>
  <si>
    <t>fac2341</t>
  </si>
  <si>
    <t>fac2342</t>
  </si>
  <si>
    <t>fac2343</t>
  </si>
  <si>
    <t>fac2344</t>
  </si>
  <si>
    <t>fac2345</t>
  </si>
  <si>
    <t>fac2347</t>
  </si>
  <si>
    <t>fac2348</t>
  </si>
  <si>
    <t>fac2349</t>
  </si>
  <si>
    <t>fac2399</t>
  </si>
  <si>
    <t>fac2400</t>
  </si>
  <si>
    <t>fac2423</t>
  </si>
  <si>
    <t>fac2428</t>
  </si>
  <si>
    <t>fac2463</t>
  </si>
  <si>
    <t>fac2487</t>
  </si>
  <si>
    <t>fac2501</t>
  </si>
  <si>
    <t>fac2524</t>
  </si>
  <si>
    <t>fac2537</t>
  </si>
  <si>
    <t>fac2538</t>
  </si>
  <si>
    <t>fac2544</t>
  </si>
  <si>
    <t>fac2547</t>
  </si>
  <si>
    <t>fac2551</t>
  </si>
  <si>
    <t>fac2553</t>
  </si>
  <si>
    <t>fac2556</t>
  </si>
  <si>
    <t>fac2558</t>
  </si>
  <si>
    <t>fac2606</t>
  </si>
  <si>
    <t>fac2608</t>
  </si>
  <si>
    <t>fac2611</t>
  </si>
  <si>
    <t>fac2612</t>
  </si>
  <si>
    <t>fac2617</t>
  </si>
  <si>
    <t>fac2618</t>
  </si>
  <si>
    <t>fac2619</t>
  </si>
  <si>
    <t>fac2625</t>
  </si>
  <si>
    <t>fac2627</t>
  </si>
  <si>
    <t>fac2637</t>
  </si>
  <si>
    <t>fac2640</t>
  </si>
  <si>
    <t>fac2641</t>
  </si>
  <si>
    <t>fac2642</t>
  </si>
  <si>
    <t>fac2655</t>
  </si>
  <si>
    <t>fac2658</t>
  </si>
  <si>
    <t>fac2704</t>
  </si>
  <si>
    <t>fac2712</t>
  </si>
  <si>
    <t>fac2729</t>
  </si>
  <si>
    <t>fac2791</t>
  </si>
  <si>
    <t>fac2794</t>
  </si>
  <si>
    <t>fac2847</t>
  </si>
  <si>
    <t>fac2848</t>
  </si>
  <si>
    <t>fac2849</t>
  </si>
  <si>
    <t>fac2850</t>
  </si>
  <si>
    <t>fac2851</t>
  </si>
  <si>
    <t>fac2852</t>
  </si>
  <si>
    <t>fac2853</t>
  </si>
  <si>
    <t>fac2854</t>
  </si>
  <si>
    <t>fac2855</t>
  </si>
  <si>
    <t>fac2856</t>
  </si>
  <si>
    <t>fac2857</t>
  </si>
  <si>
    <t>fac2858</t>
  </si>
  <si>
    <t>fac2859</t>
  </si>
  <si>
    <t>fac2860</t>
  </si>
  <si>
    <t>fac2861</t>
  </si>
  <si>
    <t>fac2862</t>
  </si>
  <si>
    <t>fac2863</t>
  </si>
  <si>
    <t>fac2864</t>
  </si>
  <si>
    <t>fac2867</t>
  </si>
  <si>
    <t>fac2871</t>
  </si>
  <si>
    <t>fac2872</t>
  </si>
  <si>
    <t>fac2873</t>
  </si>
  <si>
    <t>fac2876</t>
  </si>
  <si>
    <t>fac2877</t>
  </si>
  <si>
    <t>fac2878</t>
  </si>
  <si>
    <t>fac2880</t>
  </si>
  <si>
    <t>fac2881</t>
  </si>
  <si>
    <t>fac2882</t>
  </si>
  <si>
    <t>fac2883</t>
  </si>
  <si>
    <t>fac2884</t>
  </si>
  <si>
    <t>fac2885</t>
  </si>
  <si>
    <t>fac2886</t>
  </si>
  <si>
    <t>fac2889</t>
  </si>
  <si>
    <t>fac2891</t>
  </si>
  <si>
    <t>fac2892</t>
  </si>
  <si>
    <t>fac2896</t>
  </si>
  <si>
    <t>fac2898</t>
  </si>
  <si>
    <t>fac2899</t>
  </si>
  <si>
    <t>fac2906</t>
  </si>
  <si>
    <t>fac2938</t>
  </si>
  <si>
    <t>fac2958</t>
  </si>
  <si>
    <t>fac0181</t>
  </si>
  <si>
    <t>fac0219</t>
  </si>
  <si>
    <t>fac0220</t>
  </si>
  <si>
    <t>fac0307</t>
  </si>
  <si>
    <t>fac0406</t>
  </si>
  <si>
    <t>fac0407</t>
  </si>
  <si>
    <t>fac0410</t>
  </si>
  <si>
    <t>fac0422</t>
  </si>
  <si>
    <t>fac0423</t>
  </si>
  <si>
    <t>fac0424</t>
  </si>
  <si>
    <t>fac0431</t>
  </si>
  <si>
    <t>fac0432</t>
  </si>
  <si>
    <t>fac0433</t>
  </si>
  <si>
    <t>fac0434</t>
  </si>
  <si>
    <t>fac0435</t>
  </si>
  <si>
    <t>fac0440</t>
  </si>
  <si>
    <t>fac0442</t>
  </si>
  <si>
    <t>fac0443</t>
  </si>
  <si>
    <t>fac0444</t>
  </si>
  <si>
    <t>fac0788</t>
  </si>
  <si>
    <t>fac1641</t>
  </si>
  <si>
    <t>fac2019</t>
  </si>
  <si>
    <t>fac2023</t>
  </si>
  <si>
    <t>fac2025</t>
  </si>
  <si>
    <t>fac2027</t>
  </si>
  <si>
    <t>fac2094</t>
  </si>
  <si>
    <t>fac2096</t>
  </si>
  <si>
    <t>fac0059</t>
  </si>
  <si>
    <t>fac0148</t>
  </si>
  <si>
    <t>fac0201</t>
  </si>
  <si>
    <t>fac0281</t>
  </si>
  <si>
    <t>fac0334</t>
  </si>
  <si>
    <t>fac0515</t>
  </si>
  <si>
    <t>fac0549</t>
  </si>
  <si>
    <t>fac0615</t>
  </si>
  <si>
    <t>fac0678</t>
  </si>
  <si>
    <t>fac0735</t>
  </si>
  <si>
    <t>fac0739</t>
  </si>
  <si>
    <t>fac0777</t>
  </si>
  <si>
    <t>fac0816</t>
  </si>
  <si>
    <t>fac0817</t>
  </si>
  <si>
    <t>fac0818</t>
  </si>
  <si>
    <t>fac0841</t>
  </si>
  <si>
    <t>fac0858</t>
  </si>
  <si>
    <t>fac0881</t>
  </si>
  <si>
    <t>fac0891</t>
  </si>
  <si>
    <t>fac0897</t>
  </si>
  <si>
    <t>fac0898</t>
  </si>
  <si>
    <t>fac1052</t>
  </si>
  <si>
    <t>fac1069</t>
  </si>
  <si>
    <t>fac1071</t>
  </si>
  <si>
    <t>fac1138</t>
  </si>
  <si>
    <t>fac1140</t>
  </si>
  <si>
    <t>fac1183</t>
  </si>
  <si>
    <t>fac1185</t>
  </si>
  <si>
    <t>fac1279</t>
  </si>
  <si>
    <t>fac1280</t>
  </si>
  <si>
    <t>fac1282</t>
  </si>
  <si>
    <t>fac1305</t>
  </si>
  <si>
    <t>fac1320</t>
  </si>
  <si>
    <t>fac1445</t>
  </si>
  <si>
    <t>fac1476</t>
  </si>
  <si>
    <t>fac1672</t>
  </si>
  <si>
    <t>fac1675</t>
  </si>
  <si>
    <t>fac1677</t>
  </si>
  <si>
    <t>fac1705</t>
  </si>
  <si>
    <t>fac1821</t>
  </si>
  <si>
    <t>fac1829</t>
  </si>
  <si>
    <t>fac1922</t>
  </si>
  <si>
    <t>fac1924</t>
  </si>
  <si>
    <t>fac1972</t>
  </si>
  <si>
    <t>fac1974</t>
  </si>
  <si>
    <t>fac1987</t>
  </si>
  <si>
    <t>fac2262</t>
  </si>
  <si>
    <t>fac2359</t>
  </si>
  <si>
    <t>fac2360</t>
  </si>
  <si>
    <t>fac2416</t>
  </si>
  <si>
    <t>fac2470</t>
  </si>
  <si>
    <t>fac2499</t>
  </si>
  <si>
    <t>fac2549</t>
  </si>
  <si>
    <t>fac2656</t>
  </si>
  <si>
    <t>fac2949</t>
  </si>
  <si>
    <t>fac2817</t>
  </si>
  <si>
    <t>fac2828</t>
  </si>
  <si>
    <t>fac0048</t>
  </si>
  <si>
    <t>fac0113</t>
  </si>
  <si>
    <t>fac0156</t>
  </si>
  <si>
    <t>fac0165</t>
  </si>
  <si>
    <t>fac0171</t>
  </si>
  <si>
    <t>fac0218</t>
  </si>
  <si>
    <t>fac0311</t>
  </si>
  <si>
    <t>fac0468</t>
  </si>
  <si>
    <t>fac0471</t>
  </si>
  <si>
    <t>fac0486</t>
  </si>
  <si>
    <t>fac0488</t>
  </si>
  <si>
    <t>fac0499</t>
  </si>
  <si>
    <t>fac1078</t>
  </si>
  <si>
    <t>fac1097</t>
  </si>
  <si>
    <t>fac1147</t>
  </si>
  <si>
    <t>fac1271</t>
  </si>
  <si>
    <t>fac1449</t>
  </si>
  <si>
    <t>fac1451</t>
  </si>
  <si>
    <t>fac1455</t>
  </si>
  <si>
    <t>fac1473</t>
  </si>
  <si>
    <t>fac1474</t>
  </si>
  <si>
    <t>fac1485</t>
  </si>
  <si>
    <t>fac1490</t>
  </si>
  <si>
    <t>fac1617</t>
  </si>
  <si>
    <t>fac1842</t>
  </si>
  <si>
    <t>fac2069</t>
  </si>
  <si>
    <t>fac2269</t>
  </si>
  <si>
    <t>fac2600</t>
  </si>
  <si>
    <t>fac2662</t>
  </si>
  <si>
    <t>fac2796</t>
  </si>
  <si>
    <t>fac0001</t>
  </si>
  <si>
    <t>fac0149</t>
  </si>
  <si>
    <t>fac0158</t>
  </si>
  <si>
    <t>fac0162</t>
  </si>
  <si>
    <t>fac0169</t>
  </si>
  <si>
    <t>fac0208</t>
  </si>
  <si>
    <t>fac0224</t>
  </si>
  <si>
    <t>fac0227</t>
  </si>
  <si>
    <t>fac0228</t>
  </si>
  <si>
    <t>fac0243</t>
  </si>
  <si>
    <t>fac0255</t>
  </si>
  <si>
    <t>fac0324</t>
  </si>
  <si>
    <t>fac0352</t>
  </si>
  <si>
    <t>fac0392</t>
  </si>
  <si>
    <t>fac0522</t>
  </si>
  <si>
    <t>fac0526</t>
  </si>
  <si>
    <t>fac0527</t>
  </si>
  <si>
    <t>fac0541</t>
  </si>
  <si>
    <t>fac0550</t>
  </si>
  <si>
    <t>fac0561</t>
  </si>
  <si>
    <t>fac0590</t>
  </si>
  <si>
    <t>fac0593</t>
  </si>
  <si>
    <t>fac0637</t>
  </si>
  <si>
    <t>fac0645</t>
  </si>
  <si>
    <t>fac0879</t>
  </si>
  <si>
    <t>fac0887</t>
  </si>
  <si>
    <t>fac0888</t>
  </si>
  <si>
    <t>fac0889</t>
  </si>
  <si>
    <t>fac1033</t>
  </si>
  <si>
    <t>fac1086</t>
  </si>
  <si>
    <t>fac1155</t>
  </si>
  <si>
    <t>fac1446</t>
  </si>
  <si>
    <t>fac1447</t>
  </si>
  <si>
    <t>fac1651</t>
  </si>
  <si>
    <t>fac1873</t>
  </si>
  <si>
    <t>fac2073</t>
  </si>
  <si>
    <t>fac2097</t>
  </si>
  <si>
    <t>fac2407</t>
  </si>
  <si>
    <t>fac2412</t>
  </si>
  <si>
    <t>fac2417</t>
  </si>
  <si>
    <t>fac2426</t>
  </si>
  <si>
    <t>fac2468</t>
  </si>
  <si>
    <t>fac2533</t>
  </si>
  <si>
    <t>fac2659</t>
  </si>
  <si>
    <t>fac2845</t>
  </si>
  <si>
    <t>fac2887</t>
  </si>
  <si>
    <t>fac2888</t>
  </si>
  <si>
    <t>fac2894</t>
  </si>
  <si>
    <t>fac2895</t>
  </si>
  <si>
    <t>fac0501</t>
  </si>
  <si>
    <t>fac1050</t>
  </si>
  <si>
    <t>fac1613</t>
  </si>
  <si>
    <t>fac1787</t>
  </si>
  <si>
    <t>fac0202</t>
  </si>
  <si>
    <t>fac0343</t>
  </si>
  <si>
    <t>fac0345</t>
  </si>
  <si>
    <t>fac0386</t>
  </si>
  <si>
    <t>fac0646</t>
  </si>
  <si>
    <t>fac0901</t>
  </si>
  <si>
    <t>fac1039</t>
  </si>
  <si>
    <t>fac1070</t>
  </si>
  <si>
    <t>fac1084</t>
  </si>
  <si>
    <t>fac1139</t>
  </si>
  <si>
    <t>fac1153</t>
  </si>
  <si>
    <t>fac1169</t>
  </si>
  <si>
    <t>fac1170</t>
  </si>
  <si>
    <t>fac1171</t>
  </si>
  <si>
    <t>fac1173</t>
  </si>
  <si>
    <t>fac1174</t>
  </si>
  <si>
    <t>fac1184</t>
  </si>
  <si>
    <t>fac1286</t>
  </si>
  <si>
    <t>fac1287</t>
  </si>
  <si>
    <t>fac1288</t>
  </si>
  <si>
    <t>fac1289</t>
  </si>
  <si>
    <t>fac1307</t>
  </si>
  <si>
    <t>fac1316</t>
  </si>
  <si>
    <t>fac1318</t>
  </si>
  <si>
    <t>fac1321</t>
  </si>
  <si>
    <t>fac1525</t>
  </si>
  <si>
    <t>fac1679</t>
  </si>
  <si>
    <t>fac1700</t>
  </si>
  <si>
    <t>fac1728</t>
  </si>
  <si>
    <t>fac1820</t>
  </si>
  <si>
    <t>fac2040</t>
  </si>
  <si>
    <t>fac2048</t>
  </si>
  <si>
    <t>fac2086</t>
  </si>
  <si>
    <t>fac2273</t>
  </si>
  <si>
    <t>fac2498</t>
  </si>
  <si>
    <t>fac2500</t>
  </si>
  <si>
    <t>fac2651</t>
  </si>
  <si>
    <t>fac2846</t>
  </si>
  <si>
    <t>fac2893</t>
  </si>
  <si>
    <t>fac2900</t>
  </si>
  <si>
    <t>fac0217</t>
  </si>
  <si>
    <t>fac2425</t>
  </si>
  <si>
    <t>fac1051</t>
  </si>
  <si>
    <t>fac1908</t>
  </si>
  <si>
    <t>fac2068</t>
  </si>
  <si>
    <t>fac2095</t>
  </si>
  <si>
    <t>fac0195</t>
  </si>
  <si>
    <t>fac0268</t>
  </si>
  <si>
    <t>fac0272</t>
  </si>
  <si>
    <t>fac0342</t>
  </si>
  <si>
    <t>fac0349</t>
  </si>
  <si>
    <t>fac0418</t>
  </si>
  <si>
    <t>fac0454</t>
  </si>
  <si>
    <t>fac0455</t>
  </si>
  <si>
    <t>fac0457</t>
  </si>
  <si>
    <t>fac0458</t>
  </si>
  <si>
    <t>fac0530</t>
  </si>
  <si>
    <t>fac0880</t>
  </si>
  <si>
    <t>fac0940</t>
  </si>
  <si>
    <t>fac1058</t>
  </si>
  <si>
    <t>fac1079</t>
  </si>
  <si>
    <t>fac1080</t>
  </si>
  <si>
    <t>fac1127</t>
  </si>
  <si>
    <t>fac1148</t>
  </si>
  <si>
    <t>fac1149</t>
  </si>
  <si>
    <t>fac1194</t>
  </si>
  <si>
    <t>fac1986</t>
  </si>
  <si>
    <t>fac2966</t>
  </si>
  <si>
    <t>fac0137</t>
  </si>
  <si>
    <t>fac1788</t>
  </si>
  <si>
    <t>fac1999</t>
  </si>
  <si>
    <t>fac0146</t>
  </si>
  <si>
    <t>fac0092</t>
  </si>
  <si>
    <t>fac1027</t>
  </si>
  <si>
    <t>fac1030</t>
  </si>
  <si>
    <t>fac1369</t>
  </si>
  <si>
    <t>fac2650</t>
  </si>
  <si>
    <t>fac2661</t>
  </si>
  <si>
    <t>fac0094</t>
  </si>
  <si>
    <t>fac0871</t>
  </si>
  <si>
    <t>fac1866</t>
  </si>
  <si>
    <t>fac2084</t>
  </si>
  <si>
    <t>fac2587</t>
  </si>
  <si>
    <t>fac0014</t>
  </si>
  <si>
    <t>fac0096</t>
  </si>
  <si>
    <t>fac0100</t>
  </si>
  <si>
    <t>fac0374</t>
  </si>
  <si>
    <t>fac1790</t>
  </si>
  <si>
    <t>fac1797</t>
  </si>
  <si>
    <t>fac1868</t>
  </si>
  <si>
    <t>fac1870</t>
  </si>
  <si>
    <t>fac1893</t>
  </si>
  <si>
    <t>fac1998</t>
  </si>
  <si>
    <t>fac2268</t>
  </si>
  <si>
    <t>fac2408</t>
  </si>
  <si>
    <t>fac2409</t>
  </si>
  <si>
    <t>fac2413</t>
  </si>
  <si>
    <t>fac2415</t>
  </si>
  <si>
    <t>fac2418</t>
  </si>
  <si>
    <t>fac2419</t>
  </si>
  <si>
    <t>fac2603</t>
  </si>
  <si>
    <t>fac2605</t>
  </si>
  <si>
    <t>fac2649</t>
  </si>
  <si>
    <t>fac2800</t>
  </si>
  <si>
    <t>fac2809</t>
  </si>
  <si>
    <t>fac2818</t>
  </si>
  <si>
    <t>fac1840</t>
  </si>
  <si>
    <t>fac2393</t>
  </si>
  <si>
    <t>fac2394</t>
  </si>
  <si>
    <t>fac0058</t>
  </si>
  <si>
    <t>fac0426</t>
  </si>
  <si>
    <t>fac0446</t>
  </si>
  <si>
    <t>fac0447</t>
  </si>
  <si>
    <t>fac0451</t>
  </si>
  <si>
    <t>fac0883</t>
  </si>
  <si>
    <t>fac1994</t>
  </si>
  <si>
    <t>fac2555</t>
  </si>
  <si>
    <t>fac2598</t>
  </si>
  <si>
    <t>fac2599</t>
  </si>
  <si>
    <t>fac2636</t>
  </si>
  <si>
    <t>fac1448</t>
  </si>
  <si>
    <t>fac1467</t>
  </si>
  <si>
    <t>fac1468</t>
  </si>
  <si>
    <t>fac1484</t>
  </si>
  <si>
    <t>fac2059</t>
  </si>
  <si>
    <t>fac2591</t>
  </si>
  <si>
    <t>fac1391</t>
  </si>
  <si>
    <t>fac0425</t>
  </si>
  <si>
    <t>fac0450</t>
  </si>
  <si>
    <t>fac0564</t>
  </si>
  <si>
    <t>fac0592</t>
  </si>
  <si>
    <t>fac0619</t>
  </si>
  <si>
    <t>fac0939</t>
  </si>
  <si>
    <t>fac1065</t>
  </si>
  <si>
    <t>fac1087</t>
  </si>
  <si>
    <t>fac1134</t>
  </si>
  <si>
    <t>fac1156</t>
  </si>
  <si>
    <t>fac1159</t>
  </si>
  <si>
    <t>fac2049</t>
  </si>
  <si>
    <t>fac2643</t>
  </si>
  <si>
    <t>fac1753</t>
  </si>
  <si>
    <t>fac2082</t>
  </si>
  <si>
    <t>fac2631</t>
  </si>
  <si>
    <t>0613_ic1400，重复实验</t>
    <phoneticPr fontId="1" type="noConversion"/>
  </si>
  <si>
    <t>0721，删除int，用PCA切割</t>
    <phoneticPr fontId="1" type="noConversion"/>
  </si>
  <si>
    <t>0613.补0</t>
    <phoneticPr fontId="1" type="noConversion"/>
  </si>
  <si>
    <t>GCN_v2</t>
    <phoneticPr fontId="1" type="noConversion"/>
  </si>
  <si>
    <t>0613.补0，threshold=0.2</t>
    <phoneticPr fontId="1" type="noConversion"/>
  </si>
  <si>
    <t>0613.补0，threshold=0.5</t>
    <phoneticPr fontId="1" type="noConversion"/>
  </si>
  <si>
    <t>0613.补0，threshold=0.2
（另一个机子上的重复试验）</t>
    <phoneticPr fontId="1" type="noConversion"/>
  </si>
  <si>
    <t>0613.补0，threshold=0.3</t>
    <phoneticPr fontId="1" type="noConversion"/>
  </si>
  <si>
    <t>0613.补0，threshold=0.4</t>
    <phoneticPr fontId="1" type="noConversion"/>
  </si>
  <si>
    <t>0613.补0，threshold=0.1</t>
    <phoneticPr fontId="1" type="noConversion"/>
  </si>
  <si>
    <t>0613_ic1400, 两年</t>
    <phoneticPr fontId="1" type="noConversion"/>
  </si>
  <si>
    <t>0613_ic1400, 多年</t>
    <phoneticPr fontId="1" type="noConversion"/>
  </si>
  <si>
    <t>多年</t>
    <phoneticPr fontId="1" type="noConversion"/>
  </si>
  <si>
    <t>两年</t>
    <phoneticPr fontId="1" type="noConversion"/>
  </si>
  <si>
    <t>ret_mix</t>
    <phoneticPr fontId="1" type="noConversion"/>
  </si>
  <si>
    <t>0613_ic1400</t>
  </si>
  <si>
    <t>0613_Lassonet1000</t>
    <phoneticPr fontId="1" type="noConversion"/>
  </si>
  <si>
    <t>0613_Lassonet1500</t>
    <phoneticPr fontId="1" type="noConversion"/>
  </si>
  <si>
    <t>0613_Lassonet2000</t>
    <phoneticPr fontId="1" type="noConversion"/>
  </si>
  <si>
    <t>0613_Lassonet2500</t>
    <phoneticPr fontId="1" type="noConversion"/>
  </si>
  <si>
    <t>读取有未来信息的图</t>
    <phoneticPr fontId="1" type="noConversion"/>
  </si>
  <si>
    <t>读取错误的图</t>
    <phoneticPr fontId="1" type="noConversion"/>
  </si>
  <si>
    <t>用边数量做门槛，流动性数据和标签生成图</t>
    <phoneticPr fontId="1" type="noConversion"/>
  </si>
  <si>
    <t>用边数量做门槛，流动性数据生成图</t>
    <phoneticPr fontId="1" type="noConversion"/>
  </si>
  <si>
    <t>季度</t>
  </si>
  <si>
    <t>重合度</t>
  </si>
  <si>
    <t>交集边数</t>
  </si>
  <si>
    <t>并集边数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</si>
  <si>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</si>
  <si>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</si>
  <si>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</si>
  <si>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</si>
  <si>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</si>
  <si>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</si>
  <si>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</si>
  <si>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</si>
  <si>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覆盖benchmark</t>
    <phoneticPr fontId="1" type="noConversion"/>
  </si>
  <si>
    <t>用相关性系数做门槛，流动性数据生成图</t>
    <phoneticPr fontId="1" type="noConversion"/>
  </si>
  <si>
    <t>自我安慰，又重新用了未来信息的图</t>
    <phoneticPr fontId="1" type="noConversion"/>
  </si>
  <si>
    <t>GCN_v3</t>
    <phoneticPr fontId="1" type="noConversion"/>
  </si>
  <si>
    <t>第一层加了KAN</t>
    <phoneticPr fontId="1" type="noConversion"/>
  </si>
  <si>
    <t>ALL</t>
  </si>
  <si>
    <t>第一层加了KAN，用banchmark的图</t>
    <phoneticPr fontId="1" type="noConversion"/>
  </si>
  <si>
    <t>对角线</t>
    <phoneticPr fontId="1" type="noConversion"/>
  </si>
  <si>
    <t>流动性+label_0.4_对角线</t>
  </si>
  <si>
    <t>未来图+对角线</t>
  </si>
  <si>
    <t>流动性_0.4_对角线</t>
  </si>
  <si>
    <t>4层GCN，但用了未来图</t>
  </si>
  <si>
    <t>4层DNN，但是换了个写法，验证代码的正确性</t>
    <phoneticPr fontId="1" type="noConversion"/>
  </si>
  <si>
    <t xml:space="preserve">MLP </t>
    <phoneticPr fontId="1" type="noConversion"/>
  </si>
  <si>
    <t>threshold=0.4,未来数据</t>
    <phoneticPr fontId="1" type="noConversion"/>
  </si>
  <si>
    <t>GCN_6.1</t>
    <phoneticPr fontId="1" type="noConversion"/>
  </si>
  <si>
    <t>GCN_6.4</t>
    <phoneticPr fontId="1" type="noConversion"/>
  </si>
  <si>
    <t>GCN_6.5</t>
    <phoneticPr fontId="1" type="noConversion"/>
  </si>
  <si>
    <t>GCN_6.8</t>
    <phoneticPr fontId="1" type="noConversion"/>
  </si>
  <si>
    <t>GCN_6.0</t>
    <phoneticPr fontId="1" type="noConversion"/>
  </si>
  <si>
    <t>DDDD</t>
    <phoneticPr fontId="1" type="noConversion"/>
  </si>
  <si>
    <t>GDDD</t>
    <phoneticPr fontId="1" type="noConversion"/>
  </si>
  <si>
    <t>GGGG</t>
    <phoneticPr fontId="1" type="noConversion"/>
  </si>
  <si>
    <t>DGDG</t>
    <phoneticPr fontId="1" type="noConversion"/>
  </si>
  <si>
    <t>DGGK</t>
    <phoneticPr fontId="1" type="noConversion"/>
  </si>
  <si>
    <t>fac0807，全因子，打乱</t>
    <phoneticPr fontId="1" type="noConversion"/>
  </si>
  <si>
    <t>fac0807，全因子，不打乱</t>
    <phoneticPr fontId="1" type="noConversion"/>
  </si>
  <si>
    <t>2023q1</t>
  </si>
  <si>
    <t>2023q2</t>
  </si>
  <si>
    <t>2024q1</t>
  </si>
  <si>
    <t>2024q2</t>
  </si>
  <si>
    <t>2024q3</t>
  </si>
  <si>
    <t>2024q4</t>
  </si>
  <si>
    <t>季度</t>
    <phoneticPr fontId="1" type="noConversion"/>
  </si>
  <si>
    <t>因字数</t>
    <phoneticPr fontId="1" type="noConversion"/>
  </si>
  <si>
    <t>GCN_7.0</t>
    <phoneticPr fontId="1" type="noConversion"/>
  </si>
  <si>
    <t>fac0807，对角线</t>
    <phoneticPr fontId="1" type="noConversion"/>
  </si>
  <si>
    <t>fac0613，对角线</t>
    <phoneticPr fontId="1" type="noConversion"/>
  </si>
  <si>
    <t>GCN_7.1</t>
    <phoneticPr fontId="1" type="noConversion"/>
  </si>
  <si>
    <t>fac0613，top3</t>
    <phoneticPr fontId="1" type="noConversion"/>
  </si>
  <si>
    <t>fac0613，top10</t>
    <phoneticPr fontId="1" type="noConversion"/>
  </si>
  <si>
    <t>GCN_7.2</t>
    <phoneticPr fontId="1" type="noConversion"/>
  </si>
  <si>
    <t>fac0613，top5</t>
    <phoneticPr fontId="1" type="noConversion"/>
  </si>
  <si>
    <t>GCN_7.3</t>
    <phoneticPr fontId="1" type="noConversion"/>
  </si>
  <si>
    <t>fac0613，全因子，打乱</t>
    <phoneticPr fontId="1" type="noConversion"/>
  </si>
  <si>
    <t>用val_wei对fold加权</t>
    <phoneticPr fontId="1" type="noConversion"/>
  </si>
  <si>
    <t>5fold，加权</t>
    <phoneticPr fontId="1" type="noConversion"/>
  </si>
  <si>
    <t>5fold，均值</t>
    <phoneticPr fontId="1" type="noConversion"/>
  </si>
  <si>
    <t>间隔5天取10天流动性+标签数据</t>
    <phoneticPr fontId="1" type="noConversion"/>
  </si>
  <si>
    <t>无流动性数据和标签数据的</t>
    <phoneticPr fontId="1" type="noConversion"/>
  </si>
  <si>
    <t>间隔5天取5天流动性+标签数据</t>
    <phoneticPr fontId="1" type="noConversion"/>
  </si>
  <si>
    <t>因子补0，间隔5天取5天流动性+标签数据</t>
    <phoneticPr fontId="1" type="noConversion"/>
  </si>
  <si>
    <t>因子补0，间隔5天取10天流动性+标签数据</t>
    <phoneticPr fontId="1" type="noConversion"/>
  </si>
  <si>
    <t>GCN</t>
    <phoneticPr fontId="1" type="noConversion"/>
  </si>
  <si>
    <t>对角线，fac0613</t>
    <phoneticPr fontId="1" type="noConversion"/>
  </si>
  <si>
    <t>二级行业分类</t>
    <phoneticPr fontId="1" type="noConversion"/>
  </si>
  <si>
    <t>三级行业分类</t>
    <phoneticPr fontId="1" type="noConversion"/>
  </si>
  <si>
    <t>Transformer</t>
    <phoneticPr fontId="1" type="noConversion"/>
  </si>
  <si>
    <t>交叉注意力</t>
    <phoneticPr fontId="1" type="noConversion"/>
  </si>
  <si>
    <t>因子补0，间隔5天取20天流动性+标签数据</t>
    <phoneticPr fontId="1" type="noConversion"/>
  </si>
  <si>
    <t>一级行业分类</t>
    <phoneticPr fontId="1" type="noConversion"/>
  </si>
  <si>
    <t>交叉注意力+门控</t>
    <phoneticPr fontId="1" type="noConversion"/>
  </si>
  <si>
    <t>交叉历史流动性数据+门控</t>
    <phoneticPr fontId="1" type="noConversion"/>
  </si>
  <si>
    <t>batch=1</t>
    <phoneticPr fontId="1" type="noConversion"/>
  </si>
  <si>
    <t>batch=2</t>
    <phoneticPr fontId="1" type="noConversion"/>
  </si>
  <si>
    <t>batch=4</t>
    <phoneticPr fontId="1" type="noConversion"/>
  </si>
  <si>
    <t>batch=8</t>
    <phoneticPr fontId="1" type="noConversion"/>
  </si>
  <si>
    <t>batch=16</t>
    <phoneticPr fontId="1" type="noConversion"/>
  </si>
  <si>
    <t>batch=32</t>
    <phoneticPr fontId="1" type="noConversion"/>
  </si>
  <si>
    <t>barra+hist+time交叉</t>
  </si>
  <si>
    <t>barra+hist交叉</t>
  </si>
  <si>
    <t>time+hist交叉、4batch打乱</t>
  </si>
  <si>
    <t>time+hist交叉、2batch打乱</t>
  </si>
  <si>
    <t>time+hist交叉、1batch打乱</t>
  </si>
  <si>
    <t>time+hist交叉</t>
  </si>
  <si>
    <t>和hist交叉</t>
  </si>
  <si>
    <t>barra交叉</t>
    <phoneticPr fontId="1" type="noConversion"/>
  </si>
  <si>
    <t>四个batchnorm</t>
    <phoneticPr fontId="1" type="noConversion"/>
  </si>
  <si>
    <t>两个batchnorm</t>
    <phoneticPr fontId="1" type="noConversion"/>
  </si>
  <si>
    <t>长度为1fold</t>
    <phoneticPr fontId="1" type="noConversion"/>
  </si>
  <si>
    <t>与test等长度</t>
    <phoneticPr fontId="1" type="noConversion"/>
  </si>
  <si>
    <t>测试周度季度效应，baseline</t>
    <phoneticPr fontId="1" type="noConversion"/>
  </si>
  <si>
    <t>时间编码在256层cat在一起</t>
    <phoneticPr fontId="1" type="noConversion"/>
  </si>
  <si>
    <t>时间编码跟因子层cat在一起</t>
    <phoneticPr fontId="1" type="noConversion"/>
  </si>
  <si>
    <t>时间编码在128层cat在一起</t>
    <phoneticPr fontId="1" type="noConversion"/>
  </si>
  <si>
    <t>时间编码在32层cat在一起</t>
    <phoneticPr fontId="1" type="noConversion"/>
  </si>
  <si>
    <t>batchsize = 1000</t>
    <phoneticPr fontId="1" type="noConversion"/>
  </si>
  <si>
    <t>batchsize = 2000</t>
    <phoneticPr fontId="1" type="noConversion"/>
  </si>
  <si>
    <t>batchsize = 4000</t>
    <phoneticPr fontId="1" type="noConversion"/>
  </si>
  <si>
    <t>batchsize = 8000</t>
    <phoneticPr fontId="1" type="noConversion"/>
  </si>
  <si>
    <t>batchsize = 16000</t>
    <phoneticPr fontId="1" type="noConversion"/>
  </si>
  <si>
    <t>batchsize = 12000</t>
    <phoneticPr fontId="1" type="noConversion"/>
  </si>
  <si>
    <t>batchsize = 800</t>
    <phoneticPr fontId="1" type="noConversion"/>
  </si>
  <si>
    <t>batchsize = 400</t>
    <phoneticPr fontId="1" type="noConversion"/>
  </si>
  <si>
    <t>batchsize = 200</t>
    <phoneticPr fontId="1" type="noConversion"/>
  </si>
  <si>
    <t>结因子层自注意力</t>
    <phoneticPr fontId="1" type="noConversion"/>
  </si>
  <si>
    <t>纯Transformer自注意力</t>
    <phoneticPr fontId="1" type="noConversion"/>
  </si>
  <si>
    <t>研究交叉的baseline</t>
    <phoneticPr fontId="1" type="noConversion"/>
  </si>
  <si>
    <t>barra加在因子层</t>
    <phoneticPr fontId="1" type="noConversion"/>
  </si>
  <si>
    <t>barra加在输出层</t>
    <phoneticPr fontId="1" type="noConversion"/>
  </si>
  <si>
    <t>hist加在因子层</t>
    <phoneticPr fontId="1" type="noConversion"/>
  </si>
  <si>
    <t>研究Transformer的baseline</t>
    <phoneticPr fontId="1" type="noConversion"/>
  </si>
  <si>
    <t>交叉barra+hist+time，转置后接MLP（与因子按照1:4比例介入）</t>
    <phoneticPr fontId="1" type="noConversion"/>
  </si>
  <si>
    <t>hist加在输出层</t>
    <phoneticPr fontId="1" type="noConversion"/>
  </si>
  <si>
    <t>time加在因子层</t>
    <phoneticPr fontId="1" type="noConversion"/>
  </si>
  <si>
    <t>time加在输出层</t>
    <phoneticPr fontId="1" type="noConversion"/>
  </si>
  <si>
    <t>交叉信息加在输出层</t>
    <phoneticPr fontId="1" type="noConversion"/>
  </si>
  <si>
    <t>交叉信息加在因子层</t>
    <phoneticPr fontId="1" type="noConversion"/>
  </si>
  <si>
    <t>打乱val、交叉所有数据、KAN输出</t>
    <phoneticPr fontId="1" type="noConversion"/>
  </si>
  <si>
    <t>DE1000</t>
    <phoneticPr fontId="1" type="noConversion"/>
  </si>
  <si>
    <t>DE2000</t>
    <phoneticPr fontId="1" type="noConversion"/>
  </si>
  <si>
    <t>0.0993</t>
  </si>
  <si>
    <t>DE500</t>
    <phoneticPr fontId="1" type="noConversion"/>
  </si>
  <si>
    <t xml:space="preserve">0.1232 </t>
  </si>
  <si>
    <t>DE1500</t>
    <phoneticPr fontId="1" type="noConversion"/>
  </si>
  <si>
    <t>IC500</t>
    <phoneticPr fontId="1" type="noConversion"/>
  </si>
  <si>
    <t>IC1000</t>
    <phoneticPr fontId="1" type="noConversion"/>
  </si>
  <si>
    <t>IC1500</t>
    <phoneticPr fontId="1" type="noConversion"/>
  </si>
  <si>
    <t>DE500 + IC500</t>
    <phoneticPr fontId="1" type="noConversion"/>
  </si>
  <si>
    <t>holiday编码在因子层</t>
    <phoneticPr fontId="1" type="noConversion"/>
  </si>
  <si>
    <t>holiday编码在输出层</t>
    <phoneticPr fontId="1" type="noConversion"/>
  </si>
  <si>
    <t>fac0807</t>
    <phoneticPr fontId="1" type="noConversion"/>
  </si>
  <si>
    <t>DE筛选</t>
    <phoneticPr fontId="1" type="noConversion"/>
  </si>
  <si>
    <t>IC筛选</t>
    <phoneticPr fontId="1" type="noConversion"/>
  </si>
  <si>
    <t>因子个数</t>
    <phoneticPr fontId="1" type="noConversion"/>
  </si>
  <si>
    <t>DE得分</t>
    <phoneticPr fontId="1" type="noConversion"/>
  </si>
  <si>
    <t>8个季度</t>
    <phoneticPr fontId="1" type="noConversion"/>
  </si>
  <si>
    <t>DE</t>
    <phoneticPr fontId="1" type="noConversion"/>
  </si>
  <si>
    <t>top500</t>
    <phoneticPr fontId="1" type="noConversion"/>
  </si>
  <si>
    <t>all</t>
    <phoneticPr fontId="1" type="noConversion"/>
  </si>
  <si>
    <t>MLP+attn</t>
    <phoneticPr fontId="1" type="noConversion"/>
  </si>
  <si>
    <t>新的集成打分</t>
    <phoneticPr fontId="1" type="noConversion"/>
  </si>
  <si>
    <t>T=5，补0，时间维度归一化</t>
    <phoneticPr fontId="1" type="noConversion"/>
  </si>
  <si>
    <t>T=5，补0，截面归一化</t>
    <phoneticPr fontId="1" type="noConversion"/>
  </si>
  <si>
    <t>T=5，补下一日，截面归一化</t>
    <phoneticPr fontId="1" type="noConversion"/>
  </si>
  <si>
    <t>T=5，补下一日，时间维度归一化</t>
    <phoneticPr fontId="1" type="noConversion"/>
  </si>
  <si>
    <t>GRU</t>
    <phoneticPr fontId="1" type="noConversion"/>
  </si>
  <si>
    <t>T=5，补下一日，截面归一化、drop=0.2、4fold</t>
    <phoneticPr fontId="1" type="noConversion"/>
  </si>
  <si>
    <t>模型参数减少</t>
    <phoneticPr fontId="1" type="noConversion"/>
  </si>
  <si>
    <t>T=3</t>
    <phoneticPr fontId="1" type="noConversion"/>
  </si>
  <si>
    <t>对比实验，baseic</t>
    <phoneticPr fontId="1" type="noConversion"/>
  </si>
  <si>
    <t>对比实验，0212_fill_zero</t>
    <phoneticPr fontId="1" type="noConversion"/>
  </si>
  <si>
    <t>T=1</t>
    <phoneticPr fontId="1" type="noConversion"/>
  </si>
  <si>
    <t>T=5，换了一个模型</t>
    <phoneticPr fontId="1" type="noConversion"/>
  </si>
  <si>
    <t>T=7</t>
    <phoneticPr fontId="1" type="noConversion"/>
  </si>
  <si>
    <t>减少线性层</t>
    <phoneticPr fontId="1" type="noConversion"/>
  </si>
  <si>
    <t>baseline</t>
    <phoneticPr fontId="1" type="noConversion"/>
  </si>
  <si>
    <t>0212_2019_fillzero_baseline</t>
    <phoneticPr fontId="1" type="noConversion"/>
  </si>
  <si>
    <t>0212_2017</t>
    <phoneticPr fontId="1" type="noConversion"/>
  </si>
  <si>
    <t>loss用label加权</t>
    <phoneticPr fontId="1" type="noConversion"/>
  </si>
  <si>
    <t>优化结构、减少训练时长、换新的数据集</t>
    <phoneticPr fontId="1" type="noConversion"/>
  </si>
  <si>
    <t>直接接循环层，直接输出</t>
    <phoneticPr fontId="1" type="noConversion"/>
  </si>
  <si>
    <t>训练集只用仅两年的数据</t>
    <phoneticPr fontId="1" type="noConversion"/>
  </si>
  <si>
    <t>压缩验证集</t>
    <phoneticPr fontId="1" type="noConversion"/>
  </si>
  <si>
    <t>5天流动性数据加在因子层</t>
    <phoneticPr fontId="1" type="noConversion"/>
  </si>
  <si>
    <t>5天流动性数据加在输出层</t>
    <phoneticPr fontId="1" type="noConversion"/>
  </si>
  <si>
    <t>流动性数据作为Rank权重将因子放大到1.2</t>
    <phoneticPr fontId="1" type="noConversion"/>
  </si>
  <si>
    <t>流动性数据直接当做权重将因子放大到1.2</t>
    <phoneticPr fontId="1" type="noConversion"/>
  </si>
  <si>
    <t>Baseline</t>
    <phoneticPr fontId="1" type="noConversion"/>
  </si>
  <si>
    <t>只学top-500</t>
    <phoneticPr fontId="1" type="noConversion"/>
  </si>
  <si>
    <t>只学top250和-250</t>
    <phoneticPr fontId="1" type="noConversion"/>
  </si>
  <si>
    <t>流动性top500+标签top500</t>
    <phoneticPr fontId="1" type="noConversion"/>
  </si>
  <si>
    <t>复制标签top500</t>
    <phoneticPr fontId="1" type="noConversion"/>
  </si>
  <si>
    <t>只学top500，减小模型</t>
    <phoneticPr fontId="1" type="noConversion"/>
  </si>
  <si>
    <t>流动性top500，减小模型</t>
    <phoneticPr fontId="1" type="noConversion"/>
  </si>
  <si>
    <t>复制流动性top500</t>
    <phoneticPr fontId="1" type="noConversion"/>
  </si>
  <si>
    <t>只学Label top300</t>
    <phoneticPr fontId="1" type="noConversion"/>
  </si>
  <si>
    <t>只学Label top100</t>
    <phoneticPr fontId="1" type="noConversion"/>
  </si>
  <si>
    <t>只学Liquid top300</t>
    <phoneticPr fontId="1" type="noConversion"/>
  </si>
  <si>
    <t>只学Liquid top100</t>
    <phoneticPr fontId="1" type="noConversion"/>
  </si>
  <si>
    <t>IC_mix（%）</t>
    <phoneticPr fontId="1" type="noConversion"/>
  </si>
  <si>
    <t>label_ret_mix（%）</t>
    <phoneticPr fontId="1" type="noConversion"/>
  </si>
  <si>
    <t>只学Liquid top1500</t>
    <phoneticPr fontId="1" type="noConversion"/>
  </si>
  <si>
    <t>只学Liquid top1000</t>
    <phoneticPr fontId="1" type="noConversion"/>
  </si>
  <si>
    <t>只学Label top1000</t>
    <phoneticPr fontId="1" type="noConversion"/>
  </si>
  <si>
    <t>只学Label top1500</t>
    <phoneticPr fontId="1" type="noConversion"/>
  </si>
  <si>
    <t>只学Liquid top500</t>
    <phoneticPr fontId="1" type="noConversion"/>
  </si>
  <si>
    <t>只学Label top500</t>
    <phoneticPr fontId="1" type="noConversion"/>
  </si>
  <si>
    <t>Label top100</t>
  </si>
  <si>
    <t>Label top300</t>
  </si>
  <si>
    <t>Label top500</t>
  </si>
  <si>
    <t>Label top1000</t>
  </si>
  <si>
    <t>Label top1500</t>
  </si>
  <si>
    <t>Liquid top100</t>
  </si>
  <si>
    <t>Liquid top300</t>
  </si>
  <si>
    <t>Liquid top500</t>
  </si>
  <si>
    <t>Liquid top1000</t>
  </si>
  <si>
    <t>Liquid top1500</t>
  </si>
  <si>
    <t>500Liquid+1000Label</t>
    <phoneticPr fontId="1" type="noConversion"/>
  </si>
  <si>
    <t>1000Liquid+500Label</t>
    <phoneticPr fontId="1" type="noConversion"/>
  </si>
  <si>
    <t>1000Liquid+1000Label</t>
    <phoneticPr fontId="1" type="noConversion"/>
  </si>
  <si>
    <t>Label top1000+last1000</t>
    <phoneticPr fontId="1" type="noConversion"/>
  </si>
  <si>
    <t>Label top500+last500</t>
    <phoneticPr fontId="1" type="noConversion"/>
  </si>
  <si>
    <t>Top 500 命中率</t>
    <phoneticPr fontId="1" type="noConversion"/>
  </si>
  <si>
    <t>Top 500 集成后命中率</t>
    <phoneticPr fontId="1" type="noConversion"/>
  </si>
  <si>
    <t>bench1整体命中率</t>
  </si>
  <si>
    <t>bench2整体命中率</t>
  </si>
  <si>
    <t>bench3整体命中率</t>
  </si>
  <si>
    <t>bench4整体命中率</t>
  </si>
  <si>
    <t>Label last500</t>
    <phoneticPr fontId="1" type="noConversion"/>
  </si>
  <si>
    <t>Label last1500</t>
    <phoneticPr fontId="1" type="noConversion"/>
  </si>
  <si>
    <t>Label las1000</t>
    <phoneticPr fontId="1" type="noConversion"/>
  </si>
  <si>
    <t>Label last2000</t>
    <phoneticPr fontId="1" type="noConversion"/>
  </si>
  <si>
    <t>Label last ALL</t>
    <phoneticPr fontId="1" type="noConversion"/>
  </si>
  <si>
    <t>ICIR_mix (%)</t>
    <phoneticPr fontId="1" type="noConversion"/>
  </si>
  <si>
    <t>stability_mix (%)</t>
    <phoneticPr fontId="1" type="noConversion"/>
  </si>
  <si>
    <t>Label last1000</t>
    <phoneticPr fontId="1" type="noConversion"/>
  </si>
  <si>
    <t>Label last300</t>
    <phoneticPr fontId="1" type="noConversion"/>
  </si>
  <si>
    <t>copy label last 500</t>
    <phoneticPr fontId="1" type="noConversion"/>
  </si>
  <si>
    <t>copy label top 500</t>
    <phoneticPr fontId="1" type="noConversion"/>
  </si>
  <si>
    <t>copy label top and last 500</t>
    <phoneticPr fontId="1" type="noConversion"/>
  </si>
  <si>
    <t>copy top500，但用的mse</t>
    <phoneticPr fontId="1" type="noConversion"/>
  </si>
  <si>
    <t>copy label top 1000</t>
    <phoneticPr fontId="1" type="noConversion"/>
  </si>
  <si>
    <t>new net baseline</t>
    <phoneticPr fontId="1" type="noConversion"/>
  </si>
  <si>
    <t>copy label top 100</t>
    <phoneticPr fontId="1" type="noConversion"/>
  </si>
  <si>
    <t>copy label top 300</t>
    <phoneticPr fontId="1" type="noConversion"/>
  </si>
  <si>
    <t>double copy label top 500</t>
    <phoneticPr fontId="1" type="noConversion"/>
  </si>
  <si>
    <t>copy label top 700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</si>
</sst>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0.00_);[Red]\(0.00\)"/>
    <numFmt numFmtId="178" formatCode="0.0000_ "/>
    <numFmt numFmtId="179" formatCode="0_ "/>
  </numFmts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8"/>
      <color rgb="FF10141A"/>
      <name val="Segoe UI"/>
      <family val="2"/>
    </font>
    <font>
      <i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176" fontId="0" fillId="0" borderId="0" xfId="0" applyNumberFormat="1" applyFill="1" applyAlignment="1">
      <alignment horizontal="center" vertical="center"/>
    </xf>
    <xf numFmtId="11" fontId="0" fillId="0" borderId="0" xfId="0" applyNumberFormat="1"/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79" fontId="4" fillId="0" borderId="0" xfId="0" applyNumberFormat="1" applyFont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179" fontId="4" fillId="0" borderId="0" xfId="0" applyNumberFormat="1" applyFont="1" applyFill="1" applyAlignment="1">
      <alignment horizontal="center" vertical="center"/>
    </xf>
    <xf numFmtId="0" fontId="5" fillId="0" borderId="0" xfId="0" applyFont="1"/>
    <xf numFmtId="178" fontId="0" fillId="0" borderId="0" xfId="0" applyNumberFormat="1" applyAlignment="1">
      <alignment horizontal="center" vertical="center" wrapText="1"/>
    </xf>
    <xf numFmtId="178" fontId="0" fillId="0" borderId="0" xfId="0" applyNumberFormat="1" applyFill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78" fontId="6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78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78" fontId="8" fillId="0" borderId="0" xfId="0" applyNumberFormat="1" applyFont="1" applyAlignment="1">
      <alignment horizontal="center" vertical="center"/>
    </xf>
    <xf numFmtId="178" fontId="0" fillId="0" borderId="0" xfId="0" applyNumberFormat="1" applyBorder="1" applyAlignment="1">
      <alignment horizontal="center" vertical="center" wrapText="1"/>
    </xf>
    <xf numFmtId="178" fontId="0" fillId="0" borderId="2" xfId="0" applyNumberFormat="1" applyBorder="1" applyAlignment="1">
      <alignment horizontal="center" vertical="center" wrapText="1"/>
    </xf>
    <xf numFmtId="178" fontId="0" fillId="0" borderId="3" xfId="0" applyNumberFormat="1" applyBorder="1" applyAlignment="1">
      <alignment horizontal="center" vertical="center" wrapText="1"/>
    </xf>
    <xf numFmtId="178" fontId="3" fillId="0" borderId="0" xfId="0" applyNumberFormat="1" applyFont="1" applyBorder="1" applyAlignment="1">
      <alignment horizontal="center" vertical="center" wrapText="1"/>
    </xf>
    <xf numFmtId="178" fontId="3" fillId="0" borderId="2" xfId="0" applyNumberFormat="1" applyFont="1" applyBorder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 wrapText="1"/>
    </xf>
    <xf numFmtId="178" fontId="9" fillId="0" borderId="0" xfId="0" applyNumberFormat="1" applyFont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20" fontId="0" fillId="0" borderId="0" xfId="0" applyNumberFormat="1"/>
    <xf numFmtId="17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78" fontId="0" fillId="2" borderId="1" xfId="0" applyNumberFormat="1" applyFill="1" applyBorder="1" applyAlignment="1">
      <alignment horizontal="center" vertical="center"/>
    </xf>
    <xf numFmtId="178" fontId="2" fillId="2" borderId="1" xfId="0" applyNumberFormat="1" applyFont="1" applyFill="1" applyBorder="1" applyAlignment="1">
      <alignment horizontal="center" vertical="center"/>
    </xf>
    <xf numFmtId="178" fontId="8" fillId="2" borderId="1" xfId="0" applyNumberFormat="1" applyFont="1" applyFill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10" fillId="0" borderId="0" xfId="0" applyFont="1"/>
    <xf numFmtId="10" fontId="2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r>
              <a:rPr lang="zh-CN" altLang="en-US"/>
              <a:t>某次结果下</a:t>
            </a:r>
            <a:r>
              <a:rPr lang="en-US"/>
              <a:t>top_k</a:t>
            </a:r>
            <a:r>
              <a:rPr lang="zh-CN"/>
              <a:t>的权重</a:t>
            </a:r>
          </a:p>
        </c:rich>
      </c:tx>
      <c:layout>
        <c:manualLayout>
          <c:xMode val="edge"/>
          <c:yMode val="edge"/>
          <c:x val="0.36435411198600182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画图!$C$14:$C$22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画图!$D$14:$D$22</c:f>
              <c:numCache>
                <c:formatCode>General</c:formatCode>
                <c:ptCount val="9"/>
                <c:pt idx="0">
                  <c:v>0.26769999999999999</c:v>
                </c:pt>
                <c:pt idx="1">
                  <c:v>0.24660000000000001</c:v>
                </c:pt>
                <c:pt idx="2">
                  <c:v>0.24049999999999999</c:v>
                </c:pt>
                <c:pt idx="3">
                  <c:v>0.23219999999999999</c:v>
                </c:pt>
                <c:pt idx="4">
                  <c:v>0.2286</c:v>
                </c:pt>
                <c:pt idx="5">
                  <c:v>0.22309999999999999</c:v>
                </c:pt>
                <c:pt idx="6">
                  <c:v>0.21540000000000001</c:v>
                </c:pt>
                <c:pt idx="7">
                  <c:v>0.21479999999999999</c:v>
                </c:pt>
                <c:pt idx="8">
                  <c:v>0.2114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F8-442A-B204-026E30E0B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1615999"/>
        <c:axId val="1181616959"/>
      </c:scatterChart>
      <c:valAx>
        <c:axId val="1181615999"/>
        <c:scaling>
          <c:orientation val="minMax"/>
          <c:max val="9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/>
                  <a:t>模型编号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1181616959"/>
        <c:crosses val="autoZero"/>
        <c:crossBetween val="midCat"/>
        <c:majorUnit val="1"/>
      </c:valAx>
      <c:valAx>
        <c:axId val="1181616959"/>
        <c:scaling>
          <c:orientation val="minMax"/>
          <c:max val="0.3000000000000000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en-US" altLang="zh-CN"/>
                  <a:t>val_wei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#,##0.00_);[Red]\(#,##0.00\)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1181615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ea typeface="宋体" panose="02010600030101010101" pitchFamily="2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352537182852143"/>
          <c:y val="5.0925925925925923E-2"/>
          <c:w val="0.75947462817147871"/>
          <c:h val="0.73727653834937301"/>
        </c:manualLayout>
      </c:layout>
      <c:scatterChart>
        <c:scatterStyle val="smoothMarker"/>
        <c:varyColors val="0"/>
        <c:ser>
          <c:idx val="0"/>
          <c:order val="0"/>
          <c:tx>
            <c:v>均值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画图!$O$16:$O$20</c:f>
              <c:numCache>
                <c:formatCode>General</c:formatCode>
                <c:ptCount val="5"/>
                <c:pt idx="0">
                  <c:v>9</c:v>
                </c:pt>
                <c:pt idx="1">
                  <c:v>7</c:v>
                </c:pt>
                <c:pt idx="2">
                  <c:v>5</c:v>
                </c:pt>
                <c:pt idx="3">
                  <c:v>3</c:v>
                </c:pt>
                <c:pt idx="4">
                  <c:v>1</c:v>
                </c:pt>
              </c:numCache>
            </c:numRef>
          </c:xVal>
          <c:yVal>
            <c:numRef>
              <c:f>画图!$P$16:$P$20</c:f>
              <c:numCache>
                <c:formatCode>General</c:formatCode>
                <c:ptCount val="5"/>
                <c:pt idx="0">
                  <c:v>0.12086944048388799</c:v>
                </c:pt>
                <c:pt idx="1">
                  <c:v>0.12068893644970501</c:v>
                </c:pt>
                <c:pt idx="2">
                  <c:v>0.120510898692973</c:v>
                </c:pt>
                <c:pt idx="3">
                  <c:v>0.119899554853789</c:v>
                </c:pt>
                <c:pt idx="4">
                  <c:v>0.11942087092628299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D6-49A3-9494-F6C9BC1999B2}"/>
            </c:ext>
          </c:extLst>
        </c:ser>
        <c:ser>
          <c:idx val="1"/>
          <c:order val="1"/>
          <c:tx>
            <c:v>加权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bg1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画图!$O$16:$O$20</c:f>
              <c:numCache>
                <c:formatCode>General</c:formatCode>
                <c:ptCount val="5"/>
                <c:pt idx="0">
                  <c:v>9</c:v>
                </c:pt>
                <c:pt idx="1">
                  <c:v>7</c:v>
                </c:pt>
                <c:pt idx="2">
                  <c:v>5</c:v>
                </c:pt>
                <c:pt idx="3">
                  <c:v>3</c:v>
                </c:pt>
                <c:pt idx="4">
                  <c:v>1</c:v>
                </c:pt>
              </c:numCache>
            </c:numRef>
          </c:xVal>
          <c:yVal>
            <c:numRef>
              <c:f>画图!$Q$16:$Q$20</c:f>
              <c:numCache>
                <c:formatCode>General</c:formatCode>
                <c:ptCount val="5"/>
                <c:pt idx="0">
                  <c:v>0.12085545886321999</c:v>
                </c:pt>
                <c:pt idx="1">
                  <c:v>0.120690387940001</c:v>
                </c:pt>
                <c:pt idx="2">
                  <c:v>0.120512439385945</c:v>
                </c:pt>
                <c:pt idx="3">
                  <c:v>0.11991398551353701</c:v>
                </c:pt>
                <c:pt idx="4">
                  <c:v>0.119420871169474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0D6-49A3-9494-F6C9BC199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259983"/>
        <c:axId val="1125256143"/>
      </c:scatterChart>
      <c:valAx>
        <c:axId val="1125259983"/>
        <c:scaling>
          <c:orientation val="minMax"/>
          <c:max val="9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en-US" altLang="zh-CN"/>
                  <a:t>topk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1125256143"/>
        <c:crosses val="autoZero"/>
        <c:crossBetween val="midCat"/>
      </c:valAx>
      <c:valAx>
        <c:axId val="11252561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en-US" altLang="zh-CN"/>
                  <a:t>IC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11252599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233333333333331"/>
          <c:y val="0.44502260134149896"/>
          <c:w val="0.14444444444444443"/>
          <c:h val="0.167204724409448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ea typeface="宋体" panose="02010600030101010101" pitchFamily="2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352537182852143"/>
          <c:y val="5.0925925925925923E-2"/>
          <c:w val="0.75947462817147871"/>
          <c:h val="0.73727653834937301"/>
        </c:manualLayout>
      </c:layout>
      <c:scatterChart>
        <c:scatterStyle val="smoothMarker"/>
        <c:varyColors val="0"/>
        <c:ser>
          <c:idx val="0"/>
          <c:order val="0"/>
          <c:tx>
            <c:v>均值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画图!$O$16:$O$20</c:f>
              <c:numCache>
                <c:formatCode>General</c:formatCode>
                <c:ptCount val="5"/>
                <c:pt idx="0">
                  <c:v>9</c:v>
                </c:pt>
                <c:pt idx="1">
                  <c:v>7</c:v>
                </c:pt>
                <c:pt idx="2">
                  <c:v>5</c:v>
                </c:pt>
                <c:pt idx="3">
                  <c:v>3</c:v>
                </c:pt>
                <c:pt idx="4">
                  <c:v>1</c:v>
                </c:pt>
              </c:numCache>
            </c:numRef>
          </c:xVal>
          <c:yVal>
            <c:numRef>
              <c:f>画图!$R$16:$R$20</c:f>
              <c:numCache>
                <c:formatCode>General</c:formatCode>
                <c:ptCount val="5"/>
                <c:pt idx="0">
                  <c:v>0.221669256006121</c:v>
                </c:pt>
                <c:pt idx="1">
                  <c:v>0.22824242569413</c:v>
                </c:pt>
                <c:pt idx="2">
                  <c:v>0.22515948938799701</c:v>
                </c:pt>
                <c:pt idx="3">
                  <c:v>0.223263595795236</c:v>
                </c:pt>
                <c:pt idx="4">
                  <c:v>0.21883415452675201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48-4AD4-B91D-B225B913D5A4}"/>
            </c:ext>
          </c:extLst>
        </c:ser>
        <c:ser>
          <c:idx val="1"/>
          <c:order val="1"/>
          <c:tx>
            <c:v>加权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bg1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画图!$O$16:$O$20</c:f>
              <c:numCache>
                <c:formatCode>General</c:formatCode>
                <c:ptCount val="5"/>
                <c:pt idx="0">
                  <c:v>9</c:v>
                </c:pt>
                <c:pt idx="1">
                  <c:v>7</c:v>
                </c:pt>
                <c:pt idx="2">
                  <c:v>5</c:v>
                </c:pt>
                <c:pt idx="3">
                  <c:v>3</c:v>
                </c:pt>
                <c:pt idx="4">
                  <c:v>1</c:v>
                </c:pt>
              </c:numCache>
            </c:numRef>
          </c:xVal>
          <c:yVal>
            <c:numRef>
              <c:f>画图!$S$16:$S$20</c:f>
              <c:numCache>
                <c:formatCode>General</c:formatCode>
                <c:ptCount val="5"/>
                <c:pt idx="0">
                  <c:v>0.222242915727038</c:v>
                </c:pt>
                <c:pt idx="1">
                  <c:v>0.22810339112761499</c:v>
                </c:pt>
                <c:pt idx="2">
                  <c:v>0.226486183065161</c:v>
                </c:pt>
                <c:pt idx="3">
                  <c:v>0.22482313548282501</c:v>
                </c:pt>
                <c:pt idx="4">
                  <c:v>0.21883415452675201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148-4AD4-B91D-B225B913D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259983"/>
        <c:axId val="1125256143"/>
      </c:scatterChart>
      <c:valAx>
        <c:axId val="1125259983"/>
        <c:scaling>
          <c:orientation val="minMax"/>
          <c:max val="9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en-US" altLang="zh-CN"/>
                  <a:t>topk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1125256143"/>
        <c:crosses val="autoZero"/>
        <c:crossBetween val="midCat"/>
      </c:valAx>
      <c:valAx>
        <c:axId val="11252561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en-US" altLang="zh-CN"/>
                  <a:t>label_ret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endParaRPr lang="zh-CN"/>
          </a:p>
        </c:txPr>
        <c:crossAx val="11252599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233333333333331"/>
          <c:y val="0.44502260134149896"/>
          <c:w val="0.14444444444444443"/>
          <c:h val="0.167204724409448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ea typeface="宋体" panose="02010600030101010101" pitchFamily="2" charset="-122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289560</xdr:colOff>
      <xdr:row>6</xdr:row>
      <xdr:rowOff>7620</xdr:rowOff>
    </xdr:from>
    <xdr:to>
      <xdr:col>13</xdr:col>
      <xdr:colOff>594360</xdr:colOff>
      <xdr:row>21</xdr:row>
      <xdr:rowOff>121920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868F409-D8DD-0D38-3508-2F5304FB02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91440</xdr:colOff>
      <xdr:row>24</xdr:row>
      <xdr:rowOff>7620</xdr:rowOff>
    </xdr:from>
    <xdr:to>
      <xdr:col>15</xdr:col>
      <xdr:colOff>396240</xdr:colOff>
      <xdr:row>39</xdr:row>
      <xdr:rowOff>121920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68324038-F953-CA06-F1FA-3AC07AAA98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22860</xdr:colOff>
      <xdr:row>23</xdr:row>
      <xdr:rowOff>60960</xdr:rowOff>
    </xdr:from>
    <xdr:to>
      <xdr:col>18</xdr:col>
      <xdr:colOff>220980</xdr:colOff>
      <xdr:row>39</xdr:row>
      <xdr:rowOff>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D9F81324-7DD7-4617-9B73-FD58EB7218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66"/>
  <sheetViews>
    <sheetView zoomScale="85" zoomScaleNormal="85" workbookViewId="0">
      <selection activeCell="D12" sqref="A1:R336"/>
    </sheetView>
  </sheetViews>
  <sheetFormatPr defaultRowHeight="13.8" x14ac:dyDescent="0.25"/>
  <cols>
    <col min="1" max="1" width="14.88671875" style="8" customWidth="1"/>
    <col min="2" max="2" width="16.6640625" style="2" customWidth="1"/>
    <col min="3" max="3" width="14.88671875" style="37" customWidth="1"/>
    <col min="4" max="4" width="14.88671875" style="9" customWidth="1"/>
    <col min="5" max="5" width="14.88671875" style="37" customWidth="1"/>
    <col min="6" max="9" width="14.88671875" style="9" customWidth="1"/>
    <col min="10" max="10" width="14.88671875" style="57" customWidth="1"/>
    <col min="11" max="11" width="14.88671875" style="9" customWidth="1"/>
    <col min="12" max="12" width="14.88671875" style="57" customWidth="1"/>
    <col min="13" max="13" width="14.88671875" style="25" customWidth="1"/>
    <col min="14" max="14" width="14.88671875" style="57" customWidth="1"/>
    <col min="15" max="15" width="14.88671875" style="9" customWidth="1"/>
    <col min="16" max="16" width="14.88671875" style="57" customWidth="1"/>
    <col min="17" max="17" width="49.21875" style="2" customWidth="1"/>
    <col min="18" max="18" width="14" customWidth="1"/>
    <col min="23" max="23" width="15.21875" customWidth="1"/>
    <col min="27" max="27" width="18.6640625" customWidth="1"/>
  </cols>
  <sheetData>
    <row r="1" spans="1:17" ht="42.75" customHeight="1" x14ac:dyDescent="0.25">
      <c r="A1" s="8" t="s">
        <v>0</v>
      </c>
      <c r="B1" s="2" t="s">
        <v>1</v>
      </c>
      <c r="C1" s="37" t="s">
        <v>2</v>
      </c>
      <c r="D1" s="9" t="s">
        <v>200</v>
      </c>
      <c r="E1" s="37" t="s">
        <v>3</v>
      </c>
      <c r="F1" s="9" t="s">
        <v>201</v>
      </c>
      <c r="G1" s="9" t="s">
        <v>6</v>
      </c>
      <c r="H1" s="9" t="s">
        <v>198</v>
      </c>
      <c r="I1" s="9" t="s">
        <v>194</v>
      </c>
      <c r="J1" s="57" t="s">
        <v>3581</v>
      </c>
      <c r="K1" s="9" t="s">
        <v>202</v>
      </c>
      <c r="L1" s="57" t="s">
        <v>3615</v>
      </c>
      <c r="M1" s="25" t="s">
        <v>193</v>
      </c>
      <c r="N1" s="57" t="s">
        <v>3582</v>
      </c>
      <c r="O1" s="9" t="s">
        <v>203</v>
      </c>
      <c r="P1" s="57" t="s">
        <v>3616</v>
      </c>
      <c r="Q1" s="2" t="s">
        <v>4</v>
      </c>
    </row>
    <row r="2" spans="1:17" ht="42.75" customHeight="1" x14ac:dyDescent="0.25">
      <c r="A2" s="8">
        <v>10.26</v>
      </c>
      <c r="B2" s="2" t="s">
        <v>5</v>
      </c>
      <c r="C2" s="37">
        <v>0.1124</v>
      </c>
      <c r="D2" s="9">
        <v>1.0244</v>
      </c>
      <c r="E2" s="37">
        <v>0.26819999999999999</v>
      </c>
      <c r="F2" s="9">
        <v>0.3982</v>
      </c>
      <c r="G2" s="9">
        <v>-0.34294642857142854</v>
      </c>
      <c r="H2" s="9">
        <v>0.74790000000000001</v>
      </c>
      <c r="I2" s="9">
        <v>0.14280000000000001</v>
      </c>
      <c r="J2" s="57">
        <f t="shared" ref="J2:J5" si="0">I2/0.1431-1</f>
        <v>-2.0964360587001352E-3</v>
      </c>
      <c r="K2" s="9">
        <v>1.5516000000000001</v>
      </c>
      <c r="L2" s="57">
        <f t="shared" ref="L2:L5" si="1">K2/1.6091 -1</f>
        <v>-3.5734261388353672E-2</v>
      </c>
      <c r="M2" s="9">
        <v>0.3075</v>
      </c>
      <c r="N2" s="57">
        <f t="shared" ref="N2:N6" si="2">M2/0.3018-1</f>
        <v>1.888667992047699E-2</v>
      </c>
      <c r="O2" s="9">
        <v>0.49</v>
      </c>
      <c r="P2" s="57">
        <f t="shared" ref="P2:P7" si="3">O2/0.4993 - 1</f>
        <v>-1.8626076507110012E-2</v>
      </c>
      <c r="Q2" s="9" t="s">
        <v>3623</v>
      </c>
    </row>
    <row r="3" spans="1:17" ht="42.75" customHeight="1" x14ac:dyDescent="0.25">
      <c r="A3" s="8">
        <v>10.26</v>
      </c>
      <c r="B3" s="2" t="s">
        <v>5</v>
      </c>
      <c r="C3" s="37">
        <v>0.1149</v>
      </c>
      <c r="D3" s="9">
        <v>1.0563</v>
      </c>
      <c r="E3" s="37">
        <v>0.26719999999999999</v>
      </c>
      <c r="F3" s="9">
        <v>0.40250000000000002</v>
      </c>
      <c r="G3" s="9">
        <v>-0.34960967741935478</v>
      </c>
      <c r="H3" s="9">
        <v>0.73899999999999999</v>
      </c>
      <c r="I3" s="9">
        <v>0.14360000000000001</v>
      </c>
      <c r="J3" s="57">
        <f t="shared" si="0"/>
        <v>3.4940600978337066E-3</v>
      </c>
      <c r="K3" s="9">
        <v>1.5634999999999999</v>
      </c>
      <c r="L3" s="57">
        <f t="shared" si="1"/>
        <v>-2.8338822944503184E-2</v>
      </c>
      <c r="M3" s="9">
        <v>0.3054</v>
      </c>
      <c r="N3" s="57">
        <f t="shared" si="2"/>
        <v>1.1928429423459175E-2</v>
      </c>
      <c r="O3" s="9">
        <v>0.49120000000000003</v>
      </c>
      <c r="P3" s="57">
        <f t="shared" si="3"/>
        <v>-1.6222711796515132E-2</v>
      </c>
      <c r="Q3" s="9" t="s">
        <v>3628</v>
      </c>
    </row>
    <row r="4" spans="1:17" ht="42.75" customHeight="1" x14ac:dyDescent="0.25">
      <c r="A4" s="8">
        <v>10.26</v>
      </c>
      <c r="B4" s="2" t="s">
        <v>5</v>
      </c>
      <c r="C4" s="37">
        <v>0.11360000000000001</v>
      </c>
      <c r="D4" s="9">
        <v>1.0512999999999999</v>
      </c>
      <c r="E4" s="37">
        <v>0.2702</v>
      </c>
      <c r="F4" s="9">
        <v>0.39979999999999999</v>
      </c>
      <c r="G4" s="9">
        <v>-0.34839629629629626</v>
      </c>
      <c r="H4" s="9">
        <v>0.72529999999999994</v>
      </c>
      <c r="I4" s="9">
        <v>0.14360000000000001</v>
      </c>
      <c r="J4" s="57">
        <f t="shared" si="0"/>
        <v>3.4940600978337066E-3</v>
      </c>
      <c r="K4" s="9">
        <v>1.5668</v>
      </c>
      <c r="L4" s="57">
        <f t="shared" si="1"/>
        <v>-2.6287987073519314E-2</v>
      </c>
      <c r="M4" s="9">
        <v>0.31240000000000001</v>
      </c>
      <c r="N4" s="57">
        <f t="shared" si="2"/>
        <v>3.5122597746852113E-2</v>
      </c>
      <c r="O4" s="9">
        <v>0.50180000000000002</v>
      </c>
      <c r="P4" s="57">
        <f t="shared" si="3"/>
        <v>5.0070098137391383E-3</v>
      </c>
      <c r="Q4" s="9" t="s">
        <v>3620</v>
      </c>
    </row>
    <row r="5" spans="1:17" ht="42.75" customHeight="1" x14ac:dyDescent="0.25">
      <c r="A5" s="8">
        <v>10.26</v>
      </c>
      <c r="B5" s="2" t="s">
        <v>5</v>
      </c>
      <c r="C5" s="37">
        <v>9.9400000000000002E-2</v>
      </c>
      <c r="D5" s="9">
        <v>0.83940000000000003</v>
      </c>
      <c r="E5" s="37">
        <v>0.25840000000000002</v>
      </c>
      <c r="F5" s="9">
        <v>0.4007</v>
      </c>
      <c r="G5" s="9">
        <v>-0.39516774193548382</v>
      </c>
      <c r="H5" s="9">
        <v>0.66600000000000004</v>
      </c>
      <c r="I5" s="9">
        <v>0.1421</v>
      </c>
      <c r="J5" s="57">
        <f t="shared" si="0"/>
        <v>-6.9881201956674133E-3</v>
      </c>
      <c r="K5" s="9">
        <v>1.5093000000000001</v>
      </c>
      <c r="L5" s="57">
        <f t="shared" si="1"/>
        <v>-6.2022248461872986E-2</v>
      </c>
      <c r="M5" s="9">
        <v>0.30790000000000001</v>
      </c>
      <c r="N5" s="57">
        <f t="shared" si="2"/>
        <v>2.0212060967528034E-2</v>
      </c>
      <c r="O5" s="9">
        <v>0.49769999999999998</v>
      </c>
      <c r="P5" s="57">
        <f t="shared" si="3"/>
        <v>-3.2044862807931729E-3</v>
      </c>
      <c r="Q5" s="9" t="s">
        <v>3627</v>
      </c>
    </row>
    <row r="6" spans="1:17" ht="42.75" customHeight="1" x14ac:dyDescent="0.25">
      <c r="A6" s="8">
        <v>10.26</v>
      </c>
      <c r="B6" s="2" t="s">
        <v>5</v>
      </c>
      <c r="C6" s="37">
        <v>0.1104</v>
      </c>
      <c r="D6" s="9">
        <v>1.0127999999999999</v>
      </c>
      <c r="E6" s="37">
        <v>0.26800000000000002</v>
      </c>
      <c r="F6" s="9">
        <v>0.40279999999999999</v>
      </c>
      <c r="G6" s="9">
        <v>-0.35342499999999999</v>
      </c>
      <c r="H6" s="9">
        <v>0.72950000000000004</v>
      </c>
      <c r="I6" s="9">
        <v>0.14280000000000001</v>
      </c>
      <c r="J6" s="57">
        <f t="shared" ref="J5:J11" si="4">I6/0.1431-1</f>
        <v>-2.0964360587001352E-3</v>
      </c>
      <c r="K6" s="9">
        <v>1.5462</v>
      </c>
      <c r="L6" s="57">
        <f t="shared" ref="L5:L11" si="5">K6/1.6091 -1</f>
        <v>-3.909017463178166E-2</v>
      </c>
      <c r="M6" s="9">
        <v>0.30719999999999997</v>
      </c>
      <c r="N6" s="57">
        <f t="shared" si="2"/>
        <v>1.7892644135188762E-2</v>
      </c>
      <c r="O6" s="9">
        <v>0.49390000000000001</v>
      </c>
      <c r="P6" s="57">
        <f t="shared" si="3"/>
        <v>-1.0815141197676792E-2</v>
      </c>
      <c r="Q6" s="9" t="s">
        <v>3623</v>
      </c>
    </row>
    <row r="7" spans="1:17" ht="42.75" customHeight="1" x14ac:dyDescent="0.25">
      <c r="A7" s="8">
        <v>10.26</v>
      </c>
      <c r="B7" s="2" t="s">
        <v>5</v>
      </c>
      <c r="C7" s="37">
        <v>0.1132</v>
      </c>
      <c r="D7" s="9">
        <v>1.0364</v>
      </c>
      <c r="E7" s="37">
        <v>0.26929999999999998</v>
      </c>
      <c r="F7" s="9">
        <v>0.39150000000000001</v>
      </c>
      <c r="G7" s="9">
        <v>-0.3505178571428571</v>
      </c>
      <c r="H7" s="9">
        <v>0.71919999999999995</v>
      </c>
      <c r="I7" s="9">
        <v>0.14360000000000001</v>
      </c>
      <c r="J7" s="57">
        <f t="shared" si="4"/>
        <v>3.4940600978337066E-3</v>
      </c>
      <c r="K7" s="9">
        <v>1.5644</v>
      </c>
      <c r="L7" s="57">
        <f t="shared" si="5"/>
        <v>-2.7779504070598482E-2</v>
      </c>
      <c r="M7" s="9">
        <v>0.31319999999999998</v>
      </c>
      <c r="N7" s="57">
        <f t="shared" ref="N5:N11" si="6">M7/0.3018-1</f>
        <v>3.7773359840954202E-2</v>
      </c>
      <c r="O7" s="9">
        <v>0.49680000000000002</v>
      </c>
      <c r="P7" s="57">
        <f t="shared" si="3"/>
        <v>-5.0070098137392494E-3</v>
      </c>
      <c r="Q7" s="9" t="s">
        <v>3620</v>
      </c>
    </row>
    <row r="8" spans="1:17" ht="42.75" customHeight="1" x14ac:dyDescent="0.25">
      <c r="A8" s="8">
        <v>10.26</v>
      </c>
      <c r="B8" s="2" t="s">
        <v>5</v>
      </c>
      <c r="C8" s="37">
        <v>0.1132</v>
      </c>
      <c r="D8" s="9">
        <v>1.0382</v>
      </c>
      <c r="E8" s="37">
        <v>0.27610000000000001</v>
      </c>
      <c r="F8" s="9">
        <v>0.4088</v>
      </c>
      <c r="G8" s="9">
        <v>-0.36492333333333332</v>
      </c>
      <c r="H8" s="9">
        <v>0.71840000000000004</v>
      </c>
      <c r="I8" s="9">
        <v>0.14360000000000001</v>
      </c>
      <c r="J8" s="57">
        <f t="shared" si="4"/>
        <v>3.4940600978337066E-3</v>
      </c>
      <c r="K8" s="9">
        <v>1.5697000000000001</v>
      </c>
      <c r="L8" s="57">
        <f t="shared" si="5"/>
        <v>-2.4485737368715399E-2</v>
      </c>
      <c r="M8" s="9">
        <v>0.31240000000000001</v>
      </c>
      <c r="N8" s="57">
        <f t="shared" si="6"/>
        <v>3.5122597746852113E-2</v>
      </c>
      <c r="O8" s="9">
        <v>0.49580000000000002</v>
      </c>
      <c r="P8" s="57">
        <f t="shared" ref="P5:P12" si="7">O8/0.4993 - 1</f>
        <v>-7.0098137392349269E-3</v>
      </c>
      <c r="Q8" s="9" t="s">
        <v>3626</v>
      </c>
    </row>
    <row r="9" spans="1:17" ht="42.75" customHeight="1" x14ac:dyDescent="0.25">
      <c r="A9" s="8">
        <v>10.26</v>
      </c>
      <c r="B9" s="2" t="s">
        <v>5</v>
      </c>
      <c r="C9" s="37">
        <v>0.1123</v>
      </c>
      <c r="D9" s="9">
        <v>1.1055999999999999</v>
      </c>
      <c r="E9" s="37">
        <v>0.2646</v>
      </c>
      <c r="F9" s="9">
        <v>0.38440000000000002</v>
      </c>
      <c r="G9" s="9">
        <v>-0.34458387096774196</v>
      </c>
      <c r="H9" s="9">
        <v>0.71440000000000003</v>
      </c>
      <c r="I9" s="9">
        <v>0.14349999999999999</v>
      </c>
      <c r="J9" s="57">
        <f t="shared" si="4"/>
        <v>2.7952480782669209E-3</v>
      </c>
      <c r="K9" s="9">
        <v>1.571</v>
      </c>
      <c r="L9" s="57">
        <f t="shared" si="5"/>
        <v>-2.3677832328630966E-2</v>
      </c>
      <c r="M9" s="9">
        <v>0.30880000000000002</v>
      </c>
      <c r="N9" s="57">
        <f t="shared" si="6"/>
        <v>2.3194168323392939E-2</v>
      </c>
      <c r="O9" s="9">
        <v>0.49109999999999998</v>
      </c>
      <c r="P9" s="57">
        <f t="shared" si="7"/>
        <v>-1.6422992189064733E-2</v>
      </c>
      <c r="Q9" s="9" t="s">
        <v>3625</v>
      </c>
    </row>
    <row r="10" spans="1:17" ht="42.75" customHeight="1" x14ac:dyDescent="0.25">
      <c r="A10" s="8">
        <v>10.26</v>
      </c>
      <c r="B10" s="2" t="s">
        <v>5</v>
      </c>
      <c r="C10" s="37">
        <v>0.1303</v>
      </c>
      <c r="D10" s="9">
        <v>1.5062</v>
      </c>
      <c r="E10" s="37">
        <v>0.28389999999999999</v>
      </c>
      <c r="F10" s="9">
        <v>0.45140000000000002</v>
      </c>
      <c r="G10" s="9">
        <v>-0.29969310344827582</v>
      </c>
      <c r="H10" s="9">
        <v>0.83460000000000001</v>
      </c>
      <c r="I10" s="9">
        <v>0.1447</v>
      </c>
      <c r="J10" s="57">
        <f t="shared" si="4"/>
        <v>1.1180992313067684E-2</v>
      </c>
      <c r="K10" s="9">
        <v>1.6175999999999999</v>
      </c>
      <c r="L10" s="57">
        <f t="shared" si="5"/>
        <v>5.282456031321825E-3</v>
      </c>
      <c r="M10" s="9">
        <v>0.30590000000000001</v>
      </c>
      <c r="N10" s="57">
        <f t="shared" si="6"/>
        <v>1.3585155732273035E-2</v>
      </c>
      <c r="O10" s="9">
        <v>0.49890000000000001</v>
      </c>
      <c r="P10" s="57">
        <f t="shared" si="7"/>
        <v>-8.0112157019829322E-4</v>
      </c>
      <c r="Q10" s="9" t="s">
        <v>3624</v>
      </c>
    </row>
    <row r="11" spans="1:17" ht="42.75" customHeight="1" x14ac:dyDescent="0.25">
      <c r="A11" s="8">
        <v>10.24</v>
      </c>
      <c r="B11" s="2" t="s">
        <v>5</v>
      </c>
      <c r="C11" s="37">
        <v>0.12909999999999999</v>
      </c>
      <c r="D11" s="9">
        <v>1.4612000000000001</v>
      </c>
      <c r="E11" s="37">
        <v>0.27579999999999999</v>
      </c>
      <c r="F11" s="9">
        <v>0.44340000000000002</v>
      </c>
      <c r="G11" s="9">
        <v>-0.29171249999999993</v>
      </c>
      <c r="H11" s="9">
        <v>0.84</v>
      </c>
      <c r="I11" s="9">
        <v>0.14419999999999999</v>
      </c>
      <c r="J11" s="57">
        <f t="shared" si="4"/>
        <v>7.686932215233977E-3</v>
      </c>
      <c r="K11" s="9">
        <v>1.6035999999999999</v>
      </c>
      <c r="L11" s="57">
        <f t="shared" si="5"/>
        <v>-3.4180597849730043E-3</v>
      </c>
      <c r="M11" s="9">
        <v>0.30170000000000002</v>
      </c>
      <c r="N11" s="57">
        <f t="shared" si="6"/>
        <v>-3.3134526176270551E-4</v>
      </c>
      <c r="O11" s="9">
        <v>0.496</v>
      </c>
      <c r="P11" s="57">
        <f t="shared" si="7"/>
        <v>-6.6092529541358358E-3</v>
      </c>
      <c r="Q11" s="2" t="s">
        <v>3624</v>
      </c>
    </row>
    <row r="12" spans="1:17" ht="42.75" customHeight="1" x14ac:dyDescent="0.25">
      <c r="A12" s="8">
        <v>10.24</v>
      </c>
      <c r="B12" s="2" t="s">
        <v>5</v>
      </c>
      <c r="C12" s="37">
        <v>0.1143</v>
      </c>
      <c r="D12" s="9">
        <v>1.0758000000000001</v>
      </c>
      <c r="E12" s="37">
        <v>0.27389999999999998</v>
      </c>
      <c r="F12" s="9">
        <v>0.4214</v>
      </c>
      <c r="G12" s="9">
        <v>-0.34650624999999996</v>
      </c>
      <c r="H12" s="9">
        <v>0.73699999999999999</v>
      </c>
      <c r="I12" s="9">
        <v>0.14349999999999999</v>
      </c>
      <c r="J12" s="57">
        <f t="shared" ref="J12:J15" si="8">I12/0.1431-1</f>
        <v>2.7952480782669209E-3</v>
      </c>
      <c r="K12" s="9">
        <v>1.554</v>
      </c>
      <c r="L12" s="57">
        <f t="shared" ref="L12:L15" si="9">K12/1.6091 -1</f>
        <v>-3.4242744391274615E-2</v>
      </c>
      <c r="M12" s="9">
        <v>0.31119999999999998</v>
      </c>
      <c r="N12" s="57">
        <f t="shared" ref="N12:N14" si="10">M12/0.3018-1</f>
        <v>3.1146454605698981E-2</v>
      </c>
      <c r="O12" s="9">
        <v>0.50339999999999996</v>
      </c>
      <c r="P12" s="57">
        <f t="shared" si="7"/>
        <v>8.2114960945323112E-3</v>
      </c>
      <c r="Q12" s="2" t="s">
        <v>3623</v>
      </c>
    </row>
    <row r="13" spans="1:17" ht="42.75" customHeight="1" x14ac:dyDescent="0.25">
      <c r="A13" s="8">
        <v>10.24</v>
      </c>
      <c r="B13" s="2" t="s">
        <v>5</v>
      </c>
      <c r="C13" s="37">
        <v>0.1125</v>
      </c>
      <c r="D13" s="9">
        <v>0.97829999999999995</v>
      </c>
      <c r="E13" s="37">
        <v>0.26190000000000002</v>
      </c>
      <c r="F13" s="9">
        <v>0.37069999999999997</v>
      </c>
      <c r="G13" s="9">
        <v>0.95905862068965486</v>
      </c>
      <c r="H13" s="9">
        <v>0.71589999999999998</v>
      </c>
      <c r="I13" s="9">
        <v>0.14369999999999999</v>
      </c>
      <c r="J13" s="57">
        <f t="shared" si="8"/>
        <v>4.1928721174002703E-3</v>
      </c>
      <c r="K13" s="9">
        <v>1.5585</v>
      </c>
      <c r="L13" s="57">
        <f t="shared" si="9"/>
        <v>-3.1446150021751329E-2</v>
      </c>
      <c r="M13" s="9">
        <v>0.30549999999999999</v>
      </c>
      <c r="N13" s="57">
        <f t="shared" si="10"/>
        <v>1.2259774685221991E-2</v>
      </c>
      <c r="O13" s="9">
        <v>0.4834</v>
      </c>
      <c r="P13" s="57">
        <f t="shared" ref="P13:P14" si="11">O13/0.4993 - 1</f>
        <v>-3.1844582415381573E-2</v>
      </c>
      <c r="Q13" s="2" t="s">
        <v>3622</v>
      </c>
    </row>
    <row r="14" spans="1:17" ht="42.75" customHeight="1" x14ac:dyDescent="0.25">
      <c r="A14" s="8">
        <v>10.23</v>
      </c>
      <c r="B14" s="2" t="s">
        <v>5</v>
      </c>
      <c r="C14" s="37">
        <v>0.1308</v>
      </c>
      <c r="D14" s="9">
        <v>1.4211</v>
      </c>
      <c r="E14" s="37">
        <v>0.27579999999999999</v>
      </c>
      <c r="F14" s="9">
        <v>0.45540000000000003</v>
      </c>
      <c r="G14" s="9">
        <v>-0.33466129032258068</v>
      </c>
      <c r="H14" s="9">
        <v>0.83709999999999996</v>
      </c>
      <c r="I14" s="9">
        <v>0.14460000000000001</v>
      </c>
      <c r="J14" s="57">
        <f t="shared" si="8"/>
        <v>1.048218029350112E-2</v>
      </c>
      <c r="K14" s="9">
        <v>1.6044</v>
      </c>
      <c r="L14" s="57">
        <f t="shared" si="9"/>
        <v>-2.9208874526132078E-3</v>
      </c>
      <c r="M14" s="9">
        <v>0.30520000000000003</v>
      </c>
      <c r="N14" s="57">
        <f t="shared" si="10"/>
        <v>1.1265738899933764E-2</v>
      </c>
      <c r="O14" s="9">
        <v>0.50070000000000003</v>
      </c>
      <c r="P14" s="57">
        <f t="shared" si="11"/>
        <v>2.8039254956939708E-3</v>
      </c>
      <c r="Q14" s="2" t="s">
        <v>3621</v>
      </c>
    </row>
    <row r="15" spans="1:17" ht="42.75" customHeight="1" x14ac:dyDescent="0.25">
      <c r="A15" s="8">
        <v>10.23</v>
      </c>
      <c r="B15" s="2" t="s">
        <v>5</v>
      </c>
      <c r="C15" s="37">
        <v>0.1145</v>
      </c>
      <c r="D15" s="9">
        <v>1.0952999999999999</v>
      </c>
      <c r="E15" s="37">
        <v>0.28299999999999997</v>
      </c>
      <c r="F15" s="9">
        <v>0.42759999999999998</v>
      </c>
      <c r="G15" s="9">
        <v>-0.3472310344827586</v>
      </c>
      <c r="H15" s="9">
        <v>0.72560000000000002</v>
      </c>
      <c r="I15" s="9">
        <v>0.14380000000000001</v>
      </c>
      <c r="J15" s="57">
        <f t="shared" si="8"/>
        <v>4.8916841369672781E-3</v>
      </c>
      <c r="K15" s="9">
        <v>1.5724</v>
      </c>
      <c r="L15" s="57">
        <f t="shared" si="9"/>
        <v>-2.2807780747001405E-2</v>
      </c>
      <c r="M15" s="9">
        <v>0.31409999999999999</v>
      </c>
      <c r="N15" s="57">
        <f t="shared" ref="N15:N17" si="12">M15/0.3018-1</f>
        <v>4.0755467196819106E-2</v>
      </c>
      <c r="O15" s="9">
        <v>0.50349999999999995</v>
      </c>
      <c r="P15" s="57">
        <f t="shared" ref="P15:P17" si="13">O15/0.4993 - 1</f>
        <v>8.4117764870816902E-3</v>
      </c>
      <c r="Q15" s="2" t="s">
        <v>3620</v>
      </c>
    </row>
    <row r="16" spans="1:17" ht="42.75" customHeight="1" x14ac:dyDescent="0.25">
      <c r="A16" s="8">
        <v>10.23</v>
      </c>
      <c r="B16" s="2" t="s">
        <v>5</v>
      </c>
      <c r="C16" s="37">
        <v>0.11940000000000001</v>
      </c>
      <c r="D16" s="9">
        <v>1.2969999999999999</v>
      </c>
      <c r="E16" s="37">
        <v>0.25319999999999998</v>
      </c>
      <c r="F16" s="9">
        <v>0.45419999999999999</v>
      </c>
      <c r="G16" s="9">
        <v>-0.33980769230769226</v>
      </c>
      <c r="H16" s="9">
        <v>0.77639999999999998</v>
      </c>
      <c r="I16" s="9">
        <v>0.14460000000000001</v>
      </c>
      <c r="J16" s="57">
        <f t="shared" ref="J16:J17" si="14">I16/0.1431-1</f>
        <v>1.048218029350112E-2</v>
      </c>
      <c r="K16" s="9">
        <v>1.5942000000000001</v>
      </c>
      <c r="L16" s="57">
        <f t="shared" ref="L16:L18" si="15">K16/1.6091 -1</f>
        <v>-9.25983469019942E-3</v>
      </c>
      <c r="M16" s="9">
        <v>0.30030000000000001</v>
      </c>
      <c r="N16" s="57">
        <f t="shared" si="12"/>
        <v>-4.9701789264413598E-3</v>
      </c>
      <c r="O16" s="9">
        <v>0.49719999999999998</v>
      </c>
      <c r="P16" s="57">
        <f t="shared" si="13"/>
        <v>-4.2058882435410672E-3</v>
      </c>
      <c r="Q16" s="2" t="s">
        <v>3619</v>
      </c>
    </row>
    <row r="17" spans="1:17" ht="42.75" customHeight="1" x14ac:dyDescent="0.25">
      <c r="A17" s="8">
        <v>10.19</v>
      </c>
      <c r="B17" s="2" t="s">
        <v>5</v>
      </c>
      <c r="C17" s="37">
        <v>0.1263</v>
      </c>
      <c r="D17" s="9">
        <v>1.3956</v>
      </c>
      <c r="E17" s="37">
        <v>0.24959999999999999</v>
      </c>
      <c r="F17" s="9">
        <v>0.43159999999999998</v>
      </c>
      <c r="G17" s="9">
        <v>-0.20905357142857148</v>
      </c>
      <c r="H17" s="9">
        <v>0.86809999999999998</v>
      </c>
      <c r="I17" s="9">
        <v>0.1429</v>
      </c>
      <c r="J17" s="57">
        <f t="shared" si="14"/>
        <v>-1.3976240391334604E-3</v>
      </c>
      <c r="K17" s="9">
        <v>1.5734999999999999</v>
      </c>
      <c r="L17" s="57">
        <f t="shared" si="15"/>
        <v>-2.2124168790006893E-2</v>
      </c>
      <c r="M17" s="9">
        <v>0.29499999999999998</v>
      </c>
      <c r="N17" s="57">
        <f t="shared" si="12"/>
        <v>-2.2531477799867528E-2</v>
      </c>
      <c r="O17" s="9">
        <v>0.48609999999999998</v>
      </c>
      <c r="P17" s="57">
        <f t="shared" si="13"/>
        <v>-2.6437011816543232E-2</v>
      </c>
      <c r="Q17" s="2" t="s">
        <v>3614</v>
      </c>
    </row>
    <row r="18" spans="1:17" ht="42.75" customHeight="1" x14ac:dyDescent="0.25">
      <c r="A18" s="8">
        <v>10.19</v>
      </c>
      <c r="B18" s="2" t="s">
        <v>5</v>
      </c>
      <c r="C18" s="37">
        <v>3.3500000000000002E-2</v>
      </c>
      <c r="D18" s="9">
        <v>0.25719999999999998</v>
      </c>
      <c r="E18" s="37">
        <v>3.2000000000000002E-3</v>
      </c>
      <c r="F18" s="9">
        <v>2.3800000000000002E-2</v>
      </c>
      <c r="G18" s="9">
        <v>-0.58551724137931027</v>
      </c>
      <c r="H18" s="9">
        <v>0.31540000000000001</v>
      </c>
      <c r="I18" s="9">
        <v>0.13919999999999999</v>
      </c>
      <c r="J18" s="57">
        <f t="shared" ref="J18:J22" si="16">I18/0.1431-1</f>
        <v>-2.7253668763102867E-2</v>
      </c>
      <c r="K18" s="9">
        <v>1.5179</v>
      </c>
      <c r="L18" s="57">
        <f t="shared" si="15"/>
        <v>-5.6677645889006256E-2</v>
      </c>
      <c r="M18" s="9">
        <v>0.28520000000000001</v>
      </c>
      <c r="N18" s="57">
        <f t="shared" ref="N18:N23" si="17">M18/0.3018-1</f>
        <v>-5.5003313452617664E-2</v>
      </c>
      <c r="O18" s="9">
        <v>0.52190000000000003</v>
      </c>
      <c r="P18" s="57">
        <f t="shared" ref="P18:P82" si="18">O18/0.4993 - 1</f>
        <v>4.5263368716202734E-2</v>
      </c>
      <c r="Q18" s="2" t="s">
        <v>3613</v>
      </c>
    </row>
    <row r="19" spans="1:17" ht="42.75" customHeight="1" x14ac:dyDescent="0.25">
      <c r="A19" s="8">
        <v>10.19</v>
      </c>
      <c r="B19" s="2" t="s">
        <v>5</v>
      </c>
      <c r="C19" s="37">
        <v>3.32E-2</v>
      </c>
      <c r="D19" s="9">
        <v>0.2487</v>
      </c>
      <c r="E19" s="37">
        <v>3.8E-3</v>
      </c>
      <c r="F19" s="9">
        <v>2.9399999999999999E-2</v>
      </c>
      <c r="G19" s="9">
        <v>-0.57827857142857142</v>
      </c>
      <c r="H19" s="9">
        <v>0.31459999999999999</v>
      </c>
      <c r="I19" s="9">
        <v>0.13919999999999999</v>
      </c>
      <c r="J19" s="57">
        <f t="shared" si="16"/>
        <v>-2.7253668763102867E-2</v>
      </c>
      <c r="K19" s="9">
        <v>1.5096000000000001</v>
      </c>
      <c r="L19" s="57">
        <f t="shared" ref="L19:L82" si="19">K19/1.6091 -1</f>
        <v>-6.183580883723816E-2</v>
      </c>
      <c r="M19" s="9">
        <v>0.28670000000000001</v>
      </c>
      <c r="N19" s="57">
        <f t="shared" si="17"/>
        <v>-5.0033134526176304E-2</v>
      </c>
      <c r="O19" s="9">
        <v>0.52010000000000001</v>
      </c>
      <c r="P19" s="57">
        <f t="shared" si="18"/>
        <v>4.1658321650310359E-2</v>
      </c>
      <c r="Q19" s="2" t="s">
        <v>3611</v>
      </c>
    </row>
    <row r="20" spans="1:17" ht="42.75" customHeight="1" x14ac:dyDescent="0.25">
      <c r="A20" s="8">
        <v>10.19</v>
      </c>
      <c r="B20" s="2" t="s">
        <v>5</v>
      </c>
      <c r="C20" s="37">
        <v>4.2500000000000003E-2</v>
      </c>
      <c r="D20" s="9">
        <v>0.33560000000000001</v>
      </c>
      <c r="E20" s="37">
        <v>2.5999999999999999E-3</v>
      </c>
      <c r="F20" s="9">
        <v>1.83E-2</v>
      </c>
      <c r="G20" s="9">
        <v>-0.5524888888888887</v>
      </c>
      <c r="H20" s="9">
        <v>0.29149999999999998</v>
      </c>
      <c r="I20" s="9">
        <v>0.13880000000000001</v>
      </c>
      <c r="J20" s="57">
        <f t="shared" si="16"/>
        <v>-3.0048916841369677E-2</v>
      </c>
      <c r="K20" s="9">
        <v>1.5125999999999999</v>
      </c>
      <c r="L20" s="57">
        <f t="shared" si="19"/>
        <v>-5.9971412590889339E-2</v>
      </c>
      <c r="M20" s="9">
        <v>0.28360000000000002</v>
      </c>
      <c r="N20" s="57">
        <f t="shared" si="17"/>
        <v>-6.0304837640821729E-2</v>
      </c>
      <c r="O20" s="9">
        <v>0.51949999999999996</v>
      </c>
      <c r="P20" s="57">
        <f t="shared" si="18"/>
        <v>4.0456639295012975E-2</v>
      </c>
      <c r="Q20" s="2" t="s">
        <v>3612</v>
      </c>
    </row>
    <row r="21" spans="1:17" ht="42.75" customHeight="1" x14ac:dyDescent="0.25">
      <c r="A21" s="8">
        <v>10.19</v>
      </c>
      <c r="B21" s="2" t="s">
        <v>5</v>
      </c>
      <c r="C21" s="37">
        <v>4.2999999999999997E-2</v>
      </c>
      <c r="D21" s="9">
        <v>0.40060000000000001</v>
      </c>
      <c r="E21" s="37">
        <v>1.6999999999999999E-3</v>
      </c>
      <c r="F21" s="9">
        <v>1.2200000000000001E-2</v>
      </c>
      <c r="G21" s="9">
        <v>-0.56879655172413801</v>
      </c>
      <c r="H21" s="9">
        <v>0.28889999999999999</v>
      </c>
      <c r="I21" s="9">
        <v>0.1406</v>
      </c>
      <c r="J21" s="57">
        <f t="shared" si="16"/>
        <v>-1.7470300489168422E-2</v>
      </c>
      <c r="K21" s="9">
        <v>1.5467</v>
      </c>
      <c r="L21" s="57">
        <f t="shared" si="19"/>
        <v>-3.8779441924056912E-2</v>
      </c>
      <c r="M21" s="9">
        <v>0.2913</v>
      </c>
      <c r="N21" s="57">
        <f t="shared" si="17"/>
        <v>-3.4791252485089519E-2</v>
      </c>
      <c r="O21" s="9">
        <v>0.52229999999999999</v>
      </c>
      <c r="P21" s="57">
        <f t="shared" si="18"/>
        <v>4.6064490286400916E-2</v>
      </c>
      <c r="Q21" s="2" t="s">
        <v>3610</v>
      </c>
    </row>
    <row r="22" spans="1:17" ht="42.75" customHeight="1" x14ac:dyDescent="0.25">
      <c r="A22" s="8">
        <v>10.210000000000001</v>
      </c>
      <c r="B22" s="2" t="s">
        <v>5</v>
      </c>
      <c r="C22" s="37">
        <v>4.5199999999999997E-2</v>
      </c>
      <c r="D22" s="9">
        <v>0.43609999999999999</v>
      </c>
      <c r="E22" s="37">
        <v>4.0000000000000001E-3</v>
      </c>
      <c r="F22" s="9">
        <v>2.6800000000000001E-2</v>
      </c>
      <c r="G22" s="9">
        <v>-0.58782580645161298</v>
      </c>
      <c r="H22" s="9">
        <v>0.29289999999999999</v>
      </c>
      <c r="I22" s="9">
        <v>0.1409</v>
      </c>
      <c r="J22" s="57">
        <f t="shared" si="16"/>
        <v>-1.5373864430468287E-2</v>
      </c>
      <c r="K22" s="9">
        <v>1.5434000000000001</v>
      </c>
      <c r="L22" s="57">
        <f t="shared" si="19"/>
        <v>-4.083027779504067E-2</v>
      </c>
      <c r="M22" s="9">
        <v>0.29049999999999998</v>
      </c>
      <c r="N22" s="57">
        <f t="shared" si="17"/>
        <v>-3.7442014579191607E-2</v>
      </c>
      <c r="O22" s="9">
        <v>0.51819999999999999</v>
      </c>
      <c r="P22" s="57">
        <f t="shared" si="18"/>
        <v>3.7852994191868605E-2</v>
      </c>
      <c r="Q22" s="2" t="s">
        <v>3618</v>
      </c>
    </row>
    <row r="23" spans="1:17" ht="42.75" customHeight="1" x14ac:dyDescent="0.25">
      <c r="A23" s="8">
        <v>10.15</v>
      </c>
      <c r="B23" s="2" t="s">
        <v>5</v>
      </c>
      <c r="C23" s="37">
        <v>0.1135</v>
      </c>
      <c r="D23" s="9">
        <v>1.1729000000000001</v>
      </c>
      <c r="E23" s="37">
        <v>0.25040000000000001</v>
      </c>
      <c r="F23" s="9">
        <v>0.47049999999999997</v>
      </c>
      <c r="G23" s="9">
        <v>-0.27100937500000005</v>
      </c>
      <c r="H23" s="9">
        <v>0.81220000000000003</v>
      </c>
      <c r="I23" s="9">
        <v>0.14130000000000001</v>
      </c>
      <c r="J23" s="57">
        <f t="shared" ref="J23:J27" si="20">I23/0.1431-1</f>
        <v>-1.2578616352201255E-2</v>
      </c>
      <c r="K23" s="9">
        <v>1.5467</v>
      </c>
      <c r="L23" s="57">
        <f t="shared" si="19"/>
        <v>-3.8779441924056912E-2</v>
      </c>
      <c r="M23" s="9">
        <v>0.29449999999999998</v>
      </c>
      <c r="N23" s="57">
        <f t="shared" si="17"/>
        <v>-2.4188204108681388E-2</v>
      </c>
      <c r="O23" s="9">
        <v>0.49230000000000002</v>
      </c>
      <c r="P23" s="57">
        <f t="shared" si="18"/>
        <v>-1.4019627478469854E-2</v>
      </c>
      <c r="Q23" s="2" t="s">
        <v>3603</v>
      </c>
    </row>
    <row r="24" spans="1:17" ht="42.75" customHeight="1" x14ac:dyDescent="0.25">
      <c r="A24" s="8">
        <v>10.15</v>
      </c>
      <c r="B24" s="2" t="s">
        <v>5</v>
      </c>
      <c r="C24" s="37">
        <v>8.7300000000000003E-2</v>
      </c>
      <c r="D24" s="9">
        <v>0.56599999999999995</v>
      </c>
      <c r="E24" s="37">
        <v>0.23619999999999999</v>
      </c>
      <c r="F24" s="9">
        <v>0.31409999999999999</v>
      </c>
      <c r="G24" s="9">
        <v>-0.228145161290323</v>
      </c>
      <c r="H24" s="9">
        <v>0.57609999999999995</v>
      </c>
      <c r="I24" s="9">
        <v>0.1414</v>
      </c>
      <c r="J24" s="57">
        <f t="shared" si="20"/>
        <v>-1.187980433263458E-2</v>
      </c>
      <c r="K24" s="9">
        <v>1.4996</v>
      </c>
      <c r="L24" s="57">
        <f t="shared" si="19"/>
        <v>-6.8050462991734451E-2</v>
      </c>
      <c r="M24" s="9">
        <v>0.30130000000000001</v>
      </c>
      <c r="N24" s="57">
        <f t="shared" ref="N24:N27" si="21">M24/0.3018-1</f>
        <v>-1.6567263088137496E-3</v>
      </c>
      <c r="O24" s="9">
        <v>0.46839999999999998</v>
      </c>
      <c r="P24" s="57">
        <f t="shared" si="18"/>
        <v>-6.1886641297817069E-2</v>
      </c>
      <c r="Q24" s="2" t="s">
        <v>3602</v>
      </c>
    </row>
    <row r="25" spans="1:17" ht="42.75" customHeight="1" x14ac:dyDescent="0.25">
      <c r="A25" s="8">
        <v>10.14</v>
      </c>
      <c r="B25" s="2" t="s">
        <v>5</v>
      </c>
      <c r="C25" s="37">
        <v>5.8999999999999997E-2</v>
      </c>
      <c r="D25" s="9">
        <v>0.37380000000000002</v>
      </c>
      <c r="E25" s="37">
        <v>0.221</v>
      </c>
      <c r="F25" s="9">
        <v>0.29859999999999998</v>
      </c>
      <c r="G25" s="9">
        <v>-0.27463000000000004</v>
      </c>
      <c r="H25" s="9">
        <v>0.4098</v>
      </c>
      <c r="I25" s="9">
        <v>0.13950000000000001</v>
      </c>
      <c r="J25" s="57">
        <f t="shared" si="20"/>
        <v>-2.515723270440251E-2</v>
      </c>
      <c r="K25" s="9">
        <v>1.3966000000000001</v>
      </c>
      <c r="L25" s="57">
        <f t="shared" si="19"/>
        <v>-0.1320614007830464</v>
      </c>
      <c r="M25" s="9">
        <v>0.30420000000000003</v>
      </c>
      <c r="N25" s="57">
        <f t="shared" si="21"/>
        <v>7.9522862823062646E-3</v>
      </c>
      <c r="O25" s="9">
        <v>0.47789999999999999</v>
      </c>
      <c r="P25" s="57">
        <f t="shared" si="18"/>
        <v>-4.2860004005607855E-2</v>
      </c>
      <c r="Q25" s="2" t="s">
        <v>3601</v>
      </c>
    </row>
    <row r="26" spans="1:17" ht="42.75" customHeight="1" x14ac:dyDescent="0.25">
      <c r="A26" s="8">
        <v>10.14</v>
      </c>
      <c r="B26" s="2" t="s">
        <v>5</v>
      </c>
      <c r="C26" s="37">
        <v>4.9500000000000002E-2</v>
      </c>
      <c r="D26" s="9">
        <v>0.47439999999999999</v>
      </c>
      <c r="E26" s="37">
        <v>0.12939999999999999</v>
      </c>
      <c r="F26" s="9">
        <v>0.28220000000000001</v>
      </c>
      <c r="G26" s="9">
        <v>-0.31539000000000006</v>
      </c>
      <c r="H26" s="9">
        <v>0.38250000000000001</v>
      </c>
      <c r="I26" s="9">
        <v>0.13789999999999999</v>
      </c>
      <c r="J26" s="57">
        <f t="shared" si="20"/>
        <v>-3.6338225017470416E-2</v>
      </c>
      <c r="K26" s="9">
        <v>1.4137</v>
      </c>
      <c r="L26" s="57">
        <f t="shared" si="19"/>
        <v>-0.12143434217885773</v>
      </c>
      <c r="M26" s="25">
        <v>0.29970000000000002</v>
      </c>
      <c r="N26" s="57">
        <f t="shared" si="21"/>
        <v>-6.958250497017815E-3</v>
      </c>
      <c r="O26" s="9">
        <v>0.49390000000000001</v>
      </c>
      <c r="P26" s="57">
        <f t="shared" si="18"/>
        <v>-1.0815141197676792E-2</v>
      </c>
      <c r="Q26" s="2" t="s">
        <v>3600</v>
      </c>
    </row>
    <row r="27" spans="1:17" ht="42.75" customHeight="1" x14ac:dyDescent="0.25">
      <c r="A27" s="8">
        <v>10.14</v>
      </c>
      <c r="B27" s="2" t="s">
        <v>5</v>
      </c>
      <c r="C27" s="37">
        <v>5.8500000000000003E-2</v>
      </c>
      <c r="D27" s="9">
        <v>0.4042</v>
      </c>
      <c r="E27" s="37">
        <v>0.21629999999999999</v>
      </c>
      <c r="F27" s="9">
        <v>0.30109999999999998</v>
      </c>
      <c r="G27" s="9">
        <v>-0.31059677419354842</v>
      </c>
      <c r="H27" s="9">
        <v>0.3926</v>
      </c>
      <c r="I27" s="9">
        <v>0.1396</v>
      </c>
      <c r="J27" s="57">
        <f t="shared" si="20"/>
        <v>-2.4458420684835835E-2</v>
      </c>
      <c r="K27" s="9">
        <v>1.3894</v>
      </c>
      <c r="L27" s="57">
        <f t="shared" si="19"/>
        <v>-0.13653595177428379</v>
      </c>
      <c r="M27" s="25">
        <v>0.30909999999999999</v>
      </c>
      <c r="N27" s="57">
        <f t="shared" si="21"/>
        <v>2.4188204108681166E-2</v>
      </c>
      <c r="O27" s="9">
        <v>0.48920000000000002</v>
      </c>
      <c r="P27" s="57">
        <f t="shared" si="18"/>
        <v>-2.0228319647506487E-2</v>
      </c>
      <c r="Q27" s="2" t="s">
        <v>3599</v>
      </c>
    </row>
    <row r="28" spans="1:17" ht="42.75" customHeight="1" x14ac:dyDescent="0.25">
      <c r="A28" s="8">
        <v>10.130000000000001</v>
      </c>
      <c r="B28" s="2" t="s">
        <v>3424</v>
      </c>
      <c r="C28" s="37">
        <v>1.4E-2</v>
      </c>
      <c r="D28" s="9">
        <v>9.2499999999999999E-2</v>
      </c>
      <c r="E28" s="37">
        <v>5.1299999999999998E-2</v>
      </c>
      <c r="F28" s="9">
        <v>6.2100000000000002E-2</v>
      </c>
      <c r="G28" s="9">
        <v>-0.51830357142857142</v>
      </c>
      <c r="H28" s="9">
        <v>1.2999999999999999E-2</v>
      </c>
      <c r="I28" s="9">
        <v>0.1404</v>
      </c>
      <c r="J28" s="57">
        <f t="shared" ref="J28:J34" si="22">I28/0.1431-1</f>
        <v>-1.8867924528301994E-2</v>
      </c>
      <c r="K28" s="9">
        <v>1.4767999999999999</v>
      </c>
      <c r="L28" s="57">
        <f t="shared" si="19"/>
        <v>-8.2219874463986153E-2</v>
      </c>
      <c r="M28" s="9">
        <v>0.31740000000000002</v>
      </c>
      <c r="N28" s="57">
        <f t="shared" ref="N28:N34" si="23">M28/0.3018-1</f>
        <v>5.1689860834990053E-2</v>
      </c>
      <c r="O28" s="9">
        <v>0.48580000000000001</v>
      </c>
      <c r="P28" s="57">
        <f t="shared" si="18"/>
        <v>-2.7037852994191924E-2</v>
      </c>
      <c r="Q28" s="2" t="s">
        <v>3586</v>
      </c>
    </row>
    <row r="29" spans="1:17" ht="42.75" customHeight="1" x14ac:dyDescent="0.25">
      <c r="A29" s="8">
        <v>10.130000000000001</v>
      </c>
      <c r="B29" s="2" t="s">
        <v>3424</v>
      </c>
      <c r="C29" s="37">
        <v>0.1142</v>
      </c>
      <c r="D29" s="9">
        <v>1.2802</v>
      </c>
      <c r="E29" s="37">
        <v>0.252</v>
      </c>
      <c r="F29" s="9">
        <v>0.433</v>
      </c>
      <c r="G29" s="9">
        <v>-0.21716875000000002</v>
      </c>
      <c r="H29" s="9">
        <v>0.8246</v>
      </c>
      <c r="I29" s="9">
        <v>0.14149999999999999</v>
      </c>
      <c r="J29" s="57">
        <f t="shared" si="22"/>
        <v>-1.1180992313067906E-2</v>
      </c>
      <c r="K29" s="9">
        <v>1.5643</v>
      </c>
      <c r="L29" s="57">
        <f t="shared" si="19"/>
        <v>-2.7841650612143387E-2</v>
      </c>
      <c r="M29" s="9">
        <v>0.29499999999999998</v>
      </c>
      <c r="N29" s="57">
        <f t="shared" si="23"/>
        <v>-2.2531477799867528E-2</v>
      </c>
      <c r="O29" s="9">
        <v>0.49009999999999998</v>
      </c>
      <c r="P29" s="57">
        <f t="shared" si="18"/>
        <v>-1.8425796114560522E-2</v>
      </c>
      <c r="Q29" s="2" t="s">
        <v>3583</v>
      </c>
    </row>
    <row r="30" spans="1:17" ht="42.75" customHeight="1" x14ac:dyDescent="0.25">
      <c r="A30" s="8">
        <v>10.130000000000001</v>
      </c>
      <c r="B30" s="2" t="s">
        <v>3424</v>
      </c>
      <c r="C30" s="37">
        <v>0.1235</v>
      </c>
      <c r="D30" s="9">
        <v>1.3251999999999999</v>
      </c>
      <c r="E30" s="37">
        <v>0.2571</v>
      </c>
      <c r="F30" s="9">
        <v>0.44540000000000002</v>
      </c>
      <c r="G30" s="9">
        <v>-0.20742333333333338</v>
      </c>
      <c r="H30" s="9">
        <v>0.86429999999999996</v>
      </c>
      <c r="I30" s="9">
        <v>0.14230000000000001</v>
      </c>
      <c r="J30" s="57">
        <f t="shared" si="22"/>
        <v>-5.5904961565338418E-3</v>
      </c>
      <c r="K30" s="9">
        <v>1.5599000000000001</v>
      </c>
      <c r="L30" s="57">
        <f t="shared" si="19"/>
        <v>-3.0576098440121768E-2</v>
      </c>
      <c r="M30" s="9">
        <v>0.29649999999999999</v>
      </c>
      <c r="N30" s="57">
        <f t="shared" si="23"/>
        <v>-1.7561298873426168E-2</v>
      </c>
      <c r="O30" s="9">
        <v>0.49270000000000003</v>
      </c>
      <c r="P30" s="57">
        <f t="shared" si="18"/>
        <v>-1.3218505908271561E-2</v>
      </c>
      <c r="Q30" s="2" t="s">
        <v>3568</v>
      </c>
    </row>
    <row r="31" spans="1:17" ht="42.75" customHeight="1" x14ac:dyDescent="0.25">
      <c r="A31" s="8">
        <v>10.130000000000001</v>
      </c>
      <c r="B31" s="2" t="s">
        <v>3424</v>
      </c>
      <c r="C31" s="37">
        <v>0.12559999999999999</v>
      </c>
      <c r="D31" s="9">
        <v>1.3807</v>
      </c>
      <c r="E31" s="37">
        <v>0.26200000000000001</v>
      </c>
      <c r="F31" s="9">
        <v>0.43890000000000001</v>
      </c>
      <c r="G31" s="9">
        <v>-0.20672580645161284</v>
      </c>
      <c r="H31" s="9">
        <v>0.86450000000000005</v>
      </c>
      <c r="I31" s="9">
        <v>0.14269999999999999</v>
      </c>
      <c r="J31" s="57">
        <f t="shared" si="22"/>
        <v>-2.7952480782670319E-3</v>
      </c>
      <c r="K31" s="9">
        <v>1.5747</v>
      </c>
      <c r="L31" s="57">
        <f t="shared" si="19"/>
        <v>-2.1378410291467254E-2</v>
      </c>
      <c r="M31" s="9">
        <v>0.29380000000000001</v>
      </c>
      <c r="N31" s="57">
        <f t="shared" si="23"/>
        <v>-2.6507620941020549E-2</v>
      </c>
      <c r="O31" s="9">
        <v>0.48110000000000003</v>
      </c>
      <c r="P31" s="57">
        <f t="shared" si="18"/>
        <v>-3.645103144402162E-2</v>
      </c>
      <c r="Q31" s="2" t="s">
        <v>3567</v>
      </c>
    </row>
    <row r="32" spans="1:17" ht="42.75" customHeight="1" x14ac:dyDescent="0.25">
      <c r="A32" s="8">
        <v>10.130000000000001</v>
      </c>
      <c r="B32" s="2" t="s">
        <v>3424</v>
      </c>
      <c r="C32" s="37">
        <v>1.4999999999999999E-2</v>
      </c>
      <c r="D32" s="9">
        <v>9.6100000000000005E-2</v>
      </c>
      <c r="E32" s="37">
        <v>5.1499999999999997E-2</v>
      </c>
      <c r="F32" s="9">
        <v>6.1499999999999999E-2</v>
      </c>
      <c r="G32" s="9">
        <v>-0.42852999999999997</v>
      </c>
      <c r="H32" s="9">
        <v>2.8500000000000001E-2</v>
      </c>
      <c r="I32" s="9">
        <v>0.13980000000000001</v>
      </c>
      <c r="J32" s="57">
        <f t="shared" si="22"/>
        <v>-2.3060796645702264E-2</v>
      </c>
      <c r="K32" s="9">
        <v>1.4414</v>
      </c>
      <c r="L32" s="57">
        <f t="shared" si="19"/>
        <v>-0.10421975017090301</v>
      </c>
      <c r="M32" s="9">
        <v>0.31940000000000002</v>
      </c>
      <c r="N32" s="57">
        <f t="shared" si="23"/>
        <v>5.8316766070245274E-2</v>
      </c>
      <c r="O32" s="9">
        <v>0.48680000000000001</v>
      </c>
      <c r="P32" s="57">
        <f t="shared" si="18"/>
        <v>-2.5035049068696247E-2</v>
      </c>
      <c r="Q32" s="2" t="s">
        <v>3585</v>
      </c>
    </row>
    <row r="33" spans="1:17" ht="42.75" customHeight="1" x14ac:dyDescent="0.25">
      <c r="A33" s="8">
        <v>10.130000000000001</v>
      </c>
      <c r="B33" s="2" t="s">
        <v>3424</v>
      </c>
      <c r="C33" s="37">
        <v>0.1003</v>
      </c>
      <c r="D33" s="9">
        <v>1.1161000000000001</v>
      </c>
      <c r="E33" s="37">
        <v>0.25319999999999998</v>
      </c>
      <c r="F33" s="9">
        <v>0.4199</v>
      </c>
      <c r="G33" s="9">
        <v>-0.23845483870967746</v>
      </c>
      <c r="H33" s="9">
        <v>0.74080000000000001</v>
      </c>
      <c r="I33" s="9">
        <v>0.14030000000000001</v>
      </c>
      <c r="J33" s="57">
        <f t="shared" si="22"/>
        <v>-1.9566736547868557E-2</v>
      </c>
      <c r="K33" s="9">
        <v>1.5369999999999999</v>
      </c>
      <c r="L33" s="57">
        <f t="shared" si="19"/>
        <v>-4.4807656453918376E-2</v>
      </c>
      <c r="M33" s="9">
        <v>0.2994</v>
      </c>
      <c r="N33" s="57">
        <f t="shared" si="23"/>
        <v>-7.9522862823061535E-3</v>
      </c>
      <c r="O33" s="9">
        <v>0.4919</v>
      </c>
      <c r="P33" s="57">
        <f t="shared" si="18"/>
        <v>-1.4820749048668147E-2</v>
      </c>
      <c r="Q33" s="2" t="s">
        <v>3584</v>
      </c>
    </row>
    <row r="34" spans="1:17" ht="42.75" customHeight="1" x14ac:dyDescent="0.25">
      <c r="A34" s="8">
        <v>10.130000000000001</v>
      </c>
      <c r="B34" s="2" t="s">
        <v>3424</v>
      </c>
      <c r="C34" s="37">
        <v>0.1143</v>
      </c>
      <c r="D34" s="9">
        <v>1.3144</v>
      </c>
      <c r="E34" s="37">
        <v>0.25140000000000001</v>
      </c>
      <c r="F34" s="9">
        <v>0.43380000000000002</v>
      </c>
      <c r="G34" s="9">
        <v>-0.21525357142857141</v>
      </c>
      <c r="H34" s="9">
        <v>0.8246</v>
      </c>
      <c r="I34" s="9">
        <v>0.14149999999999999</v>
      </c>
      <c r="J34" s="57">
        <f t="shared" si="22"/>
        <v>-1.1180992313067906E-2</v>
      </c>
      <c r="K34" s="9">
        <v>1.5708</v>
      </c>
      <c r="L34" s="57">
        <f t="shared" si="19"/>
        <v>-2.3802125411720887E-2</v>
      </c>
      <c r="M34" s="9">
        <v>0.29239999999999999</v>
      </c>
      <c r="N34" s="57">
        <f t="shared" si="23"/>
        <v>-3.1146454605699203E-2</v>
      </c>
      <c r="O34" s="9">
        <v>0.48620000000000002</v>
      </c>
      <c r="P34" s="57">
        <f t="shared" si="18"/>
        <v>-2.6236731423993631E-2</v>
      </c>
      <c r="Q34" s="2" t="s">
        <v>3583</v>
      </c>
    </row>
    <row r="35" spans="1:17" ht="42.75" customHeight="1" x14ac:dyDescent="0.25">
      <c r="A35" s="8">
        <v>10.11</v>
      </c>
      <c r="B35" s="2" t="s">
        <v>5</v>
      </c>
      <c r="C35" s="37">
        <v>4.2200000000000001E-2</v>
      </c>
      <c r="D35" s="9">
        <v>0.53</v>
      </c>
      <c r="E35" s="37">
        <v>0.20649999999999999</v>
      </c>
      <c r="F35" s="9">
        <v>0.318</v>
      </c>
      <c r="G35" s="9">
        <v>-0.40062500000000001</v>
      </c>
      <c r="H35" s="9">
        <v>0.3765</v>
      </c>
      <c r="I35" s="9">
        <v>0.13639999999999999</v>
      </c>
      <c r="J35" s="57">
        <f>I35/0.1431-1</f>
        <v>-4.6820405310971425E-2</v>
      </c>
      <c r="K35" s="9">
        <v>1.5446</v>
      </c>
      <c r="L35" s="57">
        <f t="shared" si="19"/>
        <v>-4.0084519296501142E-2</v>
      </c>
      <c r="M35" s="25">
        <v>0.28970000000000001</v>
      </c>
      <c r="N35" s="57">
        <f>M35/0.3018-1</f>
        <v>-4.0092776673293584E-2</v>
      </c>
      <c r="O35" s="9">
        <v>0.46310000000000001</v>
      </c>
      <c r="P35" s="57">
        <f t="shared" si="18"/>
        <v>-7.2501502102944149E-2</v>
      </c>
      <c r="Q35" s="2" t="s">
        <v>3580</v>
      </c>
    </row>
    <row r="36" spans="1:17" ht="42.75" customHeight="1" x14ac:dyDescent="0.25">
      <c r="A36" s="8">
        <v>10.11</v>
      </c>
      <c r="B36" s="2" t="s">
        <v>5</v>
      </c>
      <c r="C36" s="37">
        <v>7.1400000000000005E-2</v>
      </c>
      <c r="D36" s="9">
        <v>0.87919999999999998</v>
      </c>
      <c r="E36" s="37">
        <v>0.2354</v>
      </c>
      <c r="F36" s="9">
        <v>0.39279999999999998</v>
      </c>
      <c r="G36" s="9">
        <v>-0.30403703703703711</v>
      </c>
      <c r="H36" s="9">
        <v>0.57720000000000005</v>
      </c>
      <c r="I36" s="9">
        <v>0.13769999999999999</v>
      </c>
      <c r="J36" s="57">
        <f t="shared" ref="J36:J99" si="24">I36/0.1431-1</f>
        <v>-3.7735849056603876E-2</v>
      </c>
      <c r="K36" s="9">
        <v>1.5206</v>
      </c>
      <c r="L36" s="57">
        <f t="shared" si="19"/>
        <v>-5.4999689267292262E-2</v>
      </c>
      <c r="M36" s="25">
        <v>0.29289999999999999</v>
      </c>
      <c r="N36" s="57">
        <f t="shared" ref="N36:N99" si="25">M36/0.3018-1</f>
        <v>-2.9489728296885453E-2</v>
      </c>
      <c r="O36" s="9">
        <v>0.47860000000000003</v>
      </c>
      <c r="P36" s="57">
        <f t="shared" si="18"/>
        <v>-4.1458041257760869E-2</v>
      </c>
      <c r="Q36" s="2" t="s">
        <v>3579</v>
      </c>
    </row>
    <row r="37" spans="1:17" ht="42.75" customHeight="1" x14ac:dyDescent="0.25">
      <c r="A37" s="8">
        <v>10.11</v>
      </c>
      <c r="B37" s="2" t="s">
        <v>5</v>
      </c>
      <c r="C37" s="37">
        <v>1.32E-2</v>
      </c>
      <c r="D37" s="9">
        <v>0.1037</v>
      </c>
      <c r="E37" s="37">
        <v>2.8299999999999999E-2</v>
      </c>
      <c r="F37" s="9">
        <v>3.5999999999999997E-2</v>
      </c>
      <c r="G37" s="9">
        <v>-0.46620714285714276</v>
      </c>
      <c r="H37" s="9">
        <v>8.8499999999999995E-2</v>
      </c>
      <c r="I37" s="9">
        <v>0.13969999999999999</v>
      </c>
      <c r="J37" s="57">
        <f t="shared" si="24"/>
        <v>-2.3759608665269161E-2</v>
      </c>
      <c r="K37" s="9">
        <v>1.3172999999999999</v>
      </c>
      <c r="L37" s="57">
        <f t="shared" si="19"/>
        <v>-0.18134360822820217</v>
      </c>
      <c r="M37" s="25">
        <v>0.30980000000000002</v>
      </c>
      <c r="N37" s="57">
        <f t="shared" si="25"/>
        <v>2.650762094102066E-2</v>
      </c>
      <c r="O37" s="9">
        <v>0.4819</v>
      </c>
      <c r="P37" s="57">
        <f t="shared" si="18"/>
        <v>-3.4848788303625144E-2</v>
      </c>
      <c r="Q37" s="2" t="s">
        <v>3578</v>
      </c>
    </row>
    <row r="38" spans="1:17" ht="42.75" customHeight="1" x14ac:dyDescent="0.25">
      <c r="A38" s="8">
        <v>10.11</v>
      </c>
      <c r="B38" s="2" t="s">
        <v>5</v>
      </c>
      <c r="C38" s="37">
        <v>2.8999999999999998E-3</v>
      </c>
      <c r="D38" s="9">
        <v>2.7199999999999998E-2</v>
      </c>
      <c r="E38" s="37">
        <v>2.5399999999999999E-2</v>
      </c>
      <c r="F38" s="9">
        <v>3.1199999999999999E-2</v>
      </c>
      <c r="G38" s="9">
        <v>-0.40315000000000001</v>
      </c>
      <c r="H38" s="9">
        <v>5.5100000000000003E-2</v>
      </c>
      <c r="I38" s="9">
        <v>0.13980000000000001</v>
      </c>
      <c r="J38" s="57">
        <f t="shared" si="24"/>
        <v>-2.3060796645702264E-2</v>
      </c>
      <c r="K38" s="9">
        <v>1.3823000000000001</v>
      </c>
      <c r="L38" s="57">
        <f t="shared" si="19"/>
        <v>-0.14094835622397606</v>
      </c>
      <c r="M38" s="25">
        <v>0.31230000000000002</v>
      </c>
      <c r="N38" s="57">
        <f t="shared" si="25"/>
        <v>3.4791252485089519E-2</v>
      </c>
      <c r="O38" s="9">
        <v>0.4834</v>
      </c>
      <c r="P38" s="57">
        <f t="shared" si="18"/>
        <v>-3.1844582415381573E-2</v>
      </c>
      <c r="Q38" s="2" t="s">
        <v>3577</v>
      </c>
    </row>
    <row r="39" spans="1:17" ht="42.75" customHeight="1" x14ac:dyDescent="0.25">
      <c r="A39" s="8">
        <v>10.1</v>
      </c>
      <c r="B39" s="2" t="s">
        <v>5</v>
      </c>
      <c r="C39" s="37">
        <v>0.12820000000000001</v>
      </c>
      <c r="D39" s="9">
        <v>1.4829000000000001</v>
      </c>
      <c r="E39" s="37">
        <v>0.28510000000000002</v>
      </c>
      <c r="F39" s="9">
        <v>0.46639999999999998</v>
      </c>
      <c r="G39" s="9">
        <v>-0.29485</v>
      </c>
      <c r="H39" s="9">
        <v>0.84440000000000004</v>
      </c>
      <c r="I39" s="9">
        <v>0.1439</v>
      </c>
      <c r="J39" s="57">
        <f t="shared" si="24"/>
        <v>5.5904961565338418E-3</v>
      </c>
      <c r="K39" s="9">
        <v>1.6079000000000001</v>
      </c>
      <c r="L39" s="57">
        <f t="shared" si="19"/>
        <v>-7.4575849853952825E-4</v>
      </c>
      <c r="M39" s="25">
        <v>0.3039</v>
      </c>
      <c r="N39" s="57">
        <f t="shared" si="25"/>
        <v>6.958250497017815E-3</v>
      </c>
      <c r="O39" s="9">
        <v>0.49619999999999997</v>
      </c>
      <c r="P39" s="57">
        <f t="shared" si="18"/>
        <v>-6.2086921690367447E-3</v>
      </c>
      <c r="Q39" s="2" t="s">
        <v>3576</v>
      </c>
    </row>
    <row r="40" spans="1:17" ht="42.75" customHeight="1" x14ac:dyDescent="0.25">
      <c r="A40" s="8">
        <v>10.1</v>
      </c>
      <c r="B40" s="2" t="s">
        <v>5</v>
      </c>
      <c r="C40" s="37">
        <v>8.3699999999999997E-2</v>
      </c>
      <c r="D40" s="9">
        <v>0.97989999999999999</v>
      </c>
      <c r="E40" s="37">
        <v>0.24010000000000001</v>
      </c>
      <c r="F40" s="9">
        <v>0.40200000000000002</v>
      </c>
      <c r="G40" s="9">
        <v>-0.25057777777777773</v>
      </c>
      <c r="H40" s="9">
        <v>0.65369999999999995</v>
      </c>
      <c r="I40" s="9">
        <v>0.1386</v>
      </c>
      <c r="J40" s="57">
        <f t="shared" si="24"/>
        <v>-3.1446540880503138E-2</v>
      </c>
      <c r="K40" s="9">
        <v>1.518</v>
      </c>
      <c r="L40" s="57">
        <f t="shared" si="19"/>
        <v>-5.661549934746124E-2</v>
      </c>
      <c r="M40" s="25">
        <v>0.29499999999999998</v>
      </c>
      <c r="N40" s="57">
        <f t="shared" si="25"/>
        <v>-2.2531477799867528E-2</v>
      </c>
      <c r="O40" s="9">
        <v>0.48230000000000001</v>
      </c>
      <c r="P40" s="57">
        <f t="shared" si="18"/>
        <v>-3.4047666733426851E-2</v>
      </c>
      <c r="Q40" s="2" t="s">
        <v>3575</v>
      </c>
    </row>
    <row r="41" spans="1:17" ht="42.75" customHeight="1" x14ac:dyDescent="0.25">
      <c r="A41" s="8">
        <v>10.1</v>
      </c>
      <c r="B41" s="2" t="s">
        <v>5</v>
      </c>
      <c r="C41" s="37">
        <v>1E-3</v>
      </c>
      <c r="D41" s="9">
        <v>8.9999999999999993E-3</v>
      </c>
      <c r="E41" s="37">
        <v>3.3700000000000001E-2</v>
      </c>
      <c r="F41" s="9">
        <v>4.0899999999999999E-2</v>
      </c>
      <c r="G41" s="9">
        <v>-0.39625769230769231</v>
      </c>
      <c r="H41" s="9">
        <v>3.8199999999999998E-2</v>
      </c>
      <c r="I41" s="9">
        <v>0.1399</v>
      </c>
      <c r="J41" s="57">
        <f t="shared" si="24"/>
        <v>-2.2361984626135589E-2</v>
      </c>
      <c r="K41" s="9">
        <v>1.4141999999999999</v>
      </c>
      <c r="L41" s="57">
        <f t="shared" si="19"/>
        <v>-0.12112360947113299</v>
      </c>
      <c r="M41" s="25">
        <v>0.312</v>
      </c>
      <c r="N41" s="57">
        <f t="shared" si="25"/>
        <v>3.3797216699801069E-2</v>
      </c>
      <c r="O41" s="9">
        <v>0.48049999999999998</v>
      </c>
      <c r="P41" s="57">
        <f t="shared" si="18"/>
        <v>-3.7652713799319115E-2</v>
      </c>
      <c r="Q41" s="2" t="s">
        <v>3574</v>
      </c>
    </row>
    <row r="42" spans="1:17" ht="42.75" customHeight="1" x14ac:dyDescent="0.25">
      <c r="A42" s="8">
        <v>10.07</v>
      </c>
      <c r="B42" s="2" t="s">
        <v>5</v>
      </c>
      <c r="C42" s="37">
        <v>8.8700000000000001E-2</v>
      </c>
      <c r="D42" s="9">
        <v>1.1467000000000001</v>
      </c>
      <c r="E42" s="37">
        <v>0.26840000000000003</v>
      </c>
      <c r="F42" s="9">
        <v>0.4088</v>
      </c>
      <c r="G42" s="9">
        <v>-0.37672499999999998</v>
      </c>
      <c r="H42" s="9">
        <v>0.65910000000000002</v>
      </c>
      <c r="I42" s="9">
        <v>0.1396</v>
      </c>
      <c r="J42" s="57">
        <f t="shared" si="24"/>
        <v>-2.4458420684835835E-2</v>
      </c>
      <c r="K42" s="9">
        <v>1.5598000000000001</v>
      </c>
      <c r="L42" s="57">
        <f t="shared" si="19"/>
        <v>-3.0638244981666674E-2</v>
      </c>
      <c r="M42" s="25">
        <v>0.30530000000000002</v>
      </c>
      <c r="N42" s="57">
        <f t="shared" si="25"/>
        <v>1.159708416169658E-2</v>
      </c>
      <c r="O42" s="9">
        <v>0.48949999999999999</v>
      </c>
      <c r="P42" s="57">
        <f t="shared" si="18"/>
        <v>-1.9627478469857906E-2</v>
      </c>
      <c r="Q42" s="2" t="s">
        <v>3587</v>
      </c>
    </row>
    <row r="43" spans="1:17" ht="42.75" customHeight="1" x14ac:dyDescent="0.25">
      <c r="A43" s="8">
        <v>10.07</v>
      </c>
      <c r="B43" s="2" t="s">
        <v>5</v>
      </c>
      <c r="C43" s="37">
        <v>4.5900000000000003E-2</v>
      </c>
      <c r="D43" s="9">
        <v>0.37569999999999998</v>
      </c>
      <c r="E43" s="37">
        <v>9.3600000000000003E-2</v>
      </c>
      <c r="F43" s="9">
        <v>0.25990000000000002</v>
      </c>
      <c r="G43" s="9">
        <v>-0.44260740740740756</v>
      </c>
      <c r="H43" s="9">
        <v>0.34839999999999999</v>
      </c>
      <c r="I43" s="9">
        <v>0.13789999999999999</v>
      </c>
      <c r="J43" s="57">
        <f t="shared" si="24"/>
        <v>-3.6338225017470416E-2</v>
      </c>
      <c r="K43" s="9">
        <v>1.3814</v>
      </c>
      <c r="L43" s="57">
        <f t="shared" si="19"/>
        <v>-0.14150767509788076</v>
      </c>
      <c r="M43" s="25">
        <v>0.29630000000000001</v>
      </c>
      <c r="N43" s="57">
        <f t="shared" si="25"/>
        <v>-1.822398939695169E-2</v>
      </c>
      <c r="O43" s="9">
        <v>0.49270000000000003</v>
      </c>
      <c r="P43" s="57">
        <f t="shared" si="18"/>
        <v>-1.3218505908271561E-2</v>
      </c>
      <c r="Q43" s="2" t="s">
        <v>3572</v>
      </c>
    </row>
    <row r="44" spans="1:17" ht="42.75" customHeight="1" x14ac:dyDescent="0.25">
      <c r="A44" s="8">
        <v>10.07</v>
      </c>
      <c r="B44" s="2" t="s">
        <v>5</v>
      </c>
      <c r="C44" s="37">
        <v>0.1113</v>
      </c>
      <c r="D44" s="9">
        <v>1.0069999999999999</v>
      </c>
      <c r="E44" s="37">
        <v>0.26150000000000001</v>
      </c>
      <c r="F44" s="9">
        <v>0.38450000000000001</v>
      </c>
      <c r="G44" s="9">
        <v>-0.3058785714285715</v>
      </c>
      <c r="H44" s="9">
        <v>0.72789999999999999</v>
      </c>
      <c r="I44" s="9">
        <v>0.14299999999999999</v>
      </c>
      <c r="J44" s="57">
        <f t="shared" si="24"/>
        <v>-6.9881201956689676E-4</v>
      </c>
      <c r="K44" s="9">
        <v>1.5576000000000001</v>
      </c>
      <c r="L44" s="57">
        <f t="shared" si="19"/>
        <v>-3.200546889565592E-2</v>
      </c>
      <c r="M44" s="25">
        <v>0.30499999999999999</v>
      </c>
      <c r="N44" s="57">
        <f t="shared" si="25"/>
        <v>1.0603048376408131E-2</v>
      </c>
      <c r="O44" s="9">
        <v>0.48459999999999998</v>
      </c>
      <c r="P44" s="57">
        <f t="shared" si="18"/>
        <v>-2.9441217704786804E-2</v>
      </c>
      <c r="Q44" s="2" t="s">
        <v>3573</v>
      </c>
    </row>
    <row r="45" spans="1:17" ht="42.75" customHeight="1" x14ac:dyDescent="0.25">
      <c r="A45" s="8">
        <v>10.07</v>
      </c>
      <c r="B45" s="2" t="s">
        <v>5</v>
      </c>
      <c r="C45" s="37">
        <v>0.1057</v>
      </c>
      <c r="D45" s="9">
        <v>1.3055000000000001</v>
      </c>
      <c r="E45" s="37">
        <v>0.25319999999999998</v>
      </c>
      <c r="F45" s="9">
        <v>0.43409999999999999</v>
      </c>
      <c r="G45" s="9">
        <v>-0.41883103448275871</v>
      </c>
      <c r="H45" s="9">
        <v>0.72609999999999997</v>
      </c>
      <c r="I45" s="9">
        <v>0.14169999999999999</v>
      </c>
      <c r="J45" s="57">
        <f t="shared" si="24"/>
        <v>-9.7833682739344452E-3</v>
      </c>
      <c r="K45" s="9">
        <v>1.6011</v>
      </c>
      <c r="L45" s="57">
        <f t="shared" si="19"/>
        <v>-4.971723323597077E-3</v>
      </c>
      <c r="M45" s="25">
        <v>0.29620000000000002</v>
      </c>
      <c r="N45" s="57">
        <f t="shared" si="25"/>
        <v>-1.8555334658714395E-2</v>
      </c>
      <c r="O45" s="9">
        <v>0.48880000000000001</v>
      </c>
      <c r="P45" s="57">
        <f t="shared" si="18"/>
        <v>-2.1029441217704781E-2</v>
      </c>
      <c r="Q45" s="2" t="s">
        <v>3571</v>
      </c>
    </row>
    <row r="46" spans="1:17" ht="42.75" customHeight="1" x14ac:dyDescent="0.25">
      <c r="A46" s="8">
        <v>10.07</v>
      </c>
      <c r="B46" s="2" t="s">
        <v>5</v>
      </c>
      <c r="C46" s="37">
        <v>4.7399999999999998E-2</v>
      </c>
      <c r="D46" s="9">
        <v>0.4864</v>
      </c>
      <c r="E46" s="37">
        <v>6.4999999999999997E-3</v>
      </c>
      <c r="F46" s="9">
        <v>4.3099999999999999E-2</v>
      </c>
      <c r="G46" s="9">
        <v>-0.59939629629629654</v>
      </c>
      <c r="H46" s="9">
        <v>0.29899999999999999</v>
      </c>
      <c r="I46" s="9">
        <v>0.1414</v>
      </c>
      <c r="J46" s="57">
        <f t="shared" si="24"/>
        <v>-1.187980433263458E-2</v>
      </c>
      <c r="K46" s="9">
        <v>1.5737000000000001</v>
      </c>
      <c r="L46" s="57">
        <f t="shared" si="19"/>
        <v>-2.199987570691686E-2</v>
      </c>
      <c r="M46" s="25">
        <v>0.29160000000000003</v>
      </c>
      <c r="N46" s="57">
        <f t="shared" si="25"/>
        <v>-3.379721669980118E-2</v>
      </c>
      <c r="O46" s="9">
        <v>0.51870000000000005</v>
      </c>
      <c r="P46" s="57">
        <f t="shared" si="18"/>
        <v>3.8854396154616611E-2</v>
      </c>
      <c r="Q46" s="2" t="s">
        <v>3570</v>
      </c>
    </row>
    <row r="47" spans="1:17" ht="42.75" customHeight="1" x14ac:dyDescent="0.25">
      <c r="A47" s="8">
        <v>10.07</v>
      </c>
      <c r="B47" s="2" t="s">
        <v>5</v>
      </c>
      <c r="C47" s="37">
        <v>5.7999999999999996E-3</v>
      </c>
      <c r="D47" s="9">
        <v>5.7000000000000002E-2</v>
      </c>
      <c r="E47" s="37">
        <v>5.7700000000000001E-2</v>
      </c>
      <c r="F47" s="9">
        <v>7.3200000000000001E-2</v>
      </c>
      <c r="G47" s="9">
        <v>-0.46389677419354836</v>
      </c>
      <c r="H47" s="9">
        <v>6.6199999999999995E-2</v>
      </c>
      <c r="I47" s="9">
        <v>0.13980000000000001</v>
      </c>
      <c r="J47" s="57">
        <f t="shared" si="24"/>
        <v>-2.3060796645702264E-2</v>
      </c>
      <c r="K47" s="9">
        <v>1.452</v>
      </c>
      <c r="L47" s="57">
        <f t="shared" si="19"/>
        <v>-9.7632216767136959E-2</v>
      </c>
      <c r="M47" s="25">
        <v>0.31369999999999998</v>
      </c>
      <c r="N47" s="57">
        <f t="shared" si="25"/>
        <v>3.943008614976784E-2</v>
      </c>
      <c r="O47" s="9">
        <v>0.48530000000000001</v>
      </c>
      <c r="P47" s="57">
        <f t="shared" si="18"/>
        <v>-2.8039254956939708E-2</v>
      </c>
      <c r="Q47" s="2" t="s">
        <v>3588</v>
      </c>
    </row>
    <row r="48" spans="1:17" ht="42.75" customHeight="1" x14ac:dyDescent="0.25">
      <c r="A48" s="8">
        <v>10.07</v>
      </c>
      <c r="B48" s="2" t="s">
        <v>5</v>
      </c>
      <c r="C48" s="37">
        <v>0.12989999999999999</v>
      </c>
      <c r="D48" s="9">
        <v>1.4791000000000001</v>
      </c>
      <c r="E48" s="37">
        <v>0.28060000000000002</v>
      </c>
      <c r="F48" s="9">
        <v>0.45350000000000001</v>
      </c>
      <c r="G48" s="9">
        <v>-0.26293437499999989</v>
      </c>
      <c r="H48" s="9">
        <v>0.85340000000000005</v>
      </c>
      <c r="I48" s="9">
        <v>0.14399999999999999</v>
      </c>
      <c r="J48" s="57">
        <f t="shared" si="24"/>
        <v>6.2893081761006275E-3</v>
      </c>
      <c r="K48" s="9">
        <v>1.6037999999999999</v>
      </c>
      <c r="L48" s="57">
        <f t="shared" si="19"/>
        <v>-3.293766701883083E-3</v>
      </c>
      <c r="M48" s="25">
        <v>0.30299999999999999</v>
      </c>
      <c r="N48" s="57">
        <f t="shared" si="25"/>
        <v>3.9761431411529102E-3</v>
      </c>
      <c r="O48" s="9">
        <v>0.49640000000000001</v>
      </c>
      <c r="P48" s="57">
        <f t="shared" si="18"/>
        <v>-5.8081313839375426E-3</v>
      </c>
      <c r="Q48" s="2" t="s">
        <v>3569</v>
      </c>
    </row>
    <row r="49" spans="1:17" ht="42.75" customHeight="1" x14ac:dyDescent="0.25">
      <c r="A49" s="8">
        <v>10.07</v>
      </c>
      <c r="B49" s="2" t="s">
        <v>3547</v>
      </c>
      <c r="C49" s="37">
        <v>0.12379999999999999</v>
      </c>
      <c r="D49" s="9">
        <v>1.3536999999999999</v>
      </c>
      <c r="E49" s="37">
        <v>0.25580000000000003</v>
      </c>
      <c r="F49" s="9">
        <v>0.41499999999999998</v>
      </c>
      <c r="G49" s="9">
        <v>-0.3453354838709678</v>
      </c>
      <c r="H49" s="9">
        <v>0.82809999999999995</v>
      </c>
      <c r="I49" s="9">
        <v>0.1434</v>
      </c>
      <c r="J49" s="57">
        <f t="shared" si="24"/>
        <v>2.0964360587001352E-3</v>
      </c>
      <c r="K49" s="9">
        <v>1.5821000000000001</v>
      </c>
      <c r="L49" s="57">
        <f t="shared" si="19"/>
        <v>-1.6779566217139941E-2</v>
      </c>
      <c r="M49" s="25">
        <v>0.30580000000000002</v>
      </c>
      <c r="N49" s="57">
        <f t="shared" si="25"/>
        <v>1.3253810470510219E-2</v>
      </c>
      <c r="O49" s="9">
        <v>0.49390000000000001</v>
      </c>
      <c r="P49" s="57">
        <f t="shared" si="18"/>
        <v>-1.0815141197676792E-2</v>
      </c>
      <c r="Q49" s="2" t="s">
        <v>3565</v>
      </c>
    </row>
    <row r="50" spans="1:17" ht="42.75" customHeight="1" x14ac:dyDescent="0.25">
      <c r="A50" s="8">
        <v>10.07</v>
      </c>
      <c r="B50" s="2" t="s">
        <v>3547</v>
      </c>
      <c r="C50" s="37">
        <v>0.1234</v>
      </c>
      <c r="D50" s="9">
        <v>1.367</v>
      </c>
      <c r="E50" s="37">
        <v>0.25390000000000001</v>
      </c>
      <c r="F50" s="9">
        <v>0.40920000000000001</v>
      </c>
      <c r="G50" s="9">
        <v>-0.33155806451612885</v>
      </c>
      <c r="H50" s="9">
        <v>0.83099999999999996</v>
      </c>
      <c r="I50" s="9">
        <v>0.14319999999999999</v>
      </c>
      <c r="J50" s="57">
        <f t="shared" si="24"/>
        <v>6.9881201956656369E-4</v>
      </c>
      <c r="K50" s="9">
        <v>1.581</v>
      </c>
      <c r="L50" s="57">
        <f t="shared" si="19"/>
        <v>-1.7463178174134564E-2</v>
      </c>
      <c r="M50" s="25">
        <v>0.29899999999999999</v>
      </c>
      <c r="N50" s="57">
        <f t="shared" si="25"/>
        <v>-9.2776673293573086E-3</v>
      </c>
      <c r="O50" s="9">
        <v>0.4849</v>
      </c>
      <c r="P50" s="57">
        <f t="shared" si="18"/>
        <v>-2.8840376527138001E-2</v>
      </c>
      <c r="Q50" s="9" t="s">
        <v>3557</v>
      </c>
    </row>
    <row r="51" spans="1:17" ht="42.75" customHeight="1" x14ac:dyDescent="0.25">
      <c r="A51" s="8">
        <v>10.07</v>
      </c>
      <c r="B51" s="2" t="s">
        <v>3547</v>
      </c>
      <c r="C51" s="37">
        <v>0.1229</v>
      </c>
      <c r="D51" s="9">
        <v>1.3742000000000001</v>
      </c>
      <c r="E51" s="37">
        <v>0.25019999999999998</v>
      </c>
      <c r="F51" s="9">
        <v>0.40720000000000001</v>
      </c>
      <c r="G51" s="9">
        <v>-0.34642068965517231</v>
      </c>
      <c r="H51" s="9">
        <v>0.83299999999999996</v>
      </c>
      <c r="I51" s="9">
        <v>0.14299999999999999</v>
      </c>
      <c r="J51" s="57">
        <f t="shared" si="24"/>
        <v>-6.9881201956689676E-4</v>
      </c>
      <c r="K51" s="9">
        <v>1.5869</v>
      </c>
      <c r="L51" s="57">
        <f t="shared" si="19"/>
        <v>-1.3796532222981828E-2</v>
      </c>
      <c r="M51" s="25">
        <v>0.30370000000000003</v>
      </c>
      <c r="N51" s="57">
        <f t="shared" si="25"/>
        <v>6.2955599734924039E-3</v>
      </c>
      <c r="O51" s="9">
        <v>0.49220000000000003</v>
      </c>
      <c r="P51" s="57">
        <f t="shared" si="18"/>
        <v>-1.4219907871019455E-2</v>
      </c>
      <c r="Q51" s="2" t="s">
        <v>3566</v>
      </c>
    </row>
    <row r="52" spans="1:17" ht="42.75" customHeight="1" x14ac:dyDescent="0.25">
      <c r="A52" s="8">
        <v>10.07</v>
      </c>
      <c r="B52" s="2" t="s">
        <v>3547</v>
      </c>
      <c r="C52" s="37">
        <v>0.12280000000000001</v>
      </c>
      <c r="D52" s="9">
        <v>1.3562000000000001</v>
      </c>
      <c r="E52" s="37">
        <v>0.27410000000000001</v>
      </c>
      <c r="F52" s="9">
        <v>0.43440000000000001</v>
      </c>
      <c r="G52" s="9">
        <v>-0.35</v>
      </c>
      <c r="H52" s="9">
        <v>0.83079999999999998</v>
      </c>
      <c r="I52" s="9">
        <v>0.1431</v>
      </c>
      <c r="J52" s="57">
        <f t="shared" si="24"/>
        <v>0</v>
      </c>
      <c r="K52" s="9">
        <v>1.5822000000000001</v>
      </c>
      <c r="L52" s="57">
        <f t="shared" si="19"/>
        <v>-1.6717419675595035E-2</v>
      </c>
      <c r="M52" s="25">
        <v>0.30680000000000002</v>
      </c>
      <c r="N52" s="57">
        <f t="shared" si="25"/>
        <v>1.656726308813794E-2</v>
      </c>
      <c r="O52" s="9">
        <v>0.49890000000000001</v>
      </c>
      <c r="P52" s="57">
        <f t="shared" si="18"/>
        <v>-8.0112157019829322E-4</v>
      </c>
      <c r="Q52" s="2" t="s">
        <v>3567</v>
      </c>
    </row>
    <row r="53" spans="1:17" ht="42.75" customHeight="1" x14ac:dyDescent="0.25">
      <c r="A53" s="8">
        <v>10.07</v>
      </c>
      <c r="B53" s="2" t="s">
        <v>3547</v>
      </c>
      <c r="C53" s="37">
        <v>0.12609999999999999</v>
      </c>
      <c r="D53" s="9">
        <v>1.417</v>
      </c>
      <c r="E53" s="37">
        <v>0.26390000000000002</v>
      </c>
      <c r="F53" s="9">
        <v>0.42870000000000003</v>
      </c>
      <c r="G53" s="9">
        <v>-0.32296896551724136</v>
      </c>
      <c r="H53" s="9">
        <v>0.83709999999999996</v>
      </c>
      <c r="I53" s="9">
        <v>0.14369999999999999</v>
      </c>
      <c r="J53" s="57">
        <f t="shared" si="24"/>
        <v>4.1928721174002703E-3</v>
      </c>
      <c r="K53" s="9">
        <v>1.5925</v>
      </c>
      <c r="L53" s="57">
        <f t="shared" si="19"/>
        <v>-1.0316325896463807E-2</v>
      </c>
      <c r="M53" s="25">
        <v>0.30109999999999998</v>
      </c>
      <c r="N53" s="57">
        <f t="shared" si="25"/>
        <v>-2.3194168323393827E-3</v>
      </c>
      <c r="O53" s="9">
        <v>0.49120000000000003</v>
      </c>
      <c r="P53" s="57">
        <f t="shared" si="18"/>
        <v>-1.6222711796515132E-2</v>
      </c>
      <c r="Q53" s="2" t="s">
        <v>3568</v>
      </c>
    </row>
    <row r="54" spans="1:17" ht="42.75" customHeight="1" x14ac:dyDescent="0.25">
      <c r="A54" s="8">
        <v>10.029999999999999</v>
      </c>
      <c r="B54" s="2" t="s">
        <v>3547</v>
      </c>
      <c r="C54" s="37">
        <v>0.12509999999999999</v>
      </c>
      <c r="D54" s="9">
        <v>1.4105000000000001</v>
      </c>
      <c r="E54" s="37">
        <v>0.23930000000000001</v>
      </c>
      <c r="F54" s="9">
        <v>0.3886</v>
      </c>
      <c r="G54" s="9">
        <v>-0.34481428571428568</v>
      </c>
      <c r="H54" s="9">
        <v>0.82289999999999996</v>
      </c>
      <c r="I54" s="9">
        <v>0.14369999999999999</v>
      </c>
      <c r="J54" s="57">
        <f t="shared" si="24"/>
        <v>4.1928721174002703E-3</v>
      </c>
      <c r="K54" s="9">
        <v>1.6066</v>
      </c>
      <c r="L54" s="57">
        <f t="shared" si="19"/>
        <v>-1.5536635386240727E-3</v>
      </c>
      <c r="M54" s="25">
        <v>0.30320000000000003</v>
      </c>
      <c r="N54" s="57">
        <f t="shared" si="25"/>
        <v>4.6388336646785433E-3</v>
      </c>
      <c r="O54" s="9">
        <v>0.48849999999999999</v>
      </c>
      <c r="P54" s="57">
        <f t="shared" si="18"/>
        <v>-2.1630282395353584E-2</v>
      </c>
      <c r="Q54" s="2" t="s">
        <v>3568</v>
      </c>
    </row>
    <row r="55" spans="1:17" ht="42.75" customHeight="1" x14ac:dyDescent="0.25">
      <c r="A55" s="8">
        <v>10.029999999999999</v>
      </c>
      <c r="B55" s="2" t="s">
        <v>3547</v>
      </c>
      <c r="C55" s="37">
        <v>0.1229</v>
      </c>
      <c r="D55" s="9">
        <v>1.3951</v>
      </c>
      <c r="E55" s="37">
        <v>0.2329</v>
      </c>
      <c r="F55" s="9">
        <v>0.37830000000000003</v>
      </c>
      <c r="G55" s="9">
        <v>-0.35030833333333328</v>
      </c>
      <c r="H55" s="9">
        <v>0.81279999999999997</v>
      </c>
      <c r="I55" s="9">
        <v>0.1434</v>
      </c>
      <c r="J55" s="57">
        <f t="shared" si="24"/>
        <v>2.0964360587001352E-3</v>
      </c>
      <c r="K55" s="9">
        <v>1.6044</v>
      </c>
      <c r="L55" s="57">
        <f t="shared" si="19"/>
        <v>-2.9208874526132078E-3</v>
      </c>
      <c r="M55" s="25">
        <v>0.29809999999999998</v>
      </c>
      <c r="N55" s="57">
        <f t="shared" si="25"/>
        <v>-1.2259774685222102E-2</v>
      </c>
      <c r="O55" s="9">
        <v>0.4824</v>
      </c>
      <c r="P55" s="57">
        <f t="shared" si="18"/>
        <v>-3.384738634087725E-2</v>
      </c>
      <c r="Q55" s="2" t="s">
        <v>3567</v>
      </c>
    </row>
    <row r="56" spans="1:17" ht="42.75" customHeight="1" x14ac:dyDescent="0.25">
      <c r="A56" s="8">
        <v>10.029999999999999</v>
      </c>
      <c r="B56" s="2" t="s">
        <v>3547</v>
      </c>
      <c r="C56" s="37">
        <v>0.124</v>
      </c>
      <c r="D56" s="9">
        <v>1.4562999999999999</v>
      </c>
      <c r="E56" s="37">
        <v>0.22600000000000001</v>
      </c>
      <c r="F56" s="9">
        <v>0.37580000000000002</v>
      </c>
      <c r="G56" s="9">
        <v>-0.33842222222222218</v>
      </c>
      <c r="H56" s="9">
        <v>0.81940000000000002</v>
      </c>
      <c r="I56" s="9">
        <v>0.14349999999999999</v>
      </c>
      <c r="J56" s="57">
        <f t="shared" si="24"/>
        <v>2.7952480782669209E-3</v>
      </c>
      <c r="K56" s="9">
        <v>1.6126</v>
      </c>
      <c r="L56" s="57">
        <f t="shared" si="19"/>
        <v>2.1751289540736796E-3</v>
      </c>
      <c r="M56" s="25">
        <v>0.29920000000000002</v>
      </c>
      <c r="N56" s="57">
        <f t="shared" si="25"/>
        <v>-8.6149768058316756E-3</v>
      </c>
      <c r="O56" s="9">
        <v>0.48559999999999998</v>
      </c>
      <c r="P56" s="57">
        <f t="shared" si="18"/>
        <v>-2.7438413779291126E-2</v>
      </c>
      <c r="Q56" s="2" t="s">
        <v>3566</v>
      </c>
    </row>
    <row r="57" spans="1:17" ht="42.75" customHeight="1" x14ac:dyDescent="0.25">
      <c r="A57" s="8">
        <v>10.029999999999999</v>
      </c>
      <c r="B57" s="2" t="s">
        <v>3547</v>
      </c>
      <c r="C57" s="37">
        <v>0.1249</v>
      </c>
      <c r="D57" s="9">
        <v>1.4195</v>
      </c>
      <c r="E57" s="37">
        <v>0.2359</v>
      </c>
      <c r="F57" s="9">
        <v>0.37569999999999998</v>
      </c>
      <c r="G57" s="9">
        <v>-0.34638333333333338</v>
      </c>
      <c r="H57" s="9">
        <v>0.81420000000000003</v>
      </c>
      <c r="I57" s="9">
        <v>0.14380000000000001</v>
      </c>
      <c r="J57" s="57">
        <f t="shared" si="24"/>
        <v>4.8916841369672781E-3</v>
      </c>
      <c r="K57" s="9">
        <v>1.6066</v>
      </c>
      <c r="L57" s="57">
        <f t="shared" si="19"/>
        <v>-1.5536635386240727E-3</v>
      </c>
      <c r="M57" s="25">
        <v>0.3014</v>
      </c>
      <c r="N57" s="57">
        <f t="shared" si="25"/>
        <v>-1.3253810470510441E-3</v>
      </c>
      <c r="O57" s="9">
        <v>0.48599999999999999</v>
      </c>
      <c r="P57" s="57">
        <f t="shared" si="18"/>
        <v>-2.6637292209092833E-2</v>
      </c>
      <c r="Q57" s="2" t="s">
        <v>3565</v>
      </c>
    </row>
    <row r="58" spans="1:17" ht="42.75" customHeight="1" x14ac:dyDescent="0.25">
      <c r="A58" s="8">
        <v>9.2799999999999994</v>
      </c>
      <c r="B58" s="2" t="s">
        <v>3547</v>
      </c>
      <c r="C58" s="37">
        <v>0.125</v>
      </c>
      <c r="D58" s="9">
        <v>1.4534</v>
      </c>
      <c r="E58" s="37">
        <v>0.24329999999999999</v>
      </c>
      <c r="F58" s="9">
        <v>0.39329999999999998</v>
      </c>
      <c r="G58" s="9">
        <v>-0.288584375</v>
      </c>
      <c r="H58" s="9">
        <v>0.81459999999999999</v>
      </c>
      <c r="I58" s="9">
        <v>0.1439</v>
      </c>
      <c r="J58" s="57">
        <f t="shared" si="24"/>
        <v>5.5904961565338418E-3</v>
      </c>
      <c r="K58" s="9">
        <v>1.6147</v>
      </c>
      <c r="L58" s="57">
        <f t="shared" si="19"/>
        <v>3.4802063265180205E-3</v>
      </c>
      <c r="M58" s="25">
        <v>0.30059999999999998</v>
      </c>
      <c r="N58" s="57">
        <f t="shared" si="25"/>
        <v>-3.9761431411532433E-3</v>
      </c>
      <c r="O58" s="9">
        <v>0.48609999999999998</v>
      </c>
      <c r="P58" s="57">
        <f t="shared" si="18"/>
        <v>-2.6437011816543232E-2</v>
      </c>
      <c r="Q58" s="2" t="s">
        <v>3564</v>
      </c>
    </row>
    <row r="59" spans="1:17" ht="42.75" customHeight="1" x14ac:dyDescent="0.25">
      <c r="A59" s="8">
        <v>9.2799999999999994</v>
      </c>
      <c r="B59" s="2" t="s">
        <v>3547</v>
      </c>
      <c r="C59" s="37">
        <v>0.1232</v>
      </c>
      <c r="D59" s="9">
        <v>1.3848</v>
      </c>
      <c r="E59" s="37">
        <v>0.2311</v>
      </c>
      <c r="F59" s="9">
        <v>0.36770000000000003</v>
      </c>
      <c r="G59" s="9">
        <v>-0.29579999999999995</v>
      </c>
      <c r="H59" s="9">
        <v>0.81940000000000002</v>
      </c>
      <c r="I59" s="9">
        <v>0.14330000000000001</v>
      </c>
      <c r="J59" s="57">
        <f t="shared" si="24"/>
        <v>1.3976240391335715E-3</v>
      </c>
      <c r="K59" s="9">
        <v>1.6013999999999999</v>
      </c>
      <c r="L59" s="57">
        <f t="shared" si="19"/>
        <v>-4.7852836989621395E-3</v>
      </c>
      <c r="M59" s="25">
        <v>0.30180000000000001</v>
      </c>
      <c r="N59" s="57">
        <f t="shared" si="25"/>
        <v>0</v>
      </c>
      <c r="O59" s="9">
        <v>0.48849999999999999</v>
      </c>
      <c r="P59" s="57">
        <f t="shared" si="18"/>
        <v>-2.1630282395353584E-2</v>
      </c>
      <c r="Q59" s="2" t="s">
        <v>3557</v>
      </c>
    </row>
    <row r="60" spans="1:17" ht="42.75" customHeight="1" x14ac:dyDescent="0.25">
      <c r="A60" s="8">
        <v>9.2799999999999994</v>
      </c>
      <c r="B60" s="2" t="s">
        <v>3547</v>
      </c>
      <c r="C60" s="37">
        <v>0.1114</v>
      </c>
      <c r="D60" s="9">
        <v>1.2695000000000001</v>
      </c>
      <c r="E60" s="37">
        <v>0.21579999999999999</v>
      </c>
      <c r="F60" s="9">
        <v>0.34289999999999998</v>
      </c>
      <c r="G60" s="9">
        <v>-0.35187142857142856</v>
      </c>
      <c r="H60" s="9">
        <v>0.77510000000000001</v>
      </c>
      <c r="I60" s="9">
        <v>0.14180000000000001</v>
      </c>
      <c r="J60" s="57">
        <f t="shared" si="24"/>
        <v>-9.0845562543675484E-3</v>
      </c>
      <c r="K60" s="9">
        <v>1.5812999999999999</v>
      </c>
      <c r="L60" s="57">
        <f t="shared" si="19"/>
        <v>-1.7276738549499737E-2</v>
      </c>
      <c r="M60" s="25">
        <v>0.29780000000000001</v>
      </c>
      <c r="N60" s="57">
        <f t="shared" si="25"/>
        <v>-1.325381047051033E-2</v>
      </c>
      <c r="O60" s="9">
        <v>0.48139999999999999</v>
      </c>
      <c r="P60" s="57">
        <f t="shared" si="18"/>
        <v>-3.5850190266372928E-2</v>
      </c>
      <c r="Q60" s="2" t="s">
        <v>3563</v>
      </c>
    </row>
    <row r="61" spans="1:17" ht="42.75" customHeight="1" x14ac:dyDescent="0.25">
      <c r="A61" s="8">
        <v>9.2799999999999994</v>
      </c>
      <c r="B61" s="2" t="s">
        <v>3547</v>
      </c>
      <c r="C61" s="37">
        <v>0.1142</v>
      </c>
      <c r="D61" s="9">
        <v>1.2218</v>
      </c>
      <c r="E61" s="37">
        <v>0.20949999999999999</v>
      </c>
      <c r="F61" s="9">
        <v>0.35489999999999999</v>
      </c>
      <c r="G61" s="9">
        <v>-0.44588571428571422</v>
      </c>
      <c r="H61" s="9">
        <v>0.79190000000000005</v>
      </c>
      <c r="I61" s="9">
        <v>0.1421</v>
      </c>
      <c r="J61" s="57">
        <f t="shared" si="24"/>
        <v>-6.9881201956674133E-3</v>
      </c>
      <c r="K61" s="9">
        <v>1.5564</v>
      </c>
      <c r="L61" s="57">
        <f t="shared" si="19"/>
        <v>-3.2751227394195448E-2</v>
      </c>
      <c r="M61" s="25">
        <v>0.29809999999999998</v>
      </c>
      <c r="N61" s="57">
        <f t="shared" si="25"/>
        <v>-1.2259774685222102E-2</v>
      </c>
      <c r="O61" s="9">
        <v>0.4914</v>
      </c>
      <c r="P61" s="57">
        <f t="shared" si="18"/>
        <v>-1.5822151011416041E-2</v>
      </c>
      <c r="Q61" s="2" t="s">
        <v>3562</v>
      </c>
    </row>
    <row r="62" spans="1:17" ht="42.75" customHeight="1" x14ac:dyDescent="0.25">
      <c r="A62" s="8">
        <v>9.25</v>
      </c>
      <c r="B62" s="2" t="s">
        <v>3547</v>
      </c>
      <c r="C62" s="37">
        <v>8.48E-2</v>
      </c>
      <c r="D62" s="9">
        <v>0.83340000000000003</v>
      </c>
      <c r="E62" s="37">
        <v>0.1883</v>
      </c>
      <c r="F62" s="9">
        <v>0.31130000000000002</v>
      </c>
      <c r="G62" s="9">
        <v>-0.37019375000000004</v>
      </c>
      <c r="H62" s="9">
        <v>0.61299999999999999</v>
      </c>
      <c r="I62" s="9">
        <v>0.1399</v>
      </c>
      <c r="J62" s="57">
        <f t="shared" si="24"/>
        <v>-2.2361984626135589E-2</v>
      </c>
      <c r="K62" s="9">
        <v>1.4789000000000001</v>
      </c>
      <c r="L62" s="57">
        <f t="shared" si="19"/>
        <v>-8.0914797091541812E-2</v>
      </c>
      <c r="M62" s="25">
        <v>0.28910000000000002</v>
      </c>
      <c r="N62" s="57">
        <f t="shared" si="25"/>
        <v>-4.2080848243870039E-2</v>
      </c>
      <c r="O62" s="9">
        <v>0.47570000000000001</v>
      </c>
      <c r="P62" s="57">
        <f t="shared" si="18"/>
        <v>-4.7266172641698412E-2</v>
      </c>
      <c r="Q62" s="9" t="s">
        <v>3561</v>
      </c>
    </row>
    <row r="63" spans="1:17" ht="42.75" customHeight="1" x14ac:dyDescent="0.25">
      <c r="A63" s="8">
        <v>9.25</v>
      </c>
      <c r="B63" s="2" t="s">
        <v>3424</v>
      </c>
      <c r="C63" s="37">
        <v>0.1188</v>
      </c>
      <c r="D63" s="9">
        <v>1.2581</v>
      </c>
      <c r="E63" s="37">
        <v>0.26679999999999998</v>
      </c>
      <c r="F63" s="9">
        <v>0.38159999999999999</v>
      </c>
      <c r="G63" s="9">
        <v>-0.28968499999999997</v>
      </c>
      <c r="H63" s="9">
        <v>0.78439999999999999</v>
      </c>
      <c r="I63" s="9">
        <v>0.1431</v>
      </c>
      <c r="J63" s="57">
        <f t="shared" si="24"/>
        <v>0</v>
      </c>
      <c r="K63" s="9">
        <v>1.6116999999999999</v>
      </c>
      <c r="L63" s="57">
        <f t="shared" si="19"/>
        <v>1.6158100801690889E-3</v>
      </c>
      <c r="M63" s="25">
        <v>0.29580000000000001</v>
      </c>
      <c r="N63" s="57">
        <f t="shared" si="25"/>
        <v>-1.9880715705765439E-2</v>
      </c>
      <c r="O63" s="9">
        <v>0.46910000000000002</v>
      </c>
      <c r="P63" s="57">
        <f t="shared" si="18"/>
        <v>-6.0484678549969972E-2</v>
      </c>
      <c r="Q63" s="2" t="s">
        <v>3560</v>
      </c>
    </row>
    <row r="64" spans="1:17" ht="42.75" customHeight="1" x14ac:dyDescent="0.25">
      <c r="A64" s="8">
        <v>9.25</v>
      </c>
      <c r="B64" s="2" t="s">
        <v>5</v>
      </c>
      <c r="C64" s="37">
        <v>0.13020000000000001</v>
      </c>
      <c r="D64" s="9">
        <v>1.5794999999999999</v>
      </c>
      <c r="E64" s="37">
        <v>0.28070000000000001</v>
      </c>
      <c r="F64" s="9">
        <v>0.45729999999999998</v>
      </c>
      <c r="G64" s="9">
        <v>-0.28088000000000002</v>
      </c>
      <c r="H64" s="9">
        <v>0.86599999999999999</v>
      </c>
      <c r="I64" s="9">
        <v>0.14369999999999999</v>
      </c>
      <c r="J64" s="57">
        <f t="shared" si="24"/>
        <v>4.1928721174002703E-3</v>
      </c>
      <c r="K64" s="9">
        <v>1.6279999999999999</v>
      </c>
      <c r="L64" s="57">
        <f t="shared" si="19"/>
        <v>1.1745696351997958E-2</v>
      </c>
      <c r="M64" s="25">
        <v>0.29699999999999999</v>
      </c>
      <c r="N64" s="57">
        <f t="shared" si="25"/>
        <v>-1.5904572564612418E-2</v>
      </c>
      <c r="O64" s="9">
        <v>0.48380000000000001</v>
      </c>
      <c r="P64" s="57">
        <f t="shared" si="18"/>
        <v>-3.1043460845183279E-2</v>
      </c>
      <c r="Q64" s="2" t="s">
        <v>3559</v>
      </c>
    </row>
    <row r="65" spans="1:17" ht="42.75" customHeight="1" x14ac:dyDescent="0.25">
      <c r="A65" s="8">
        <v>9.24</v>
      </c>
      <c r="B65" s="2" t="s">
        <v>5</v>
      </c>
      <c r="C65" s="37">
        <v>0.12989999999999999</v>
      </c>
      <c r="D65" s="9">
        <v>1.4791000000000001</v>
      </c>
      <c r="E65" s="37">
        <v>0.28060000000000002</v>
      </c>
      <c r="F65" s="9">
        <v>0.45350000000000001</v>
      </c>
      <c r="G65" s="9">
        <v>-0.26123793103448273</v>
      </c>
      <c r="H65" s="9">
        <v>0.85340000000000005</v>
      </c>
      <c r="I65" s="9">
        <v>0.14399999999999999</v>
      </c>
      <c r="J65" s="57">
        <f t="shared" si="24"/>
        <v>6.2893081761006275E-3</v>
      </c>
      <c r="K65" s="9">
        <v>1.6037999999999999</v>
      </c>
      <c r="L65" s="57">
        <f t="shared" si="19"/>
        <v>-3.293766701883083E-3</v>
      </c>
      <c r="M65" s="25">
        <v>0.30299999999999999</v>
      </c>
      <c r="N65" s="57">
        <f t="shared" si="25"/>
        <v>3.9761431411529102E-3</v>
      </c>
      <c r="O65" s="9">
        <v>0.49640000000000001</v>
      </c>
      <c r="P65" s="57">
        <f t="shared" si="18"/>
        <v>-5.8081313839375426E-3</v>
      </c>
      <c r="Q65" s="2" t="s">
        <v>3558</v>
      </c>
    </row>
    <row r="66" spans="1:17" ht="42.75" customHeight="1" x14ac:dyDescent="0.25">
      <c r="A66" s="8">
        <v>9.23</v>
      </c>
      <c r="B66" s="2" t="s">
        <v>3547</v>
      </c>
      <c r="C66" s="37">
        <v>0.1111</v>
      </c>
      <c r="D66" s="9">
        <v>1.2005999999999999</v>
      </c>
      <c r="E66" s="37">
        <v>0.20549999999999999</v>
      </c>
      <c r="F66" s="9">
        <v>0.3286</v>
      </c>
      <c r="G66" s="9">
        <v>-0.66859999999999997</v>
      </c>
      <c r="H66" s="9">
        <v>0.79269999999999996</v>
      </c>
      <c r="I66" s="9">
        <v>0.14130000000000001</v>
      </c>
      <c r="J66" s="57">
        <f t="shared" si="24"/>
        <v>-1.2578616352201255E-2</v>
      </c>
      <c r="K66" s="9">
        <v>1.5464</v>
      </c>
      <c r="L66" s="57">
        <f t="shared" si="19"/>
        <v>-3.896588154869185E-2</v>
      </c>
      <c r="M66" s="25">
        <v>0.29680000000000001</v>
      </c>
      <c r="N66" s="57">
        <f t="shared" si="25"/>
        <v>-1.6567263088137829E-2</v>
      </c>
      <c r="O66" s="9">
        <v>0.48199999999999998</v>
      </c>
      <c r="P66" s="57">
        <f t="shared" si="18"/>
        <v>-3.4648507911075543E-2</v>
      </c>
      <c r="Q66" s="2" t="s">
        <v>3556</v>
      </c>
    </row>
    <row r="67" spans="1:17" ht="42.75" customHeight="1" x14ac:dyDescent="0.25">
      <c r="A67" s="8">
        <v>9.23</v>
      </c>
      <c r="B67" s="2" t="s">
        <v>3547</v>
      </c>
      <c r="C67" s="37">
        <v>0.12520000000000001</v>
      </c>
      <c r="D67" s="9">
        <v>1.389</v>
      </c>
      <c r="E67" s="37">
        <v>0.26350000000000001</v>
      </c>
      <c r="F67" s="9">
        <v>0.43219999999999997</v>
      </c>
      <c r="G67" s="9">
        <v>-0.34814516129032252</v>
      </c>
      <c r="H67" s="9">
        <v>0.83879999999999999</v>
      </c>
      <c r="I67" s="9">
        <v>0.1434</v>
      </c>
      <c r="J67" s="57">
        <f t="shared" si="24"/>
        <v>2.0964360587001352E-3</v>
      </c>
      <c r="K67" s="9">
        <v>1.5876999999999999</v>
      </c>
      <c r="L67" s="57">
        <f t="shared" si="19"/>
        <v>-1.3299359890622142E-2</v>
      </c>
      <c r="M67" s="25">
        <v>0.3009</v>
      </c>
      <c r="N67" s="57">
        <f t="shared" si="25"/>
        <v>-2.9821073558649047E-3</v>
      </c>
      <c r="O67" s="9">
        <v>0.49299999999999999</v>
      </c>
      <c r="P67" s="57">
        <f t="shared" si="18"/>
        <v>-1.2617664730622979E-2</v>
      </c>
      <c r="Q67" s="2" t="s">
        <v>3555</v>
      </c>
    </row>
    <row r="68" spans="1:17" ht="42.75" customHeight="1" x14ac:dyDescent="0.25">
      <c r="A68" s="8">
        <v>9.2200000000000006</v>
      </c>
      <c r="B68" s="2" t="s">
        <v>3468</v>
      </c>
      <c r="C68" s="37">
        <v>9.9599999999999994E-2</v>
      </c>
      <c r="D68" s="9">
        <v>1.1144000000000001</v>
      </c>
      <c r="E68" s="37">
        <v>0.17849999999999999</v>
      </c>
      <c r="F68" s="9">
        <v>0.30669999999999997</v>
      </c>
      <c r="G68" s="9">
        <v>-8.2261333333333006E-2</v>
      </c>
      <c r="H68" s="9">
        <v>0.75129999999999997</v>
      </c>
      <c r="I68" s="9">
        <v>0.14230000000000001</v>
      </c>
      <c r="J68" s="57">
        <f t="shared" si="24"/>
        <v>-5.5904961565338418E-3</v>
      </c>
      <c r="K68" s="9">
        <v>1.6688000000000001</v>
      </c>
      <c r="L68" s="57">
        <f t="shared" si="19"/>
        <v>3.7101485302343029E-2</v>
      </c>
      <c r="M68" s="25">
        <v>0.2969</v>
      </c>
      <c r="N68" s="57">
        <f t="shared" si="25"/>
        <v>-1.6235917826375124E-2</v>
      </c>
      <c r="O68" s="9">
        <v>0.48139999999999999</v>
      </c>
      <c r="P68" s="57">
        <f t="shared" si="18"/>
        <v>-3.5850190266372928E-2</v>
      </c>
      <c r="Q68" s="2" t="s">
        <v>3554</v>
      </c>
    </row>
    <row r="69" spans="1:17" ht="42.75" customHeight="1" x14ac:dyDescent="0.25">
      <c r="A69" s="8">
        <v>9.2200000000000006</v>
      </c>
      <c r="B69" s="2" t="s">
        <v>127</v>
      </c>
      <c r="C69" s="37">
        <v>0.12189999999999999</v>
      </c>
      <c r="D69" s="9">
        <v>1.3892</v>
      </c>
      <c r="E69" s="37">
        <v>0.2495</v>
      </c>
      <c r="F69" s="9">
        <v>0.40899999999999997</v>
      </c>
      <c r="G69" s="9">
        <v>-0.30781071428571433</v>
      </c>
      <c r="H69" s="9">
        <v>0.82010000000000005</v>
      </c>
      <c r="I69" s="9">
        <v>0.1431</v>
      </c>
      <c r="J69" s="57">
        <f t="shared" si="24"/>
        <v>0</v>
      </c>
      <c r="K69" s="9">
        <v>1.5860000000000001</v>
      </c>
      <c r="L69" s="57">
        <f t="shared" si="19"/>
        <v>-1.4355851096886418E-2</v>
      </c>
      <c r="M69" s="25">
        <v>0.2959</v>
      </c>
      <c r="N69" s="57">
        <f t="shared" si="25"/>
        <v>-1.9549370444002734E-2</v>
      </c>
      <c r="O69" s="9">
        <v>0.4783</v>
      </c>
      <c r="P69" s="57">
        <f t="shared" si="18"/>
        <v>-4.2058882435409561E-2</v>
      </c>
      <c r="Q69" s="2" t="s">
        <v>3554</v>
      </c>
    </row>
    <row r="70" spans="1:17" ht="42.75" customHeight="1" x14ac:dyDescent="0.25">
      <c r="A70" s="8">
        <v>9.2100000000000009</v>
      </c>
      <c r="B70" s="2" t="s">
        <v>3547</v>
      </c>
      <c r="C70" s="37">
        <v>0.12640000000000001</v>
      </c>
      <c r="D70" s="9">
        <v>1.4423999999999999</v>
      </c>
      <c r="E70" s="37">
        <v>0.24990000000000001</v>
      </c>
      <c r="F70" s="9">
        <v>0.3977</v>
      </c>
      <c r="G70" s="9">
        <v>-0.34546071428571429</v>
      </c>
      <c r="H70" s="9">
        <v>0.84940000000000004</v>
      </c>
      <c r="I70" s="9">
        <v>0.14330000000000001</v>
      </c>
      <c r="J70" s="57">
        <f t="shared" si="24"/>
        <v>1.3976240391335715E-3</v>
      </c>
      <c r="K70" s="9">
        <v>1.5992</v>
      </c>
      <c r="L70" s="57">
        <f t="shared" si="19"/>
        <v>-6.1525076129513856E-3</v>
      </c>
      <c r="M70" s="25">
        <v>0.30120000000000002</v>
      </c>
      <c r="N70" s="57">
        <f t="shared" si="25"/>
        <v>-1.9880715705764551E-3</v>
      </c>
      <c r="O70" s="9">
        <v>0.49330000000000002</v>
      </c>
      <c r="P70" s="57">
        <f t="shared" si="18"/>
        <v>-1.2016823552974176E-2</v>
      </c>
      <c r="Q70" s="2" t="s">
        <v>3551</v>
      </c>
    </row>
    <row r="71" spans="1:17" ht="42.75" customHeight="1" x14ac:dyDescent="0.25">
      <c r="A71" s="8">
        <v>9.1999999999999993</v>
      </c>
      <c r="B71" s="2" t="s">
        <v>3547</v>
      </c>
      <c r="C71" s="37">
        <v>0.1278</v>
      </c>
      <c r="D71" s="9">
        <v>1.4191</v>
      </c>
      <c r="E71" s="37">
        <v>0.27060000000000001</v>
      </c>
      <c r="F71" s="9">
        <v>0.45100000000000001</v>
      </c>
      <c r="G71" s="9">
        <v>-0.29462413793103448</v>
      </c>
      <c r="H71" s="9">
        <v>0.86639999999999995</v>
      </c>
      <c r="I71" s="9">
        <v>0.14330000000000001</v>
      </c>
      <c r="J71" s="57">
        <f t="shared" si="24"/>
        <v>1.3976240391335715E-3</v>
      </c>
      <c r="K71" s="9">
        <v>1.5872999999999999</v>
      </c>
      <c r="L71" s="57">
        <f t="shared" si="19"/>
        <v>-1.3547946056801985E-2</v>
      </c>
      <c r="M71" s="25">
        <v>0.3</v>
      </c>
      <c r="N71" s="57">
        <f t="shared" si="25"/>
        <v>-5.9642147117296984E-3</v>
      </c>
      <c r="O71" s="9">
        <v>0.49840000000000001</v>
      </c>
      <c r="P71" s="57">
        <f t="shared" si="18"/>
        <v>-1.8025235329461875E-3</v>
      </c>
      <c r="Q71" s="2" t="s">
        <v>3553</v>
      </c>
    </row>
    <row r="72" spans="1:17" ht="42.75" customHeight="1" x14ac:dyDescent="0.25">
      <c r="A72" s="8">
        <v>9.19</v>
      </c>
      <c r="B72" s="2" t="s">
        <v>15</v>
      </c>
      <c r="C72" s="37">
        <v>0.1244</v>
      </c>
      <c r="D72" s="9">
        <v>1.4502999999999999</v>
      </c>
      <c r="E72" s="37">
        <v>0.24809999999999999</v>
      </c>
      <c r="F72" s="9">
        <v>0.3992</v>
      </c>
      <c r="G72" s="9">
        <v>-0.32945862068965515</v>
      </c>
      <c r="H72" s="9">
        <v>0.84819999999999995</v>
      </c>
      <c r="I72" s="9">
        <v>0.1429</v>
      </c>
      <c r="J72" s="57">
        <f t="shared" si="24"/>
        <v>-1.3976240391334604E-3</v>
      </c>
      <c r="K72" s="9">
        <v>1.5992</v>
      </c>
      <c r="L72" s="57">
        <f t="shared" si="19"/>
        <v>-6.1525076129513856E-3</v>
      </c>
      <c r="M72" s="25">
        <v>0.29920000000000002</v>
      </c>
      <c r="N72" s="57">
        <f t="shared" si="25"/>
        <v>-8.6149768058316756E-3</v>
      </c>
      <c r="O72" s="9">
        <v>0.48980000000000001</v>
      </c>
      <c r="P72" s="57">
        <f t="shared" si="18"/>
        <v>-1.9026637292209103E-2</v>
      </c>
      <c r="Q72" s="2" t="s">
        <v>3551</v>
      </c>
    </row>
    <row r="73" spans="1:17" ht="42.75" customHeight="1" x14ac:dyDescent="0.25">
      <c r="A73" s="8">
        <v>9.19</v>
      </c>
      <c r="B73" s="2" t="s">
        <v>15</v>
      </c>
      <c r="C73" s="37">
        <v>0.12180000000000001</v>
      </c>
      <c r="D73" s="9">
        <v>1.3229</v>
      </c>
      <c r="E73" s="37">
        <v>0.25090000000000001</v>
      </c>
      <c r="F73" s="9">
        <v>0.41449999999999998</v>
      </c>
      <c r="G73" s="9">
        <v>-0.36559655172413796</v>
      </c>
      <c r="H73" s="9">
        <v>0.82120000000000004</v>
      </c>
      <c r="I73" s="9">
        <v>0.1429</v>
      </c>
      <c r="J73" s="57">
        <f t="shared" si="24"/>
        <v>-1.3976240391334604E-3</v>
      </c>
      <c r="K73" s="9">
        <v>1.575</v>
      </c>
      <c r="L73" s="57">
        <f t="shared" si="19"/>
        <v>-2.1191970666832427E-2</v>
      </c>
      <c r="M73" s="25">
        <v>0.29859999999999998</v>
      </c>
      <c r="N73" s="57">
        <f t="shared" si="25"/>
        <v>-1.0603048376408353E-2</v>
      </c>
      <c r="O73" s="9">
        <v>0.48730000000000001</v>
      </c>
      <c r="P73" s="57">
        <f t="shared" si="18"/>
        <v>-2.4033647105948353E-2</v>
      </c>
      <c r="Q73" s="2" t="s">
        <v>3552</v>
      </c>
    </row>
    <row r="74" spans="1:17" ht="42.75" customHeight="1" x14ac:dyDescent="0.25">
      <c r="A74" s="8">
        <v>9.1999999999999993</v>
      </c>
      <c r="B74" s="2" t="s">
        <v>3547</v>
      </c>
      <c r="C74" s="37">
        <v>0.1239</v>
      </c>
      <c r="D74" s="9">
        <v>1.3532</v>
      </c>
      <c r="E74" s="37">
        <v>0.25700000000000001</v>
      </c>
      <c r="F74" s="9">
        <v>0.42230000000000001</v>
      </c>
      <c r="G74" s="9">
        <v>-0.33547499999999991</v>
      </c>
      <c r="H74" s="9">
        <v>0.83850000000000002</v>
      </c>
      <c r="I74" s="9">
        <v>0.1431</v>
      </c>
      <c r="J74" s="57">
        <f t="shared" si="24"/>
        <v>0</v>
      </c>
      <c r="K74" s="9">
        <v>1.5779000000000001</v>
      </c>
      <c r="L74" s="57">
        <f t="shared" si="19"/>
        <v>-1.9389720962028401E-2</v>
      </c>
      <c r="M74" s="25">
        <v>0.30570000000000003</v>
      </c>
      <c r="N74" s="57">
        <f t="shared" si="25"/>
        <v>1.2922465208747624E-2</v>
      </c>
      <c r="O74" s="9">
        <v>0.50009999999999999</v>
      </c>
      <c r="P74" s="57">
        <f t="shared" si="18"/>
        <v>1.6022431403965864E-3</v>
      </c>
      <c r="Q74" s="2" t="s">
        <v>3550</v>
      </c>
    </row>
    <row r="75" spans="1:17" ht="42.75" customHeight="1" x14ac:dyDescent="0.25">
      <c r="A75" s="8">
        <v>9.1999999999999993</v>
      </c>
      <c r="B75" s="2" t="s">
        <v>3547</v>
      </c>
      <c r="C75" s="37">
        <v>0.12640000000000001</v>
      </c>
      <c r="D75" s="9">
        <v>1.4373</v>
      </c>
      <c r="E75" s="37">
        <v>0.2661</v>
      </c>
      <c r="F75" s="9">
        <v>0.43090000000000001</v>
      </c>
      <c r="G75" s="9">
        <v>-0.32495161290322583</v>
      </c>
      <c r="H75" s="9">
        <v>0.83860000000000001</v>
      </c>
      <c r="I75" s="9">
        <v>0.14369999999999999</v>
      </c>
      <c r="J75" s="57">
        <f t="shared" si="24"/>
        <v>4.1928721174002703E-3</v>
      </c>
      <c r="K75" s="9">
        <v>1.5999000000000001</v>
      </c>
      <c r="L75" s="57">
        <f t="shared" si="19"/>
        <v>-5.7174818221364943E-3</v>
      </c>
      <c r="M75" s="25">
        <v>0.30730000000000002</v>
      </c>
      <c r="N75" s="57">
        <f t="shared" si="25"/>
        <v>1.8223989396951579E-2</v>
      </c>
      <c r="O75" s="9">
        <v>0.50049999999999994</v>
      </c>
      <c r="P75" s="57">
        <f t="shared" si="18"/>
        <v>2.4033647105947686E-3</v>
      </c>
      <c r="Q75" s="2" t="s">
        <v>3549</v>
      </c>
    </row>
    <row r="76" spans="1:17" ht="42.75" customHeight="1" x14ac:dyDescent="0.25">
      <c r="A76" s="8">
        <v>9.18</v>
      </c>
      <c r="B76" s="2" t="s">
        <v>3547</v>
      </c>
      <c r="C76" s="37">
        <v>0.12230000000000001</v>
      </c>
      <c r="D76" s="9">
        <v>1.4371</v>
      </c>
      <c r="E76" s="37">
        <v>0.26419999999999999</v>
      </c>
      <c r="F76" s="9">
        <v>0.41399999999999998</v>
      </c>
      <c r="G76" s="9">
        <v>-0.35515624999999995</v>
      </c>
      <c r="H76" s="9">
        <v>0.83009999999999995</v>
      </c>
      <c r="I76" s="9">
        <v>0.14299999999999999</v>
      </c>
      <c r="J76" s="57">
        <f t="shared" si="24"/>
        <v>-6.9881201956689676E-4</v>
      </c>
      <c r="K76" s="9">
        <v>1.5964</v>
      </c>
      <c r="L76" s="57">
        <f t="shared" si="19"/>
        <v>-7.8926107762102848E-3</v>
      </c>
      <c r="M76" s="25">
        <v>0.30570000000000003</v>
      </c>
      <c r="N76" s="57">
        <f t="shared" si="25"/>
        <v>1.2922465208747624E-2</v>
      </c>
      <c r="O76" s="9">
        <v>0.49590000000000001</v>
      </c>
      <c r="P76" s="57">
        <f t="shared" si="18"/>
        <v>-6.8095333466854369E-3</v>
      </c>
      <c r="Q76" s="2" t="s">
        <v>3548</v>
      </c>
    </row>
    <row r="77" spans="1:17" ht="42.75" customHeight="1" x14ac:dyDescent="0.25">
      <c r="A77" s="8">
        <v>9.17</v>
      </c>
      <c r="B77" s="2" t="s">
        <v>15</v>
      </c>
      <c r="C77" s="37">
        <v>8.77E-2</v>
      </c>
      <c r="D77" s="9">
        <v>1.3847</v>
      </c>
      <c r="E77" s="37">
        <v>0.15609999999999999</v>
      </c>
      <c r="F77" s="9">
        <v>0.2707</v>
      </c>
      <c r="G77" s="9">
        <v>-0.50897666666666663</v>
      </c>
      <c r="H77" s="9">
        <v>0.55679999999999996</v>
      </c>
      <c r="I77" s="9">
        <v>0.14230000000000001</v>
      </c>
      <c r="J77" s="57">
        <f t="shared" si="24"/>
        <v>-5.5904961565338418E-3</v>
      </c>
      <c r="K77" s="9">
        <v>1.6688000000000001</v>
      </c>
      <c r="L77" s="57">
        <f t="shared" si="19"/>
        <v>3.7101485302343029E-2</v>
      </c>
      <c r="M77" s="25">
        <v>0.2969</v>
      </c>
      <c r="N77" s="57">
        <f t="shared" si="25"/>
        <v>-1.6235917826375124E-2</v>
      </c>
      <c r="O77" s="9">
        <v>0.48139999999999999</v>
      </c>
      <c r="P77" s="57">
        <f t="shared" si="18"/>
        <v>-3.5850190266372928E-2</v>
      </c>
      <c r="Q77" s="2" t="s">
        <v>3546</v>
      </c>
    </row>
    <row r="78" spans="1:17" ht="42.75" customHeight="1" x14ac:dyDescent="0.25">
      <c r="A78" s="8">
        <v>9.17</v>
      </c>
      <c r="B78" s="2" t="s">
        <v>15</v>
      </c>
      <c r="C78" s="37">
        <v>0.12529999999999999</v>
      </c>
      <c r="D78" s="9">
        <v>0.12529999999999999</v>
      </c>
      <c r="E78" s="37">
        <v>0.25569999999999998</v>
      </c>
      <c r="F78" s="9">
        <v>0.39229999999999998</v>
      </c>
      <c r="G78" s="9">
        <v>-0.43597857142857144</v>
      </c>
      <c r="H78" s="9">
        <v>0.81930000000000003</v>
      </c>
      <c r="I78" s="9">
        <v>0.1439</v>
      </c>
      <c r="J78" s="57">
        <f t="shared" si="24"/>
        <v>5.5904961565338418E-3</v>
      </c>
      <c r="K78" s="9">
        <v>1.5931</v>
      </c>
      <c r="L78" s="57">
        <f t="shared" si="19"/>
        <v>-9.943446647194043E-3</v>
      </c>
      <c r="M78" s="25">
        <v>0.30199999999999999</v>
      </c>
      <c r="N78" s="57">
        <f t="shared" si="25"/>
        <v>6.6269052352541102E-4</v>
      </c>
      <c r="O78" s="9">
        <v>0.48509999999999998</v>
      </c>
      <c r="P78" s="57">
        <f t="shared" si="18"/>
        <v>-2.843981574203891E-2</v>
      </c>
      <c r="Q78" s="2" t="s">
        <v>3545</v>
      </c>
    </row>
    <row r="79" spans="1:17" ht="42.75" customHeight="1" x14ac:dyDescent="0.25">
      <c r="A79" s="8">
        <v>9.17</v>
      </c>
      <c r="B79" s="2" t="s">
        <v>15</v>
      </c>
      <c r="C79" s="37">
        <v>0.12239999999999999</v>
      </c>
      <c r="D79" s="9">
        <v>1.4397</v>
      </c>
      <c r="E79" s="37">
        <v>0.25009999999999999</v>
      </c>
      <c r="F79" s="9">
        <v>0.40699999999999997</v>
      </c>
      <c r="G79" s="9">
        <v>-0.43836451612903227</v>
      </c>
      <c r="H79" s="9">
        <v>0.80410000000000004</v>
      </c>
      <c r="I79" s="9">
        <v>0.14369999999999999</v>
      </c>
      <c r="J79" s="57">
        <f t="shared" si="24"/>
        <v>4.1928721174002703E-3</v>
      </c>
      <c r="K79" s="9">
        <v>1.6</v>
      </c>
      <c r="L79" s="57">
        <f t="shared" si="19"/>
        <v>-5.6553352805915891E-3</v>
      </c>
      <c r="M79" s="25">
        <v>0.30320000000000003</v>
      </c>
      <c r="N79" s="57">
        <f t="shared" si="25"/>
        <v>4.6388336646785433E-3</v>
      </c>
      <c r="O79" s="9">
        <v>0.49399999999999999</v>
      </c>
      <c r="P79" s="57">
        <f t="shared" si="18"/>
        <v>-1.0614860805127191E-2</v>
      </c>
      <c r="Q79" s="2" t="s">
        <v>3544</v>
      </c>
    </row>
    <row r="80" spans="1:17" ht="42.75" customHeight="1" x14ac:dyDescent="0.25">
      <c r="A80" s="8">
        <v>9.16</v>
      </c>
      <c r="B80" s="2" t="s">
        <v>15</v>
      </c>
      <c r="C80" s="37">
        <v>8.8400000000000006E-2</v>
      </c>
      <c r="D80" s="9">
        <v>1.3188</v>
      </c>
      <c r="E80" s="37">
        <v>0.1651</v>
      </c>
      <c r="F80" s="9">
        <v>0.28560000000000002</v>
      </c>
      <c r="G80" s="23">
        <v>-0.50428709677419348</v>
      </c>
      <c r="H80" s="9">
        <v>0.5494</v>
      </c>
      <c r="I80" s="9">
        <v>0.1426</v>
      </c>
      <c r="J80" s="57">
        <f t="shared" si="24"/>
        <v>-3.4940600978337066E-3</v>
      </c>
      <c r="K80" s="9">
        <v>1.6487000000000001</v>
      </c>
      <c r="L80" s="57">
        <f t="shared" si="19"/>
        <v>2.461003045180532E-2</v>
      </c>
      <c r="M80" s="25">
        <v>0.29559999999999997</v>
      </c>
      <c r="N80" s="57">
        <f t="shared" si="25"/>
        <v>-2.0543406229291072E-2</v>
      </c>
      <c r="O80" s="9">
        <v>0.47110000000000002</v>
      </c>
      <c r="P80" s="57">
        <f t="shared" si="18"/>
        <v>-5.6479070698978617E-2</v>
      </c>
      <c r="Q80" s="2" t="s">
        <v>3543</v>
      </c>
    </row>
    <row r="81" spans="1:17" ht="42.75" customHeight="1" x14ac:dyDescent="0.25">
      <c r="A81" s="8">
        <v>9.1</v>
      </c>
      <c r="B81" s="2" t="s">
        <v>3541</v>
      </c>
      <c r="C81" s="37">
        <v>0.13150000000000001</v>
      </c>
      <c r="D81" s="9">
        <v>1.5788</v>
      </c>
      <c r="E81" s="37">
        <v>0.2712</v>
      </c>
      <c r="F81" s="9">
        <v>0.43099999999999999</v>
      </c>
      <c r="G81" s="9">
        <v>-0.26430625000000002</v>
      </c>
      <c r="H81" s="9">
        <v>0.86129999999999995</v>
      </c>
      <c r="I81" s="9">
        <v>0.14410000000000001</v>
      </c>
      <c r="J81" s="57">
        <f t="shared" si="24"/>
        <v>6.9881201956674133E-3</v>
      </c>
      <c r="K81" s="9">
        <v>1.6366000000000001</v>
      </c>
      <c r="L81" s="57">
        <f t="shared" si="19"/>
        <v>1.7090298924864911E-2</v>
      </c>
      <c r="M81" s="25">
        <v>0.30580000000000002</v>
      </c>
      <c r="N81" s="57">
        <f t="shared" si="25"/>
        <v>1.3253810470510219E-2</v>
      </c>
      <c r="O81" s="9">
        <v>0.49969999999999998</v>
      </c>
      <c r="P81" s="57">
        <f t="shared" si="18"/>
        <v>8.011215701981822E-4</v>
      </c>
      <c r="Q81" s="2" t="s">
        <v>3542</v>
      </c>
    </row>
    <row r="82" spans="1:17" ht="42.75" customHeight="1" x14ac:dyDescent="0.25">
      <c r="A82" s="8">
        <v>9.09</v>
      </c>
      <c r="B82" s="2" t="s">
        <v>5</v>
      </c>
      <c r="C82" s="37">
        <v>0.12429999999999999</v>
      </c>
      <c r="D82" s="9">
        <v>1.4202999999999999</v>
      </c>
      <c r="E82" s="37">
        <v>0.25829999999999997</v>
      </c>
      <c r="F82" s="9">
        <v>0.42</v>
      </c>
      <c r="G82" s="9">
        <v>-0.19619374999999994</v>
      </c>
      <c r="H82" s="9">
        <v>0.77790000000000004</v>
      </c>
      <c r="I82" s="9">
        <v>0.1303</v>
      </c>
      <c r="J82" s="57">
        <f t="shared" si="24"/>
        <v>-8.9447938504542357E-2</v>
      </c>
      <c r="K82" s="9">
        <v>1.3061</v>
      </c>
      <c r="L82" s="57">
        <f t="shared" si="19"/>
        <v>-0.18830402088123788</v>
      </c>
      <c r="M82" s="25">
        <v>0.27679999999999999</v>
      </c>
      <c r="N82" s="57">
        <f t="shared" si="25"/>
        <v>-8.2836315440689257E-2</v>
      </c>
      <c r="O82" s="9">
        <v>0.4607</v>
      </c>
      <c r="P82" s="57">
        <f t="shared" si="18"/>
        <v>-7.7308231524133797E-2</v>
      </c>
      <c r="Q82" s="2" t="s">
        <v>3534</v>
      </c>
    </row>
    <row r="83" spans="1:17" ht="42.75" customHeight="1" x14ac:dyDescent="0.25">
      <c r="A83" s="8">
        <v>9.09</v>
      </c>
      <c r="B83" s="2" t="s">
        <v>5</v>
      </c>
      <c r="C83" s="37">
        <v>0.1229</v>
      </c>
      <c r="D83" s="9">
        <v>1.4003000000000001</v>
      </c>
      <c r="E83" s="37">
        <v>0.26369999999999999</v>
      </c>
      <c r="F83" s="9">
        <v>0.41489999999999999</v>
      </c>
      <c r="G83" s="9">
        <v>-0.22098709677419348</v>
      </c>
      <c r="H83" s="9">
        <v>0.77080000000000004</v>
      </c>
      <c r="I83" s="9">
        <v>0.13009999999999999</v>
      </c>
      <c r="J83" s="57">
        <f t="shared" si="24"/>
        <v>-9.0845562543675817E-2</v>
      </c>
      <c r="K83" s="9">
        <v>1.2977000000000001</v>
      </c>
      <c r="L83" s="57">
        <f t="shared" ref="L83:L146" si="26">K83/1.6091 -1</f>
        <v>-0.1935243303710148</v>
      </c>
      <c r="M83" s="25">
        <v>0.27489999999999998</v>
      </c>
      <c r="N83" s="57">
        <f t="shared" si="25"/>
        <v>-8.913187541418166E-2</v>
      </c>
      <c r="O83" s="9">
        <v>0.45700000000000002</v>
      </c>
      <c r="P83" s="57">
        <f t="shared" ref="P83:P146" si="27">O83/0.4993 - 1</f>
        <v>-8.4718606048467815E-2</v>
      </c>
      <c r="Q83" s="2" t="s">
        <v>3533</v>
      </c>
    </row>
    <row r="84" spans="1:17" ht="42.75" customHeight="1" x14ac:dyDescent="0.25">
      <c r="A84" s="8">
        <v>9.06</v>
      </c>
      <c r="B84" s="2" t="s">
        <v>5</v>
      </c>
      <c r="C84" s="37">
        <v>0.12989999999999999</v>
      </c>
      <c r="D84" s="9">
        <v>1.4791000000000001</v>
      </c>
      <c r="E84" s="37">
        <v>0.28060000000000002</v>
      </c>
      <c r="F84" s="9">
        <v>0.45350000000000001</v>
      </c>
      <c r="G84" s="9">
        <v>-0.26023225806451605</v>
      </c>
      <c r="H84" s="9">
        <v>0.81540000000000001</v>
      </c>
      <c r="I84" s="9">
        <v>0.13059999999999999</v>
      </c>
      <c r="J84" s="57">
        <f t="shared" si="24"/>
        <v>-8.7351502445842111E-2</v>
      </c>
      <c r="K84" s="9">
        <v>1.31</v>
      </c>
      <c r="L84" s="57">
        <f t="shared" si="26"/>
        <v>-0.18588030576098435</v>
      </c>
      <c r="M84" s="25">
        <v>0.27960000000000002</v>
      </c>
      <c r="N84" s="57">
        <f t="shared" si="25"/>
        <v>-7.3558648111331948E-2</v>
      </c>
      <c r="O84" s="9">
        <v>0.46129999999999999</v>
      </c>
      <c r="P84" s="57">
        <f t="shared" si="27"/>
        <v>-7.6106549168836413E-2</v>
      </c>
      <c r="Q84" s="2" t="s">
        <v>3532</v>
      </c>
    </row>
    <row r="85" spans="1:17" ht="42.75" customHeight="1" x14ac:dyDescent="0.25">
      <c r="A85" s="8">
        <v>9.0500000000000007</v>
      </c>
      <c r="B85" s="2" t="s">
        <v>5</v>
      </c>
      <c r="C85" s="37">
        <v>0.1166</v>
      </c>
      <c r="D85" s="9">
        <v>1.3891</v>
      </c>
      <c r="E85" s="37">
        <v>0.2369</v>
      </c>
      <c r="F85" s="9">
        <v>0.38319999999999999</v>
      </c>
      <c r="G85" s="9">
        <v>-0.24877741935483866</v>
      </c>
      <c r="H85" s="9">
        <v>0.76080000000000003</v>
      </c>
      <c r="I85" s="9">
        <v>0.129</v>
      </c>
      <c r="J85" s="57">
        <f t="shared" si="24"/>
        <v>-9.8532494758909905E-2</v>
      </c>
      <c r="K85" s="9">
        <v>1.3023</v>
      </c>
      <c r="L85" s="57">
        <f t="shared" si="26"/>
        <v>-0.19066558945994649</v>
      </c>
      <c r="M85" s="25">
        <v>0.26769999999999999</v>
      </c>
      <c r="N85" s="57">
        <f t="shared" si="25"/>
        <v>-0.11298873426110012</v>
      </c>
      <c r="O85" s="9">
        <v>0.44059999999999999</v>
      </c>
      <c r="P85" s="57">
        <f t="shared" si="27"/>
        <v>-0.11756459042659728</v>
      </c>
      <c r="Q85" s="9" t="s">
        <v>3529</v>
      </c>
    </row>
    <row r="86" spans="1:17" ht="42.75" customHeight="1" x14ac:dyDescent="0.25">
      <c r="A86" s="8">
        <v>9.0500000000000007</v>
      </c>
      <c r="B86" s="2" t="s">
        <v>5</v>
      </c>
      <c r="C86" s="37">
        <v>0.12379999999999999</v>
      </c>
      <c r="D86" s="9">
        <v>1.3513999999999999</v>
      </c>
      <c r="E86" s="37">
        <v>0.2389</v>
      </c>
      <c r="F86" s="9">
        <v>0.38279999999999997</v>
      </c>
      <c r="G86" s="9">
        <v>-0.22195517241379317</v>
      </c>
      <c r="H86" s="9">
        <v>0.78869999999999996</v>
      </c>
      <c r="I86" s="9">
        <v>0.12989999999999999</v>
      </c>
      <c r="J86" s="57">
        <f t="shared" si="24"/>
        <v>-9.2243186582809389E-2</v>
      </c>
      <c r="K86" s="9">
        <v>1.2911999999999999</v>
      </c>
      <c r="L86" s="57">
        <f t="shared" si="26"/>
        <v>-0.19756385557143752</v>
      </c>
      <c r="M86" s="25">
        <v>0.27550000000000002</v>
      </c>
      <c r="N86" s="57">
        <f t="shared" si="25"/>
        <v>-8.7143803843604983E-2</v>
      </c>
      <c r="O86" s="9">
        <v>0.45329999999999998</v>
      </c>
      <c r="P86" s="57">
        <f t="shared" si="27"/>
        <v>-9.2128980572802055E-2</v>
      </c>
      <c r="Q86" s="9" t="s">
        <v>3528</v>
      </c>
    </row>
    <row r="87" spans="1:17" ht="42.75" customHeight="1" x14ac:dyDescent="0.25">
      <c r="A87" s="8">
        <v>9.0500000000000007</v>
      </c>
      <c r="B87" s="2" t="s">
        <v>5</v>
      </c>
      <c r="C87" s="37">
        <v>0.1198</v>
      </c>
      <c r="D87" s="9">
        <v>1.4008</v>
      </c>
      <c r="E87" s="37">
        <v>0.25059999999999999</v>
      </c>
      <c r="F87" s="9">
        <v>0.40279999999999999</v>
      </c>
      <c r="G87" s="9">
        <v>-0.19444827586206895</v>
      </c>
      <c r="H87" s="9">
        <v>0.78659999999999997</v>
      </c>
      <c r="I87" s="9">
        <v>0.12909999999999999</v>
      </c>
      <c r="J87" s="57">
        <f t="shared" si="24"/>
        <v>-9.7833682739343231E-2</v>
      </c>
      <c r="K87" s="9">
        <v>1.2979000000000001</v>
      </c>
      <c r="L87" s="57">
        <f t="shared" si="26"/>
        <v>-0.19340003728792488</v>
      </c>
      <c r="M87" s="25">
        <v>0.27389999999999998</v>
      </c>
      <c r="N87" s="57">
        <f t="shared" si="25"/>
        <v>-9.2445328031809271E-2</v>
      </c>
      <c r="O87" s="9">
        <v>0.4556</v>
      </c>
      <c r="P87" s="57">
        <f t="shared" si="27"/>
        <v>-8.7522531544161897E-2</v>
      </c>
      <c r="Q87" s="9" t="s">
        <v>3527</v>
      </c>
    </row>
    <row r="88" spans="1:17" ht="42.75" customHeight="1" x14ac:dyDescent="0.25">
      <c r="A88" s="8">
        <v>9.0500000000000007</v>
      </c>
      <c r="B88" s="2" t="s">
        <v>5</v>
      </c>
      <c r="C88" s="37">
        <v>0.11459999999999999</v>
      </c>
      <c r="D88" s="9">
        <v>1.2776000000000001</v>
      </c>
      <c r="E88" s="37">
        <v>0.23669999999999999</v>
      </c>
      <c r="F88" s="9">
        <v>0.38519999999999999</v>
      </c>
      <c r="G88" s="9">
        <v>-0.19348095238095236</v>
      </c>
      <c r="H88" s="9">
        <v>0.76749999999999996</v>
      </c>
      <c r="I88" s="9">
        <v>0.12839999999999999</v>
      </c>
      <c r="J88" s="57">
        <f t="shared" si="24"/>
        <v>-0.1027253668763104</v>
      </c>
      <c r="K88" s="9">
        <v>1.2851999999999999</v>
      </c>
      <c r="L88" s="57">
        <f t="shared" si="26"/>
        <v>-0.20129264806413527</v>
      </c>
      <c r="M88" s="25">
        <v>0.2646</v>
      </c>
      <c r="N88" s="57">
        <f t="shared" si="25"/>
        <v>-0.12326043737574555</v>
      </c>
      <c r="O88" s="9">
        <v>0.43809999999999999</v>
      </c>
      <c r="P88" s="57">
        <f t="shared" si="27"/>
        <v>-0.12257160024033653</v>
      </c>
      <c r="Q88" s="9" t="s">
        <v>3526</v>
      </c>
    </row>
    <row r="89" spans="1:17" ht="42.75" customHeight="1" x14ac:dyDescent="0.25">
      <c r="A89" s="8">
        <v>9.0500000000000007</v>
      </c>
      <c r="B89" s="2" t="s">
        <v>5</v>
      </c>
      <c r="C89" s="37" t="s">
        <v>3522</v>
      </c>
      <c r="D89" s="9">
        <v>1.6136999999999999</v>
      </c>
      <c r="E89" s="37">
        <v>0.19500000000000001</v>
      </c>
      <c r="F89" s="9">
        <v>0.33729999999999999</v>
      </c>
      <c r="G89" s="9">
        <v>-0.21749285714285718</v>
      </c>
      <c r="H89" s="9">
        <v>0.6552</v>
      </c>
      <c r="I89" s="9">
        <v>0.12759999999999999</v>
      </c>
      <c r="J89" s="57">
        <f t="shared" si="24"/>
        <v>-0.10831586303284424</v>
      </c>
      <c r="K89" s="9">
        <v>1.3371</v>
      </c>
      <c r="L89" s="57">
        <f t="shared" si="26"/>
        <v>-0.1690385930022994</v>
      </c>
      <c r="M89" s="25">
        <v>0.26150000000000001</v>
      </c>
      <c r="N89" s="57">
        <f t="shared" si="25"/>
        <v>-0.13353214049039097</v>
      </c>
      <c r="O89" s="9">
        <v>0.43340000000000001</v>
      </c>
      <c r="P89" s="57">
        <f t="shared" si="27"/>
        <v>-0.13198477869016623</v>
      </c>
      <c r="Q89" s="2" t="s">
        <v>3523</v>
      </c>
    </row>
    <row r="90" spans="1:17" ht="42.75" customHeight="1" x14ac:dyDescent="0.25">
      <c r="A90" s="8">
        <v>9.0500000000000007</v>
      </c>
      <c r="B90" s="2" t="s">
        <v>5</v>
      </c>
      <c r="C90" s="37">
        <v>0.1142</v>
      </c>
      <c r="D90" s="9">
        <v>1.6240000000000001</v>
      </c>
      <c r="E90" s="37">
        <v>0.22589999999999999</v>
      </c>
      <c r="F90" s="9">
        <v>0.38009999999999999</v>
      </c>
      <c r="G90" s="9">
        <v>-0.27130000000000004</v>
      </c>
      <c r="H90" s="9">
        <v>0.72189999999999999</v>
      </c>
      <c r="I90" s="9">
        <v>0.12939999999999999</v>
      </c>
      <c r="J90" s="57">
        <f t="shared" si="24"/>
        <v>-9.5737246680642984E-2</v>
      </c>
      <c r="K90" s="9">
        <v>1.3313999999999999</v>
      </c>
      <c r="L90" s="57">
        <f t="shared" si="26"/>
        <v>-0.17258094587036232</v>
      </c>
      <c r="M90" s="25">
        <v>0.26619999999999999</v>
      </c>
      <c r="N90" s="57">
        <f t="shared" si="25"/>
        <v>-0.11795891318754148</v>
      </c>
      <c r="O90" s="9">
        <v>0.43859999999999999</v>
      </c>
      <c r="P90" s="57">
        <f t="shared" si="27"/>
        <v>-0.12157019827758864</v>
      </c>
      <c r="Q90" s="2" t="s">
        <v>3520</v>
      </c>
    </row>
    <row r="91" spans="1:17" ht="42.75" customHeight="1" x14ac:dyDescent="0.25">
      <c r="A91" s="8">
        <v>9.0500000000000007</v>
      </c>
      <c r="B91" s="2" t="s">
        <v>5</v>
      </c>
      <c r="C91" s="37" t="s">
        <v>3524</v>
      </c>
      <c r="D91" s="9">
        <v>1.5863</v>
      </c>
      <c r="E91" s="37">
        <v>0.25209999999999999</v>
      </c>
      <c r="F91" s="9">
        <v>0.41470000000000001</v>
      </c>
      <c r="G91" s="9">
        <v>-0.24976774193548393</v>
      </c>
      <c r="H91" s="9">
        <v>0.77849999999999997</v>
      </c>
      <c r="I91" s="9">
        <v>0.13</v>
      </c>
      <c r="J91" s="57">
        <f t="shared" si="24"/>
        <v>-9.1544374563242492E-2</v>
      </c>
      <c r="K91" s="9">
        <v>1.3253999999999999</v>
      </c>
      <c r="L91" s="57">
        <f t="shared" si="26"/>
        <v>-0.17630973836306019</v>
      </c>
      <c r="M91" s="25">
        <v>0.27360000000000001</v>
      </c>
      <c r="N91" s="57">
        <f t="shared" si="25"/>
        <v>-9.3439363817097387E-2</v>
      </c>
      <c r="O91" s="9">
        <v>0.45319999999999999</v>
      </c>
      <c r="P91" s="57">
        <f t="shared" si="27"/>
        <v>-9.2329260965351545E-2</v>
      </c>
      <c r="Q91" s="2" t="s">
        <v>3525</v>
      </c>
    </row>
    <row r="92" spans="1:17" ht="42.75" customHeight="1" x14ac:dyDescent="0.25">
      <c r="A92" s="8">
        <v>9.0500000000000007</v>
      </c>
      <c r="B92" s="2" t="s">
        <v>5</v>
      </c>
      <c r="C92" s="37">
        <v>0.12189999999999999</v>
      </c>
      <c r="D92" s="9">
        <v>1.4334</v>
      </c>
      <c r="E92" s="37">
        <v>0.248</v>
      </c>
      <c r="F92" s="9">
        <v>0.40279999999999999</v>
      </c>
      <c r="G92" s="9">
        <v>-0.31764999999999993</v>
      </c>
      <c r="H92" s="9">
        <v>0.76970000000000005</v>
      </c>
      <c r="I92" s="9">
        <v>0.13</v>
      </c>
      <c r="J92" s="57">
        <f t="shared" si="24"/>
        <v>-9.1544374563242492E-2</v>
      </c>
      <c r="K92" s="9">
        <v>1.3117000000000001</v>
      </c>
      <c r="L92" s="57">
        <f t="shared" si="26"/>
        <v>-0.18482381455471997</v>
      </c>
      <c r="M92" s="25">
        <v>0.26860000000000001</v>
      </c>
      <c r="N92" s="57">
        <f t="shared" si="25"/>
        <v>-0.11000662690523533</v>
      </c>
      <c r="O92" s="9">
        <v>0.4461</v>
      </c>
      <c r="P92" s="57">
        <f t="shared" si="27"/>
        <v>-0.106549168836371</v>
      </c>
      <c r="Q92" s="2" t="s">
        <v>3521</v>
      </c>
    </row>
    <row r="93" spans="1:17" ht="42.75" customHeight="1" x14ac:dyDescent="0.25">
      <c r="A93" s="8">
        <v>9.0399999999999991</v>
      </c>
      <c r="B93" s="2" t="s">
        <v>3468</v>
      </c>
      <c r="C93" s="37">
        <v>0.11749999999999999</v>
      </c>
      <c r="D93" s="9">
        <v>1.3461000000000001</v>
      </c>
      <c r="E93" s="37">
        <v>0.26090000000000002</v>
      </c>
      <c r="F93" s="9">
        <v>0.42299999999999999</v>
      </c>
      <c r="G93" s="9">
        <v>-0.3644862068965517</v>
      </c>
      <c r="H93" s="9">
        <v>0.77329999999999999</v>
      </c>
      <c r="I93" s="9">
        <v>0.12889999999999999</v>
      </c>
      <c r="J93" s="57">
        <f t="shared" si="24"/>
        <v>-9.9231306778476691E-2</v>
      </c>
      <c r="K93" s="9">
        <v>1.2853000000000001</v>
      </c>
      <c r="L93" s="57">
        <f t="shared" si="26"/>
        <v>-0.20123050152259014</v>
      </c>
      <c r="M93" s="25">
        <v>0.2697</v>
      </c>
      <c r="N93" s="57">
        <f t="shared" si="25"/>
        <v>-0.10636182902584501</v>
      </c>
      <c r="O93" s="9">
        <v>0.44330000000000003</v>
      </c>
      <c r="P93" s="57">
        <f t="shared" si="27"/>
        <v>-0.11215701982775883</v>
      </c>
      <c r="Q93" s="2" t="s">
        <v>3519</v>
      </c>
    </row>
    <row r="94" spans="1:17" ht="42.75" customHeight="1" x14ac:dyDescent="0.25">
      <c r="A94" s="8">
        <v>9.0399999999999991</v>
      </c>
      <c r="B94" s="2" t="s">
        <v>8</v>
      </c>
      <c r="C94" s="37">
        <v>0.1142</v>
      </c>
      <c r="D94" s="9">
        <v>1.3150999999999999</v>
      </c>
      <c r="E94" s="37">
        <v>0.25340000000000001</v>
      </c>
      <c r="F94" s="9">
        <v>0.40539999999999998</v>
      </c>
      <c r="G94" s="9">
        <v>-0.33957199999999998</v>
      </c>
      <c r="H94" s="9">
        <v>0.75</v>
      </c>
      <c r="I94" s="9">
        <v>0.1288</v>
      </c>
      <c r="J94" s="57">
        <f t="shared" si="24"/>
        <v>-9.9930118798043366E-2</v>
      </c>
      <c r="K94" s="9">
        <v>1.2879</v>
      </c>
      <c r="L94" s="57">
        <f t="shared" si="26"/>
        <v>-0.19961469144242117</v>
      </c>
      <c r="M94" s="25">
        <v>0.2727</v>
      </c>
      <c r="N94" s="57">
        <f t="shared" si="25"/>
        <v>-9.6421471172962292E-2</v>
      </c>
      <c r="O94" s="9">
        <v>0.44619999999999999</v>
      </c>
      <c r="P94" s="57">
        <f t="shared" si="27"/>
        <v>-0.1063488884438214</v>
      </c>
      <c r="Q94" s="2" t="s">
        <v>3519</v>
      </c>
    </row>
    <row r="95" spans="1:17" ht="42.75" customHeight="1" x14ac:dyDescent="0.25">
      <c r="A95" s="8">
        <v>9.0299999999999994</v>
      </c>
      <c r="B95" s="2" t="s">
        <v>3468</v>
      </c>
      <c r="C95" s="37">
        <v>0.1232</v>
      </c>
      <c r="D95" s="9">
        <v>1.4312</v>
      </c>
      <c r="E95" s="37">
        <v>0.25619999999999998</v>
      </c>
      <c r="F95" s="9">
        <v>0.41860000000000003</v>
      </c>
      <c r="G95" s="9">
        <v>-0.3646724137931035</v>
      </c>
      <c r="H95" s="9">
        <v>0.81830000000000003</v>
      </c>
      <c r="I95" s="9">
        <v>0.12909999999999999</v>
      </c>
      <c r="J95" s="57">
        <f t="shared" si="24"/>
        <v>-9.7833682739343231E-2</v>
      </c>
      <c r="K95" s="9">
        <v>1.2955000000000001</v>
      </c>
      <c r="L95" s="57">
        <f t="shared" si="26"/>
        <v>-0.19489155428500393</v>
      </c>
      <c r="M95" s="25">
        <v>0.2752</v>
      </c>
      <c r="N95" s="57">
        <f t="shared" si="25"/>
        <v>-8.8137839628893322E-2</v>
      </c>
      <c r="O95" s="9">
        <v>0.45269999999999999</v>
      </c>
      <c r="P95" s="57">
        <f t="shared" si="27"/>
        <v>-9.3330662928099439E-2</v>
      </c>
      <c r="Q95" s="2" t="s">
        <v>3512</v>
      </c>
    </row>
    <row r="96" spans="1:17" ht="42.75" customHeight="1" x14ac:dyDescent="0.25">
      <c r="A96" s="8">
        <v>9.0299999999999994</v>
      </c>
      <c r="B96" s="2" t="s">
        <v>3468</v>
      </c>
      <c r="C96" s="37">
        <v>0.1207</v>
      </c>
      <c r="D96" s="9">
        <v>1.3189</v>
      </c>
      <c r="E96" s="37">
        <v>0.24560000000000001</v>
      </c>
      <c r="F96" s="9">
        <v>0.40100000000000002</v>
      </c>
      <c r="G96" s="9">
        <v>-0.35379285714285719</v>
      </c>
      <c r="H96" s="9">
        <v>0.83289999999999997</v>
      </c>
      <c r="I96" s="9">
        <v>0.1283</v>
      </c>
      <c r="J96" s="57">
        <f t="shared" si="24"/>
        <v>-0.10342417889587707</v>
      </c>
      <c r="K96" s="9">
        <v>1.2762</v>
      </c>
      <c r="L96" s="57">
        <f t="shared" si="26"/>
        <v>-0.20688583680318184</v>
      </c>
      <c r="M96" s="25">
        <v>0.26850000000000002</v>
      </c>
      <c r="N96" s="57">
        <f t="shared" si="25"/>
        <v>-0.11033797216699803</v>
      </c>
      <c r="O96" s="9">
        <v>0.442</v>
      </c>
      <c r="P96" s="57">
        <f t="shared" si="27"/>
        <v>-0.11476066493090331</v>
      </c>
      <c r="Q96" s="2" t="s">
        <v>3517</v>
      </c>
    </row>
    <row r="97" spans="1:17" ht="42.75" customHeight="1" x14ac:dyDescent="0.25">
      <c r="A97" s="8">
        <v>9.0299999999999994</v>
      </c>
      <c r="B97" s="2" t="s">
        <v>3468</v>
      </c>
      <c r="C97" s="37">
        <v>0.11990000000000001</v>
      </c>
      <c r="D97" s="9">
        <v>1.3319000000000001</v>
      </c>
      <c r="E97" s="37">
        <v>0.2437</v>
      </c>
      <c r="F97" s="9">
        <v>0.40289999999999998</v>
      </c>
      <c r="G97" s="9">
        <v>-0.35167812500000012</v>
      </c>
      <c r="H97" s="9">
        <v>0.82930000000000004</v>
      </c>
      <c r="I97" s="9">
        <v>0.12820000000000001</v>
      </c>
      <c r="J97" s="57">
        <f t="shared" si="24"/>
        <v>-0.10412299091544375</v>
      </c>
      <c r="K97" s="9">
        <v>1.2847999999999999</v>
      </c>
      <c r="L97" s="57">
        <f t="shared" si="26"/>
        <v>-0.20154123423031511</v>
      </c>
      <c r="M97" s="25">
        <v>0.2707</v>
      </c>
      <c r="N97" s="57">
        <f t="shared" si="25"/>
        <v>-0.1030483764082174</v>
      </c>
      <c r="O97" s="9">
        <v>0.44619999999999999</v>
      </c>
      <c r="P97" s="57">
        <f t="shared" si="27"/>
        <v>-0.1063488884438214</v>
      </c>
      <c r="Q97" s="2" t="s">
        <v>3518</v>
      </c>
    </row>
    <row r="98" spans="1:17" ht="42.75" customHeight="1" x14ac:dyDescent="0.25">
      <c r="A98" s="8">
        <v>9.0500000000000007</v>
      </c>
      <c r="B98" s="2" t="s">
        <v>5</v>
      </c>
      <c r="C98" s="37">
        <v>0.1212</v>
      </c>
      <c r="D98" s="9">
        <v>1.3954</v>
      </c>
      <c r="E98" s="37">
        <v>0.24560000000000001</v>
      </c>
      <c r="F98" s="9">
        <v>0.3901</v>
      </c>
      <c r="G98" s="9">
        <v>-0.28027000000000002</v>
      </c>
      <c r="H98" s="9">
        <v>0.83330000000000004</v>
      </c>
      <c r="I98" s="9">
        <v>0.12839999999999999</v>
      </c>
      <c r="J98" s="57">
        <f t="shared" si="24"/>
        <v>-0.1027253668763104</v>
      </c>
      <c r="K98" s="9">
        <v>1.2948999999999999</v>
      </c>
      <c r="L98" s="57">
        <f t="shared" si="26"/>
        <v>-0.19526443353427381</v>
      </c>
      <c r="M98" s="25">
        <v>0.27010000000000001</v>
      </c>
      <c r="N98" s="57">
        <f t="shared" si="25"/>
        <v>-0.10503644797879397</v>
      </c>
      <c r="O98" s="9">
        <v>0.4415</v>
      </c>
      <c r="P98" s="57">
        <f t="shared" si="27"/>
        <v>-0.11576206689365109</v>
      </c>
      <c r="Q98" s="9" t="s">
        <v>3531</v>
      </c>
    </row>
    <row r="99" spans="1:17" ht="42.75" customHeight="1" x14ac:dyDescent="0.25">
      <c r="A99" s="8">
        <v>9.0500000000000007</v>
      </c>
      <c r="B99" s="2" t="s">
        <v>5</v>
      </c>
      <c r="C99" s="37">
        <v>0.1206</v>
      </c>
      <c r="D99" s="9">
        <v>1.3877999999999999</v>
      </c>
      <c r="E99" s="37">
        <v>0.2487</v>
      </c>
      <c r="F99" s="9">
        <v>0.39889999999999998</v>
      </c>
      <c r="G99" s="9">
        <v>-0.27699599999999996</v>
      </c>
      <c r="H99" s="9">
        <v>0.81830000000000003</v>
      </c>
      <c r="I99" s="9">
        <v>0.12859999999999999</v>
      </c>
      <c r="J99" s="57">
        <f t="shared" si="24"/>
        <v>-0.10132774283717694</v>
      </c>
      <c r="K99" s="9">
        <v>1.2936000000000001</v>
      </c>
      <c r="L99" s="57">
        <f t="shared" si="26"/>
        <v>-0.19607233857435824</v>
      </c>
      <c r="M99" s="25">
        <v>0.26900000000000002</v>
      </c>
      <c r="N99" s="57">
        <f t="shared" si="25"/>
        <v>-0.10868124585818417</v>
      </c>
      <c r="O99" s="9">
        <v>0.43880000000000002</v>
      </c>
      <c r="P99" s="57">
        <f t="shared" si="27"/>
        <v>-0.12116963749248943</v>
      </c>
      <c r="Q99" s="9" t="s">
        <v>3530</v>
      </c>
    </row>
    <row r="100" spans="1:17" ht="42.75" customHeight="1" x14ac:dyDescent="0.25">
      <c r="A100" s="8">
        <v>8.3000000000000007</v>
      </c>
      <c r="B100" s="2" t="s">
        <v>5</v>
      </c>
      <c r="C100" s="37">
        <v>0.11990000000000001</v>
      </c>
      <c r="D100" s="9">
        <v>1.3240000000000001</v>
      </c>
      <c r="E100" s="37">
        <v>0.2576</v>
      </c>
      <c r="F100" s="9">
        <v>0.4153</v>
      </c>
      <c r="G100" s="9">
        <v>-0.28131562500000001</v>
      </c>
      <c r="H100" s="9">
        <v>0.82599999999999996</v>
      </c>
      <c r="I100" s="9">
        <v>0.1283</v>
      </c>
      <c r="J100" s="57">
        <f t="shared" ref="J100:J163" si="28">I100/0.1431-1</f>
        <v>-0.10342417889587707</v>
      </c>
      <c r="K100" s="9">
        <v>1.278</v>
      </c>
      <c r="L100" s="57">
        <f t="shared" si="26"/>
        <v>-0.20576719905537255</v>
      </c>
      <c r="M100" s="25">
        <v>0.2702</v>
      </c>
      <c r="N100" s="57">
        <f t="shared" ref="N100:N163" si="29">M100/0.3018-1</f>
        <v>-0.10470510271703115</v>
      </c>
      <c r="O100" s="9">
        <v>0.44269999999999998</v>
      </c>
      <c r="P100" s="57">
        <f t="shared" si="27"/>
        <v>-0.11335870218305633</v>
      </c>
      <c r="Q100" s="2" t="s">
        <v>3516</v>
      </c>
    </row>
    <row r="101" spans="1:17" ht="42.75" customHeight="1" x14ac:dyDescent="0.25">
      <c r="A101" s="8">
        <v>8.2899999999999991</v>
      </c>
      <c r="B101" s="2" t="s">
        <v>5</v>
      </c>
      <c r="C101" s="37">
        <v>0.11890000000000001</v>
      </c>
      <c r="D101" s="9">
        <v>1.3537999999999999</v>
      </c>
      <c r="E101" s="37">
        <v>0.25269999999999998</v>
      </c>
      <c r="F101" s="9">
        <v>0.39779999999999999</v>
      </c>
      <c r="G101" s="9">
        <v>-0.28454827586206893</v>
      </c>
      <c r="H101" s="9">
        <v>0.81230000000000002</v>
      </c>
      <c r="I101" s="9">
        <v>0.12839999999999999</v>
      </c>
      <c r="J101" s="57">
        <f t="shared" si="28"/>
        <v>-0.1027253668763104</v>
      </c>
      <c r="K101" s="9">
        <v>1.2907</v>
      </c>
      <c r="L101" s="57">
        <f t="shared" si="26"/>
        <v>-0.19787458827916227</v>
      </c>
      <c r="M101" s="25">
        <v>0.27360000000000001</v>
      </c>
      <c r="N101" s="57">
        <f t="shared" si="29"/>
        <v>-9.3439363817097387E-2</v>
      </c>
      <c r="O101" s="9">
        <v>0.44869999999999999</v>
      </c>
      <c r="P101" s="57">
        <f t="shared" si="27"/>
        <v>-0.10134187863008215</v>
      </c>
      <c r="Q101" s="2" t="s">
        <v>3515</v>
      </c>
    </row>
    <row r="102" spans="1:17" ht="42.75" customHeight="1" x14ac:dyDescent="0.25">
      <c r="A102" s="8">
        <v>9.02</v>
      </c>
      <c r="B102" s="2" t="s">
        <v>5</v>
      </c>
      <c r="C102" s="37">
        <v>0.1217</v>
      </c>
      <c r="D102" s="9">
        <v>1.3845000000000001</v>
      </c>
      <c r="E102" s="37">
        <v>0.2646</v>
      </c>
      <c r="F102" s="9">
        <v>0.43180000000000002</v>
      </c>
      <c r="G102" s="9">
        <v>-0.26621600000000001</v>
      </c>
      <c r="H102" s="9">
        <v>0.81589999999999996</v>
      </c>
      <c r="I102" s="9">
        <v>0.12889999999999999</v>
      </c>
      <c r="J102" s="57">
        <f t="shared" si="28"/>
        <v>-9.9231306778476691E-2</v>
      </c>
      <c r="K102" s="9">
        <v>1.2914000000000001</v>
      </c>
      <c r="L102" s="57">
        <f t="shared" si="26"/>
        <v>-0.19743956248834749</v>
      </c>
      <c r="M102" s="25">
        <v>0.27310000000000001</v>
      </c>
      <c r="N102" s="57">
        <f t="shared" si="29"/>
        <v>-9.5096090125911248E-2</v>
      </c>
      <c r="O102" s="9">
        <v>0.44750000000000001</v>
      </c>
      <c r="P102" s="57">
        <f t="shared" si="27"/>
        <v>-0.10374524334067692</v>
      </c>
      <c r="Q102" s="2" t="s">
        <v>3514</v>
      </c>
    </row>
    <row r="103" spans="1:17" ht="42.75" customHeight="1" x14ac:dyDescent="0.25">
      <c r="A103" s="8">
        <v>9.02</v>
      </c>
      <c r="B103" s="2" t="s">
        <v>5</v>
      </c>
      <c r="C103" s="37">
        <v>0.1212</v>
      </c>
      <c r="D103" s="9">
        <v>1.3701000000000001</v>
      </c>
      <c r="E103" s="37">
        <v>0.26150000000000001</v>
      </c>
      <c r="F103" s="9">
        <v>0.41949999999999998</v>
      </c>
      <c r="G103" s="9">
        <v>-0.2804962962962963</v>
      </c>
      <c r="H103" s="9">
        <v>0.82320000000000004</v>
      </c>
      <c r="I103" s="9">
        <v>0.12859999999999999</v>
      </c>
      <c r="J103" s="57">
        <f t="shared" si="28"/>
        <v>-0.10132774283717694</v>
      </c>
      <c r="K103" s="9">
        <v>1.2843</v>
      </c>
      <c r="L103" s="57">
        <f t="shared" si="26"/>
        <v>-0.20185196693803986</v>
      </c>
      <c r="M103" s="25">
        <v>0.27150000000000002</v>
      </c>
      <c r="N103" s="57">
        <f t="shared" si="29"/>
        <v>-0.10039761431411531</v>
      </c>
      <c r="O103" s="9">
        <v>0.4451</v>
      </c>
      <c r="P103" s="57">
        <f t="shared" si="27"/>
        <v>-0.10855197276186668</v>
      </c>
      <c r="Q103" s="2" t="s">
        <v>3511</v>
      </c>
    </row>
    <row r="104" spans="1:17" ht="42.75" customHeight="1" x14ac:dyDescent="0.25">
      <c r="A104" s="8">
        <v>9.02</v>
      </c>
      <c r="B104" s="2" t="s">
        <v>5</v>
      </c>
      <c r="C104" s="37">
        <v>0.1174</v>
      </c>
      <c r="D104" s="9">
        <v>1.3203</v>
      </c>
      <c r="E104" s="37">
        <v>0.25530000000000003</v>
      </c>
      <c r="F104" s="9">
        <v>0.42270000000000002</v>
      </c>
      <c r="G104" s="9">
        <v>-0.26642799999999994</v>
      </c>
      <c r="H104" s="9">
        <v>0.82089999999999996</v>
      </c>
      <c r="I104" s="9">
        <v>0.128</v>
      </c>
      <c r="J104" s="57">
        <f t="shared" si="28"/>
        <v>-0.10552061495457721</v>
      </c>
      <c r="K104" s="9">
        <v>1.2830999999999999</v>
      </c>
      <c r="L104" s="57">
        <f t="shared" si="26"/>
        <v>-0.2025977254365795</v>
      </c>
      <c r="M104" s="25">
        <v>0.2737</v>
      </c>
      <c r="N104" s="57">
        <f t="shared" si="29"/>
        <v>-9.3108018555334682E-2</v>
      </c>
      <c r="O104" s="9">
        <v>0.4466</v>
      </c>
      <c r="P104" s="57">
        <f t="shared" si="27"/>
        <v>-0.10554776687362311</v>
      </c>
      <c r="Q104" s="2" t="s">
        <v>3510</v>
      </c>
    </row>
    <row r="105" spans="1:17" ht="42.75" customHeight="1" x14ac:dyDescent="0.25">
      <c r="A105" s="8">
        <v>9.02</v>
      </c>
      <c r="B105" s="2" t="s">
        <v>5</v>
      </c>
      <c r="C105" s="37">
        <v>0.121</v>
      </c>
      <c r="D105" s="9">
        <v>1.3304</v>
      </c>
      <c r="E105" s="37">
        <v>0.25580000000000003</v>
      </c>
      <c r="F105" s="9">
        <v>0.41710000000000003</v>
      </c>
      <c r="G105" s="9">
        <v>-0.27556428571428576</v>
      </c>
      <c r="H105" s="9">
        <v>0.83160000000000001</v>
      </c>
      <c r="I105" s="9">
        <v>0.12839999999999999</v>
      </c>
      <c r="J105" s="57">
        <f t="shared" si="28"/>
        <v>-0.1027253668763104</v>
      </c>
      <c r="K105" s="9">
        <v>1.2884</v>
      </c>
      <c r="L105" s="57">
        <f t="shared" si="26"/>
        <v>-0.19930395873469642</v>
      </c>
      <c r="M105" s="25">
        <v>0.27150000000000002</v>
      </c>
      <c r="N105" s="57">
        <f t="shared" si="29"/>
        <v>-0.10039761431411531</v>
      </c>
      <c r="O105" s="9">
        <v>0.44900000000000001</v>
      </c>
      <c r="P105" s="57">
        <f t="shared" si="27"/>
        <v>-0.10074103745243346</v>
      </c>
      <c r="Q105" s="2" t="s">
        <v>3509</v>
      </c>
    </row>
    <row r="106" spans="1:17" ht="42.75" customHeight="1" x14ac:dyDescent="0.25">
      <c r="A106" s="8">
        <v>8.2899999999999991</v>
      </c>
      <c r="B106" s="2" t="s">
        <v>5</v>
      </c>
      <c r="C106" s="37">
        <v>0.12239999999999999</v>
      </c>
      <c r="D106" s="9">
        <v>1.4312</v>
      </c>
      <c r="E106" s="37">
        <v>0.251</v>
      </c>
      <c r="F106" s="9">
        <v>0.40479999999999999</v>
      </c>
      <c r="G106" s="9">
        <v>-0.28006451612903227</v>
      </c>
      <c r="H106" s="9">
        <v>0.83199999999999996</v>
      </c>
      <c r="I106" s="9">
        <v>0.12870000000000001</v>
      </c>
      <c r="J106" s="57">
        <f t="shared" si="28"/>
        <v>-0.10062893081761004</v>
      </c>
      <c r="K106" s="9">
        <v>1.2926</v>
      </c>
      <c r="L106" s="57">
        <f t="shared" si="26"/>
        <v>-0.19669380398980796</v>
      </c>
      <c r="M106" s="25">
        <v>0.26340000000000002</v>
      </c>
      <c r="N106" s="57">
        <f t="shared" si="29"/>
        <v>-0.12723658051689857</v>
      </c>
      <c r="O106" s="9">
        <v>0.43559999999999999</v>
      </c>
      <c r="P106" s="57">
        <f t="shared" si="27"/>
        <v>-0.12757861005407578</v>
      </c>
      <c r="Q106" s="2" t="s">
        <v>3492</v>
      </c>
    </row>
    <row r="107" spans="1:17" ht="42.75" customHeight="1" x14ac:dyDescent="0.25">
      <c r="A107" s="8">
        <v>9.02</v>
      </c>
      <c r="B107" s="2" t="s">
        <v>5</v>
      </c>
      <c r="C107" s="37">
        <v>0.1221</v>
      </c>
      <c r="D107" s="9">
        <v>1.458</v>
      </c>
      <c r="E107" s="37">
        <v>0.25359999999999999</v>
      </c>
      <c r="F107" s="9">
        <v>0.41420000000000001</v>
      </c>
      <c r="G107" s="9">
        <v>-0.27710357142857139</v>
      </c>
      <c r="H107" s="9">
        <v>0.83179999999999998</v>
      </c>
      <c r="I107" s="9">
        <v>0.12859999999999999</v>
      </c>
      <c r="J107" s="57">
        <f t="shared" si="28"/>
        <v>-0.10132774283717694</v>
      </c>
      <c r="K107" s="9">
        <v>1.3032999999999999</v>
      </c>
      <c r="L107" s="57">
        <f t="shared" si="26"/>
        <v>-0.190044124044497</v>
      </c>
      <c r="M107" s="25">
        <v>0.26479999999999998</v>
      </c>
      <c r="N107" s="57">
        <f t="shared" si="29"/>
        <v>-0.12259774685222014</v>
      </c>
      <c r="O107" s="9">
        <v>0.43669999999999998</v>
      </c>
      <c r="P107" s="57">
        <f t="shared" si="27"/>
        <v>-0.1253755257360305</v>
      </c>
      <c r="Q107" s="2" t="s">
        <v>3508</v>
      </c>
    </row>
    <row r="108" spans="1:17" ht="42.75" customHeight="1" x14ac:dyDescent="0.25">
      <c r="A108" s="8">
        <v>9.01</v>
      </c>
      <c r="B108" s="2" t="s">
        <v>3468</v>
      </c>
      <c r="C108" s="37">
        <v>8.3900000000000002E-2</v>
      </c>
      <c r="D108" s="9">
        <v>0.96619999999999995</v>
      </c>
      <c r="E108" s="37">
        <v>0.1293</v>
      </c>
      <c r="F108" s="9">
        <v>0.2281</v>
      </c>
      <c r="G108" s="9">
        <v>-0.01</v>
      </c>
      <c r="H108" s="9">
        <v>0.65569999999999995</v>
      </c>
      <c r="I108" s="9">
        <v>0.1241</v>
      </c>
      <c r="J108" s="57">
        <f t="shared" si="28"/>
        <v>-0.13277428371767996</v>
      </c>
      <c r="K108" s="9">
        <v>1.2245999999999999</v>
      </c>
      <c r="L108" s="57">
        <f t="shared" si="26"/>
        <v>-0.23895345224038289</v>
      </c>
      <c r="M108" s="25">
        <v>0.25890000000000002</v>
      </c>
      <c r="N108" s="57">
        <f t="shared" si="29"/>
        <v>-0.14214711729622265</v>
      </c>
      <c r="O108" s="9">
        <v>0.43409999999999999</v>
      </c>
      <c r="P108" s="57">
        <f t="shared" si="27"/>
        <v>-0.13058281594231935</v>
      </c>
      <c r="Q108" s="2" t="s">
        <v>3506</v>
      </c>
    </row>
    <row r="109" spans="1:17" ht="42.75" customHeight="1" x14ac:dyDescent="0.25">
      <c r="A109" s="8">
        <v>9.01</v>
      </c>
      <c r="B109" s="2" t="s">
        <v>3468</v>
      </c>
      <c r="C109" s="37">
        <v>8.1799999999999998E-2</v>
      </c>
      <c r="D109" s="9">
        <v>0.96309999999999996</v>
      </c>
      <c r="E109" s="37">
        <v>0.1176</v>
      </c>
      <c r="F109" s="9">
        <v>0.20710000000000001</v>
      </c>
      <c r="G109" s="9">
        <v>-5.8646888888888887E-2</v>
      </c>
      <c r="H109" s="9">
        <v>0.62970000000000004</v>
      </c>
      <c r="I109" s="9">
        <v>0.12479999999999999</v>
      </c>
      <c r="J109" s="57">
        <f t="shared" si="28"/>
        <v>-0.12788259958071291</v>
      </c>
      <c r="K109" s="9">
        <v>1.2314000000000001</v>
      </c>
      <c r="L109" s="57">
        <f t="shared" si="26"/>
        <v>-0.23472748741532534</v>
      </c>
      <c r="M109" s="25">
        <v>0.25390000000000001</v>
      </c>
      <c r="N109" s="57">
        <f t="shared" si="29"/>
        <v>-0.15871438038436048</v>
      </c>
      <c r="O109" s="9">
        <v>0.42830000000000001</v>
      </c>
      <c r="P109" s="57">
        <f t="shared" si="27"/>
        <v>-0.14219907871019433</v>
      </c>
      <c r="Q109" s="2" t="s">
        <v>3507</v>
      </c>
    </row>
    <row r="110" spans="1:17" ht="42.75" customHeight="1" x14ac:dyDescent="0.25">
      <c r="A110" s="8">
        <v>9.01</v>
      </c>
      <c r="B110" s="2" t="s">
        <v>3468</v>
      </c>
      <c r="C110" s="37">
        <v>0.122</v>
      </c>
      <c r="D110" s="9">
        <v>1.3372999999999999</v>
      </c>
      <c r="E110" s="37">
        <v>0.25869999999999999</v>
      </c>
      <c r="F110" s="9">
        <v>0.42570000000000002</v>
      </c>
      <c r="G110" s="9">
        <v>-0.34628666666666669</v>
      </c>
      <c r="H110" s="9">
        <v>0.82689999999999997</v>
      </c>
      <c r="I110" s="9">
        <v>0.12859999999999999</v>
      </c>
      <c r="J110" s="57">
        <f t="shared" si="28"/>
        <v>-0.10132774283717694</v>
      </c>
      <c r="K110" s="9">
        <v>1.2769999999999999</v>
      </c>
      <c r="L110" s="57">
        <f t="shared" si="26"/>
        <v>-0.20638866447082227</v>
      </c>
      <c r="M110" s="25">
        <v>0.26979999999999998</v>
      </c>
      <c r="N110" s="57">
        <f t="shared" si="29"/>
        <v>-0.10603048376408231</v>
      </c>
      <c r="O110" s="9">
        <v>0.44259999999999999</v>
      </c>
      <c r="P110" s="57">
        <f t="shared" si="27"/>
        <v>-0.11355898257560593</v>
      </c>
      <c r="Q110" s="2" t="s">
        <v>3513</v>
      </c>
    </row>
    <row r="111" spans="1:17" ht="42.75" customHeight="1" x14ac:dyDescent="0.25">
      <c r="A111" s="8">
        <v>8.31</v>
      </c>
      <c r="B111" s="2" t="s">
        <v>5</v>
      </c>
      <c r="C111" s="37">
        <v>0.1145</v>
      </c>
      <c r="D111" s="9">
        <v>1.2165999999999999</v>
      </c>
      <c r="E111" s="37">
        <v>0.247</v>
      </c>
      <c r="F111" s="9">
        <v>0.40210000000000001</v>
      </c>
      <c r="G111" s="9">
        <v>-0.35520999999999991</v>
      </c>
      <c r="H111" s="9">
        <v>0.80300000000000005</v>
      </c>
      <c r="I111" s="9">
        <v>0.12759999999999999</v>
      </c>
      <c r="J111" s="57">
        <f t="shared" si="28"/>
        <v>-0.10831586303284424</v>
      </c>
      <c r="K111" s="9">
        <v>1.2567999999999999</v>
      </c>
      <c r="L111" s="57">
        <f t="shared" si="26"/>
        <v>-0.21894226586290477</v>
      </c>
      <c r="M111" s="25">
        <v>0.27089999999999997</v>
      </c>
      <c r="N111" s="57">
        <f t="shared" si="29"/>
        <v>-0.10238568588469199</v>
      </c>
      <c r="O111" s="9">
        <v>0.44479999999999997</v>
      </c>
      <c r="P111" s="57">
        <f t="shared" si="27"/>
        <v>-0.10915281393951537</v>
      </c>
      <c r="Q111" s="9" t="s">
        <v>3501</v>
      </c>
    </row>
    <row r="112" spans="1:17" ht="42.75" customHeight="1" x14ac:dyDescent="0.25">
      <c r="A112" s="8">
        <v>8.31</v>
      </c>
      <c r="B112" s="2" t="s">
        <v>5</v>
      </c>
      <c r="C112" s="37">
        <v>0.1134</v>
      </c>
      <c r="D112" s="9">
        <v>1.1738</v>
      </c>
      <c r="E112" s="37">
        <v>0.2422</v>
      </c>
      <c r="F112" s="9">
        <v>0.39439999999999997</v>
      </c>
      <c r="G112" s="9">
        <v>-0.34489290322580651</v>
      </c>
      <c r="H112" s="9">
        <v>0.81789999999999996</v>
      </c>
      <c r="I112" s="9">
        <v>0.12709999999999999</v>
      </c>
      <c r="J112" s="57">
        <f t="shared" si="28"/>
        <v>-0.11180992313067795</v>
      </c>
      <c r="K112" s="9">
        <v>1.2481</v>
      </c>
      <c r="L112" s="57">
        <f t="shared" si="26"/>
        <v>-0.22434901497731652</v>
      </c>
      <c r="M112" s="25">
        <v>0.25919999999999999</v>
      </c>
      <c r="N112" s="57">
        <f t="shared" si="29"/>
        <v>-0.14115308151093453</v>
      </c>
      <c r="O112" s="9">
        <v>0.43090000000000001</v>
      </c>
      <c r="P112" s="57">
        <f t="shared" si="27"/>
        <v>-0.13699178850390548</v>
      </c>
      <c r="Q112" s="9" t="s">
        <v>3502</v>
      </c>
    </row>
    <row r="113" spans="1:17" ht="42.75" customHeight="1" x14ac:dyDescent="0.25">
      <c r="A113" s="8">
        <v>8.31</v>
      </c>
      <c r="B113" s="2" t="s">
        <v>5</v>
      </c>
      <c r="C113" s="37">
        <v>0.1134</v>
      </c>
      <c r="D113" s="9">
        <v>1.1354</v>
      </c>
      <c r="E113" s="37">
        <v>0.2402</v>
      </c>
      <c r="F113" s="9">
        <v>0.40100000000000002</v>
      </c>
      <c r="G113" s="9">
        <v>-0.33262483870967735</v>
      </c>
      <c r="H113" s="9">
        <v>0.80200000000000005</v>
      </c>
      <c r="I113" s="9">
        <v>0.1275</v>
      </c>
      <c r="J113" s="57">
        <f t="shared" si="28"/>
        <v>-0.10901467505241091</v>
      </c>
      <c r="K113" s="9">
        <v>1.2431000000000001</v>
      </c>
      <c r="L113" s="57">
        <f t="shared" si="26"/>
        <v>-0.22745634205456455</v>
      </c>
      <c r="M113" s="25">
        <v>0.26450000000000001</v>
      </c>
      <c r="N113" s="57">
        <f t="shared" si="29"/>
        <v>-0.12359178263750825</v>
      </c>
      <c r="O113" s="9">
        <v>0.435</v>
      </c>
      <c r="P113" s="57">
        <f t="shared" si="27"/>
        <v>-0.12878029240937316</v>
      </c>
      <c r="Q113" s="9" t="s">
        <v>3500</v>
      </c>
    </row>
    <row r="114" spans="1:17" ht="42.75" customHeight="1" x14ac:dyDescent="0.25">
      <c r="A114" s="8">
        <v>8.31</v>
      </c>
      <c r="B114" s="2" t="s">
        <v>5</v>
      </c>
      <c r="C114" s="37">
        <v>0.1134</v>
      </c>
      <c r="D114" s="9">
        <v>1.1487000000000001</v>
      </c>
      <c r="E114" s="37">
        <v>0.23200000000000001</v>
      </c>
      <c r="F114" s="9">
        <v>0.37609999999999999</v>
      </c>
      <c r="G114" s="9">
        <v>-0.33835392857142849</v>
      </c>
      <c r="H114" s="9">
        <v>0.8105</v>
      </c>
      <c r="I114" s="9">
        <v>0.1273</v>
      </c>
      <c r="J114" s="57">
        <f t="shared" si="28"/>
        <v>-0.11041229909154437</v>
      </c>
      <c r="K114" s="9">
        <v>1.2419</v>
      </c>
      <c r="L114" s="57">
        <f t="shared" si="26"/>
        <v>-0.22820210055310419</v>
      </c>
      <c r="M114" s="25">
        <v>0.26090000000000002</v>
      </c>
      <c r="N114" s="57">
        <f t="shared" si="29"/>
        <v>-0.13552021206096754</v>
      </c>
      <c r="O114" s="9">
        <v>0.42809999999999998</v>
      </c>
      <c r="P114" s="57">
        <f t="shared" si="27"/>
        <v>-0.14259963949529353</v>
      </c>
      <c r="Q114" s="9" t="s">
        <v>3499</v>
      </c>
    </row>
    <row r="115" spans="1:17" ht="42.75" customHeight="1" x14ac:dyDescent="0.25">
      <c r="A115" s="8">
        <v>8.31</v>
      </c>
      <c r="B115" s="2" t="s">
        <v>5</v>
      </c>
      <c r="C115" s="37">
        <v>0.11559999999999999</v>
      </c>
      <c r="D115" s="9">
        <v>1.1738</v>
      </c>
      <c r="E115" s="37">
        <v>0.24399999999999999</v>
      </c>
      <c r="F115" s="9">
        <v>0.40510000000000002</v>
      </c>
      <c r="G115" s="9">
        <v>-0.31514629629629637</v>
      </c>
      <c r="H115" s="9">
        <v>0.81079999999999997</v>
      </c>
      <c r="I115" s="9">
        <v>0.12770000000000001</v>
      </c>
      <c r="J115" s="57">
        <f t="shared" si="28"/>
        <v>-0.10761705101327745</v>
      </c>
      <c r="K115" s="9">
        <v>1.2483</v>
      </c>
      <c r="L115" s="57">
        <f t="shared" si="26"/>
        <v>-0.2242247218942266</v>
      </c>
      <c r="M115" s="25">
        <v>0.26469999999999999</v>
      </c>
      <c r="N115" s="57">
        <f t="shared" si="29"/>
        <v>-0.12292909211398284</v>
      </c>
      <c r="O115" s="9">
        <v>0.43109999999999998</v>
      </c>
      <c r="P115" s="57">
        <f t="shared" si="27"/>
        <v>-0.13659122771880639</v>
      </c>
      <c r="Q115" s="9" t="s">
        <v>3498</v>
      </c>
    </row>
    <row r="116" spans="1:17" ht="42.75" customHeight="1" x14ac:dyDescent="0.25">
      <c r="A116" s="8">
        <v>8.31</v>
      </c>
      <c r="B116" s="2" t="s">
        <v>5</v>
      </c>
      <c r="C116" s="37">
        <v>0.115</v>
      </c>
      <c r="D116" s="9">
        <v>1.1608000000000001</v>
      </c>
      <c r="E116" s="37">
        <v>0.25440000000000002</v>
      </c>
      <c r="F116" s="9">
        <v>0.42820000000000003</v>
      </c>
      <c r="G116" s="9">
        <v>-0.31522962962962958</v>
      </c>
      <c r="H116" s="9">
        <v>0.8105</v>
      </c>
      <c r="I116" s="9">
        <v>0.12759999999999999</v>
      </c>
      <c r="J116" s="57">
        <f t="shared" si="28"/>
        <v>-0.10831586303284424</v>
      </c>
      <c r="K116" s="9">
        <v>1.2464</v>
      </c>
      <c r="L116" s="57">
        <f t="shared" si="26"/>
        <v>-0.22540550618358091</v>
      </c>
      <c r="M116" s="25">
        <v>0.26829999999999998</v>
      </c>
      <c r="N116" s="57">
        <f t="shared" si="29"/>
        <v>-0.11100066269052367</v>
      </c>
      <c r="O116" s="9">
        <v>0.44950000000000001</v>
      </c>
      <c r="P116" s="57">
        <f t="shared" si="27"/>
        <v>-9.9739635489685563E-2</v>
      </c>
      <c r="Q116" s="9" t="s">
        <v>3497</v>
      </c>
    </row>
    <row r="117" spans="1:17" ht="42.75" customHeight="1" x14ac:dyDescent="0.25">
      <c r="A117" s="8">
        <v>8.31</v>
      </c>
      <c r="B117" s="2" t="s">
        <v>3424</v>
      </c>
      <c r="C117" s="37">
        <v>0.1154</v>
      </c>
      <c r="D117" s="9">
        <v>1.1626000000000001</v>
      </c>
      <c r="E117" s="37">
        <v>0.25409999999999999</v>
      </c>
      <c r="F117" s="9">
        <v>0.42899999999999999</v>
      </c>
      <c r="G117" s="9">
        <v>-0.3084303571428571</v>
      </c>
      <c r="H117" s="9">
        <v>0.81440000000000001</v>
      </c>
      <c r="I117" s="9">
        <v>0.12759999999999999</v>
      </c>
      <c r="J117" s="57">
        <f t="shared" si="28"/>
        <v>-0.10831586303284424</v>
      </c>
      <c r="K117" s="9">
        <v>1.2459</v>
      </c>
      <c r="L117" s="57">
        <f t="shared" si="26"/>
        <v>-0.22571623889130565</v>
      </c>
      <c r="M117" s="25">
        <v>0.26900000000000002</v>
      </c>
      <c r="N117" s="57">
        <f t="shared" si="29"/>
        <v>-0.10868124585818417</v>
      </c>
      <c r="O117" s="9">
        <v>0.44390000000000002</v>
      </c>
      <c r="P117" s="57">
        <f t="shared" si="27"/>
        <v>-0.11095533747246145</v>
      </c>
      <c r="Q117" s="9" t="s">
        <v>3503</v>
      </c>
    </row>
    <row r="118" spans="1:17" ht="42.75" customHeight="1" x14ac:dyDescent="0.25">
      <c r="A118" s="8">
        <v>8.31</v>
      </c>
      <c r="B118" s="2" t="s">
        <v>3424</v>
      </c>
      <c r="C118" s="37">
        <v>0.1125</v>
      </c>
      <c r="D118" s="9">
        <v>1.1464000000000001</v>
      </c>
      <c r="E118" s="37">
        <v>0.23139999999999999</v>
      </c>
      <c r="F118" s="9">
        <v>0.37819999999999998</v>
      </c>
      <c r="G118" s="9">
        <v>-0.33892576923076922</v>
      </c>
      <c r="H118" s="9">
        <v>0.78549999999999998</v>
      </c>
      <c r="I118" s="9">
        <v>0.12759999999999999</v>
      </c>
      <c r="J118" s="57">
        <f t="shared" si="28"/>
        <v>-0.10831586303284424</v>
      </c>
      <c r="K118" s="9">
        <v>1.2445999999999999</v>
      </c>
      <c r="L118" s="57">
        <f t="shared" si="26"/>
        <v>-0.2265241439313902</v>
      </c>
      <c r="M118" s="25">
        <v>0.26590000000000003</v>
      </c>
      <c r="N118" s="57">
        <f t="shared" si="29"/>
        <v>-0.1189529489728296</v>
      </c>
      <c r="O118" s="9">
        <v>0.43659999999999999</v>
      </c>
      <c r="P118" s="57">
        <f t="shared" si="27"/>
        <v>-0.1255758061285801</v>
      </c>
      <c r="Q118" s="9" t="s">
        <v>3504</v>
      </c>
    </row>
    <row r="119" spans="1:17" ht="42.75" customHeight="1" x14ac:dyDescent="0.25">
      <c r="A119" s="8">
        <v>8.31</v>
      </c>
      <c r="B119" s="2" t="s">
        <v>3424</v>
      </c>
      <c r="C119" s="37">
        <v>0.1149</v>
      </c>
      <c r="D119" s="9">
        <v>1.1597999999999999</v>
      </c>
      <c r="E119" s="37">
        <v>0.23400000000000001</v>
      </c>
      <c r="F119" s="9">
        <v>0.40610000000000002</v>
      </c>
      <c r="G119" s="9">
        <v>-0.32090000000000002</v>
      </c>
      <c r="H119" s="9">
        <v>0.79710000000000003</v>
      </c>
      <c r="I119" s="9">
        <v>0.12790000000000001</v>
      </c>
      <c r="J119" s="57">
        <f t="shared" si="28"/>
        <v>-0.10621942697414388</v>
      </c>
      <c r="K119" s="9">
        <v>1.2487999999999999</v>
      </c>
      <c r="L119" s="57">
        <f t="shared" si="26"/>
        <v>-0.22391398918650185</v>
      </c>
      <c r="M119" s="25">
        <v>0.2676</v>
      </c>
      <c r="N119" s="57">
        <f t="shared" si="29"/>
        <v>-0.11332007952286283</v>
      </c>
      <c r="O119" s="9">
        <v>0.44400000000000001</v>
      </c>
      <c r="P119" s="57">
        <f t="shared" si="27"/>
        <v>-0.11075505707991196</v>
      </c>
      <c r="Q119" s="9" t="s">
        <v>3505</v>
      </c>
    </row>
    <row r="120" spans="1:17" ht="42.75" customHeight="1" x14ac:dyDescent="0.25">
      <c r="A120" s="8">
        <v>8.3000000000000007</v>
      </c>
      <c r="B120" s="2" t="s">
        <v>5</v>
      </c>
      <c r="C120" s="37">
        <v>0.11990000000000001</v>
      </c>
      <c r="D120" s="9">
        <v>1.3240000000000001</v>
      </c>
      <c r="E120" s="37">
        <v>0.2576</v>
      </c>
      <c r="F120" s="9">
        <v>0.4153</v>
      </c>
      <c r="G120" s="9">
        <v>-0.28131562500000001</v>
      </c>
      <c r="H120" s="9">
        <v>0.82599999999999996</v>
      </c>
      <c r="I120" s="9">
        <v>0.1283</v>
      </c>
      <c r="J120" s="57">
        <f t="shared" si="28"/>
        <v>-0.10342417889587707</v>
      </c>
      <c r="K120" s="9">
        <v>1.278</v>
      </c>
      <c r="L120" s="57">
        <f t="shared" si="26"/>
        <v>-0.20576719905537255</v>
      </c>
      <c r="M120" s="25">
        <v>0.2702</v>
      </c>
      <c r="N120" s="57">
        <f t="shared" si="29"/>
        <v>-0.10470510271703115</v>
      </c>
      <c r="O120" s="9">
        <v>0.44269999999999998</v>
      </c>
      <c r="P120" s="57">
        <f t="shared" si="27"/>
        <v>-0.11335870218305633</v>
      </c>
      <c r="Q120" s="2" t="s">
        <v>3496</v>
      </c>
    </row>
    <row r="121" spans="1:17" ht="42.75" customHeight="1" x14ac:dyDescent="0.25">
      <c r="A121" s="8">
        <v>8.3000000000000007</v>
      </c>
      <c r="B121" s="2" t="s">
        <v>5</v>
      </c>
      <c r="C121" s="37">
        <v>0.1167</v>
      </c>
      <c r="D121" s="9">
        <v>1.2344999999999999</v>
      </c>
      <c r="E121" s="37">
        <v>0.25209999999999999</v>
      </c>
      <c r="F121" s="9">
        <v>0.40899999999999997</v>
      </c>
      <c r="G121" s="9">
        <v>-0.27842258064516129</v>
      </c>
      <c r="H121" s="9">
        <v>0.80459999999999998</v>
      </c>
      <c r="I121" s="9">
        <v>0.128</v>
      </c>
      <c r="J121" s="57">
        <f t="shared" si="28"/>
        <v>-0.10552061495457721</v>
      </c>
      <c r="K121" s="9">
        <v>1.2818000000000001</v>
      </c>
      <c r="L121" s="57">
        <f t="shared" si="26"/>
        <v>-0.20340563047666393</v>
      </c>
      <c r="M121" s="25">
        <v>0.26690000000000003</v>
      </c>
      <c r="N121" s="57">
        <f t="shared" si="29"/>
        <v>-0.1156394963552021</v>
      </c>
      <c r="O121" s="9">
        <v>0.44130000000000003</v>
      </c>
      <c r="P121" s="57">
        <f t="shared" si="27"/>
        <v>-0.11616262767875019</v>
      </c>
      <c r="Q121" s="2" t="s">
        <v>3495</v>
      </c>
    </row>
    <row r="122" spans="1:17" ht="42.75" customHeight="1" x14ac:dyDescent="0.25">
      <c r="A122" s="8">
        <v>8.2899999999999991</v>
      </c>
      <c r="B122" s="2" t="s">
        <v>5</v>
      </c>
      <c r="C122" s="37">
        <v>0.1212</v>
      </c>
      <c r="D122" s="9">
        <v>1.3365</v>
      </c>
      <c r="E122" s="37">
        <v>0.2576</v>
      </c>
      <c r="F122" s="9">
        <v>0.41889999999999999</v>
      </c>
      <c r="G122" s="9">
        <v>-0.28311874999999992</v>
      </c>
      <c r="H122" s="9">
        <v>0.81369999999999998</v>
      </c>
      <c r="I122" s="9">
        <v>0.1288</v>
      </c>
      <c r="J122" s="57">
        <f t="shared" si="28"/>
        <v>-9.9930118798043366E-2</v>
      </c>
      <c r="K122" s="9">
        <v>1.2930999999999999</v>
      </c>
      <c r="L122" s="57">
        <f t="shared" si="26"/>
        <v>-0.19638307128208321</v>
      </c>
      <c r="M122" s="25">
        <v>0.27100000000000002</v>
      </c>
      <c r="N122" s="57">
        <f t="shared" si="29"/>
        <v>-0.10205434062292906</v>
      </c>
      <c r="O122" s="9">
        <v>0.45340000000000003</v>
      </c>
      <c r="P122" s="57">
        <f t="shared" si="27"/>
        <v>-9.1928700180252343E-2</v>
      </c>
      <c r="Q122" s="2" t="s">
        <v>3493</v>
      </c>
    </row>
    <row r="123" spans="1:17" ht="42.75" customHeight="1" x14ac:dyDescent="0.25">
      <c r="A123" s="8">
        <v>8.2899999999999991</v>
      </c>
      <c r="B123" s="2" t="s">
        <v>5</v>
      </c>
      <c r="C123" s="37">
        <v>0.11890000000000001</v>
      </c>
      <c r="D123" s="9">
        <v>1.3537999999999999</v>
      </c>
      <c r="E123" s="37">
        <v>0.25269999999999998</v>
      </c>
      <c r="F123" s="9">
        <v>0.39779999999999999</v>
      </c>
      <c r="G123" s="9">
        <v>-0.28454827586206893</v>
      </c>
      <c r="H123" s="9">
        <v>0.81230000000000002</v>
      </c>
      <c r="I123" s="9">
        <v>0.12839999999999999</v>
      </c>
      <c r="J123" s="57">
        <f t="shared" si="28"/>
        <v>-0.1027253668763104</v>
      </c>
      <c r="K123" s="9">
        <v>1.2907</v>
      </c>
      <c r="L123" s="57">
        <f t="shared" si="26"/>
        <v>-0.19787458827916227</v>
      </c>
      <c r="M123" s="25">
        <v>0.27360000000000001</v>
      </c>
      <c r="N123" s="57">
        <f t="shared" si="29"/>
        <v>-9.3439363817097387E-2</v>
      </c>
      <c r="O123" s="9">
        <v>0.44869999999999999</v>
      </c>
      <c r="P123" s="57">
        <f t="shared" si="27"/>
        <v>-0.10134187863008215</v>
      </c>
      <c r="Q123" s="2" t="s">
        <v>3494</v>
      </c>
    </row>
    <row r="124" spans="1:17" ht="42.75" customHeight="1" x14ac:dyDescent="0.25">
      <c r="A124" s="8">
        <v>8.2899999999999991</v>
      </c>
      <c r="B124" s="2" t="s">
        <v>5</v>
      </c>
      <c r="C124" s="37">
        <v>0.12239999999999999</v>
      </c>
      <c r="D124" s="9">
        <v>1.4312</v>
      </c>
      <c r="E124" s="37">
        <v>0.251</v>
      </c>
      <c r="F124" s="9">
        <v>0.40479999999999999</v>
      </c>
      <c r="G124" s="9">
        <v>-0.28006451612903227</v>
      </c>
      <c r="H124" s="9">
        <v>0.83199999999999996</v>
      </c>
      <c r="I124" s="9">
        <v>0.12870000000000001</v>
      </c>
      <c r="J124" s="57">
        <f t="shared" si="28"/>
        <v>-0.10062893081761004</v>
      </c>
      <c r="K124" s="9">
        <v>1.2926</v>
      </c>
      <c r="L124" s="57">
        <f t="shared" si="26"/>
        <v>-0.19669380398980796</v>
      </c>
      <c r="M124" s="25">
        <v>0.26340000000000002</v>
      </c>
      <c r="N124" s="57">
        <f t="shared" si="29"/>
        <v>-0.12723658051689857</v>
      </c>
      <c r="O124" s="9">
        <v>0.43559999999999999</v>
      </c>
      <c r="P124" s="57">
        <f t="shared" si="27"/>
        <v>-0.12757861005407578</v>
      </c>
      <c r="Q124" s="2" t="s">
        <v>3492</v>
      </c>
    </row>
    <row r="125" spans="1:17" ht="42.75" customHeight="1" x14ac:dyDescent="0.25">
      <c r="A125" s="8">
        <v>8.2799999999999994</v>
      </c>
      <c r="B125" s="2" t="s">
        <v>8</v>
      </c>
      <c r="C125" s="37">
        <v>0.14849999999999999</v>
      </c>
      <c r="D125" s="9">
        <v>1.8694999999999999</v>
      </c>
      <c r="E125" s="37">
        <v>0.30299999999999999</v>
      </c>
      <c r="F125" s="9">
        <v>0.54259999999999997</v>
      </c>
      <c r="G125" s="9">
        <v>-0.26405263157894737</v>
      </c>
      <c r="H125" s="9">
        <v>0.75880000000000003</v>
      </c>
      <c r="I125" s="9">
        <v>0.1507</v>
      </c>
      <c r="J125" s="57">
        <f t="shared" si="28"/>
        <v>5.3109713487071941E-2</v>
      </c>
      <c r="K125" s="9">
        <v>1.7214</v>
      </c>
      <c r="L125" s="57">
        <f t="shared" si="26"/>
        <v>6.9790566154993572E-2</v>
      </c>
      <c r="M125" s="25">
        <v>0.31019999999999998</v>
      </c>
      <c r="N125" s="57">
        <f t="shared" si="29"/>
        <v>2.7833001988071482E-2</v>
      </c>
      <c r="O125" s="9">
        <v>0.56020000000000003</v>
      </c>
      <c r="P125" s="57">
        <f t="shared" si="27"/>
        <v>0.12197075906268773</v>
      </c>
      <c r="Q125" s="2" t="s">
        <v>3490</v>
      </c>
    </row>
    <row r="126" spans="1:17" ht="42.75" customHeight="1" x14ac:dyDescent="0.25">
      <c r="A126" s="8">
        <v>8.2799999999999994</v>
      </c>
      <c r="B126" s="2" t="s">
        <v>8</v>
      </c>
      <c r="C126" s="37">
        <v>0.14779999999999999</v>
      </c>
      <c r="D126" s="9">
        <v>1.8059000000000001</v>
      </c>
      <c r="E126" s="37">
        <v>0.31019999999999998</v>
      </c>
      <c r="F126" s="9">
        <v>0.55830000000000002</v>
      </c>
      <c r="G126" s="9">
        <v>-0.27582592592592592</v>
      </c>
      <c r="H126" s="9">
        <v>0.74490000000000001</v>
      </c>
      <c r="I126" s="9">
        <v>0.151</v>
      </c>
      <c r="J126" s="57">
        <f t="shared" si="28"/>
        <v>5.5206149545772076E-2</v>
      </c>
      <c r="K126" s="9">
        <v>1.7111000000000001</v>
      </c>
      <c r="L126" s="57">
        <f t="shared" si="26"/>
        <v>6.3389472375862344E-2</v>
      </c>
      <c r="M126" s="25">
        <v>0.30819999999999997</v>
      </c>
      <c r="N126" s="57">
        <f t="shared" si="29"/>
        <v>2.1206096752816261E-2</v>
      </c>
      <c r="O126" s="9">
        <v>0.56169999999999998</v>
      </c>
      <c r="P126" s="57">
        <f t="shared" si="27"/>
        <v>0.1249749649509313</v>
      </c>
      <c r="Q126" s="2" t="s">
        <v>3491</v>
      </c>
    </row>
    <row r="127" spans="1:17" ht="42.75" customHeight="1" x14ac:dyDescent="0.25">
      <c r="A127" s="8">
        <v>8.2799999999999994</v>
      </c>
      <c r="B127" s="2" t="s">
        <v>5</v>
      </c>
      <c r="C127" s="37">
        <v>0.14680000000000001</v>
      </c>
      <c r="D127" s="9">
        <v>1.8653</v>
      </c>
      <c r="E127" s="37">
        <v>0.31009999999999999</v>
      </c>
      <c r="F127" s="9">
        <v>0.53639999999999999</v>
      </c>
      <c r="G127" s="9">
        <v>-0.25754375000000007</v>
      </c>
      <c r="H127" s="9">
        <v>0.74339999999999995</v>
      </c>
      <c r="I127" s="9">
        <v>0.14710000000000001</v>
      </c>
      <c r="J127" s="57">
        <f t="shared" si="28"/>
        <v>2.7952480782669431E-2</v>
      </c>
      <c r="K127" s="9">
        <v>1.6566000000000001</v>
      </c>
      <c r="L127" s="57">
        <f t="shared" si="26"/>
        <v>2.9519607233857492E-2</v>
      </c>
      <c r="M127" s="25">
        <v>0.30220000000000002</v>
      </c>
      <c r="N127" s="57">
        <f t="shared" si="29"/>
        <v>1.3253810470510441E-3</v>
      </c>
      <c r="O127" s="9">
        <v>0.55020000000000002</v>
      </c>
      <c r="P127" s="57">
        <f t="shared" si="27"/>
        <v>0.10194271980773073</v>
      </c>
      <c r="Q127" s="2" t="s">
        <v>3490</v>
      </c>
    </row>
    <row r="128" spans="1:17" ht="42.75" customHeight="1" x14ac:dyDescent="0.25">
      <c r="A128" s="8">
        <v>8.2799999999999994</v>
      </c>
      <c r="B128" s="2" t="s">
        <v>5</v>
      </c>
      <c r="C128" s="37">
        <v>0.14499999999999999</v>
      </c>
      <c r="D128" s="9">
        <v>1.7347999999999999</v>
      </c>
      <c r="E128" s="37">
        <v>0.29680000000000001</v>
      </c>
      <c r="F128" s="9">
        <v>0.51959999999999995</v>
      </c>
      <c r="G128" s="9">
        <v>-0.23968518518518514</v>
      </c>
      <c r="H128" s="9">
        <v>0.73150000000000004</v>
      </c>
      <c r="I128" s="9">
        <v>0.14699999999999999</v>
      </c>
      <c r="J128" s="57">
        <f t="shared" si="28"/>
        <v>2.7253668763102645E-2</v>
      </c>
      <c r="K128" s="9">
        <v>1.6397999999999999</v>
      </c>
      <c r="L128" s="57">
        <f t="shared" si="26"/>
        <v>1.9078988254303653E-2</v>
      </c>
      <c r="M128" s="25">
        <v>0.2994</v>
      </c>
      <c r="N128" s="57">
        <f t="shared" si="29"/>
        <v>-7.9522862823061535E-3</v>
      </c>
      <c r="O128" s="9">
        <v>0.54990000000000006</v>
      </c>
      <c r="P128" s="57">
        <f t="shared" si="27"/>
        <v>0.10134187863008215</v>
      </c>
      <c r="Q128" s="2" t="s">
        <v>3491</v>
      </c>
    </row>
    <row r="129" spans="1:17" ht="42.75" customHeight="1" x14ac:dyDescent="0.25">
      <c r="A129" s="8">
        <v>8.2799999999999994</v>
      </c>
      <c r="B129" s="2" t="s">
        <v>127</v>
      </c>
      <c r="C129" s="37">
        <v>0.14599999999999999</v>
      </c>
      <c r="D129" s="9">
        <v>1.7305999999999999</v>
      </c>
      <c r="E129" s="37">
        <v>0.29880000000000001</v>
      </c>
      <c r="F129" s="9">
        <v>0.53680000000000005</v>
      </c>
      <c r="G129" s="9">
        <v>-0.23247083333333338</v>
      </c>
      <c r="H129" s="9">
        <v>0.76249999999999996</v>
      </c>
      <c r="I129" s="9">
        <v>0.1497</v>
      </c>
      <c r="J129" s="57">
        <f t="shared" si="28"/>
        <v>4.6121593291404528E-2</v>
      </c>
      <c r="K129" s="9">
        <v>1.6735</v>
      </c>
      <c r="L129" s="57">
        <f t="shared" si="26"/>
        <v>4.0022372754956237E-2</v>
      </c>
      <c r="M129" s="25">
        <v>0.30719999999999997</v>
      </c>
      <c r="N129" s="57">
        <f t="shared" si="29"/>
        <v>1.7892644135188762E-2</v>
      </c>
      <c r="O129" s="9">
        <v>0.55820000000000003</v>
      </c>
      <c r="P129" s="57">
        <f t="shared" si="27"/>
        <v>0.11796515121169637</v>
      </c>
      <c r="Q129" s="2" t="s">
        <v>3490</v>
      </c>
    </row>
    <row r="130" spans="1:17" ht="42.75" customHeight="1" x14ac:dyDescent="0.25">
      <c r="A130" s="8">
        <v>8.2799999999999994</v>
      </c>
      <c r="B130" s="2" t="s">
        <v>127</v>
      </c>
      <c r="C130" s="37">
        <v>0.14510000000000001</v>
      </c>
      <c r="D130" s="9">
        <v>1.7255</v>
      </c>
      <c r="E130" s="37">
        <v>0.30149999999999999</v>
      </c>
      <c r="F130" s="9">
        <v>0.54720000000000002</v>
      </c>
      <c r="G130" s="9">
        <v>-0.26185357142857141</v>
      </c>
      <c r="H130" s="9">
        <v>0.75960000000000005</v>
      </c>
      <c r="I130" s="9">
        <v>0.14949999999999999</v>
      </c>
      <c r="J130" s="57">
        <f t="shared" si="28"/>
        <v>4.4723969252270956E-2</v>
      </c>
      <c r="K130" s="9">
        <v>1.6734</v>
      </c>
      <c r="L130" s="57">
        <f t="shared" si="26"/>
        <v>3.9960226213411332E-2</v>
      </c>
      <c r="M130" s="25">
        <v>0.29980000000000001</v>
      </c>
      <c r="N130" s="57">
        <f t="shared" si="29"/>
        <v>-6.6269052352551094E-3</v>
      </c>
      <c r="O130" s="9">
        <v>0.55349999999999999</v>
      </c>
      <c r="P130" s="57">
        <f t="shared" si="27"/>
        <v>0.10855197276186646</v>
      </c>
      <c r="Q130" s="2" t="s">
        <v>3491</v>
      </c>
    </row>
    <row r="131" spans="1:17" ht="42.75" customHeight="1" x14ac:dyDescent="0.25">
      <c r="A131" s="8">
        <v>8.26</v>
      </c>
      <c r="B131" s="2" t="s">
        <v>5</v>
      </c>
      <c r="C131" s="37">
        <v>0.1162</v>
      </c>
      <c r="D131" s="9">
        <v>1.2563</v>
      </c>
      <c r="E131" s="37">
        <v>0.26250000000000001</v>
      </c>
      <c r="F131" s="9">
        <v>0.4385</v>
      </c>
      <c r="G131" s="9">
        <v>-0.33015999999999995</v>
      </c>
      <c r="H131" s="9">
        <v>0.77459999999999996</v>
      </c>
      <c r="I131" s="9">
        <v>0.12870000000000001</v>
      </c>
      <c r="J131" s="57">
        <f t="shared" si="28"/>
        <v>-0.10062893081761004</v>
      </c>
      <c r="K131" s="9">
        <v>1.2784</v>
      </c>
      <c r="L131" s="57">
        <f t="shared" si="26"/>
        <v>-0.20551861288919271</v>
      </c>
      <c r="M131" s="25">
        <v>0.2792</v>
      </c>
      <c r="N131" s="57">
        <f t="shared" si="29"/>
        <v>-7.4884029158383103E-2</v>
      </c>
      <c r="O131" s="9">
        <v>0.4607</v>
      </c>
      <c r="P131" s="57">
        <f t="shared" si="27"/>
        <v>-7.7308231524133797E-2</v>
      </c>
      <c r="Q131" s="9" t="s">
        <v>3489</v>
      </c>
    </row>
    <row r="132" spans="1:17" ht="42.75" customHeight="1" x14ac:dyDescent="0.25">
      <c r="A132" s="8">
        <v>8.26</v>
      </c>
      <c r="B132" s="2" t="s">
        <v>5</v>
      </c>
      <c r="C132" s="37">
        <v>0.1109</v>
      </c>
      <c r="D132" s="9">
        <v>1.1342000000000001</v>
      </c>
      <c r="E132" s="37">
        <v>0.2767</v>
      </c>
      <c r="F132" s="9">
        <v>0.44950000000000001</v>
      </c>
      <c r="G132" s="9">
        <v>-0.32822758620689657</v>
      </c>
      <c r="H132" s="9">
        <v>0.74470000000000003</v>
      </c>
      <c r="I132" s="9">
        <v>0.12820000000000001</v>
      </c>
      <c r="J132" s="57">
        <f t="shared" si="28"/>
        <v>-0.10412299091544375</v>
      </c>
      <c r="K132" s="9">
        <v>1.2630999999999999</v>
      </c>
      <c r="L132" s="57">
        <f t="shared" si="26"/>
        <v>-0.21502703374557208</v>
      </c>
      <c r="M132" s="25">
        <v>0.2777</v>
      </c>
      <c r="N132" s="57">
        <f t="shared" si="29"/>
        <v>-7.9854208084824463E-2</v>
      </c>
      <c r="O132" s="9">
        <v>0.45519999999999999</v>
      </c>
      <c r="P132" s="57">
        <f t="shared" si="27"/>
        <v>-8.832365311436019E-2</v>
      </c>
      <c r="Q132" s="9" t="s">
        <v>3488</v>
      </c>
    </row>
    <row r="133" spans="1:17" ht="42.75" customHeight="1" x14ac:dyDescent="0.25">
      <c r="A133" s="8">
        <v>8.26</v>
      </c>
      <c r="B133" s="2" t="s">
        <v>3468</v>
      </c>
      <c r="C133" s="37">
        <v>0.1142</v>
      </c>
      <c r="D133" s="9">
        <v>1.3109</v>
      </c>
      <c r="E133" s="37">
        <v>0.26290000000000002</v>
      </c>
      <c r="F133" s="9">
        <v>0.44159999999999999</v>
      </c>
      <c r="G133" s="9">
        <v>-0.36204444444444439</v>
      </c>
      <c r="H133" s="9">
        <v>0.77080000000000004</v>
      </c>
      <c r="I133" s="9">
        <v>0.1283</v>
      </c>
      <c r="J133" s="57">
        <f t="shared" si="28"/>
        <v>-0.10342417889587707</v>
      </c>
      <c r="K133" s="9">
        <v>1.2927</v>
      </c>
      <c r="L133" s="57">
        <f t="shared" si="26"/>
        <v>-0.19663165744826305</v>
      </c>
      <c r="M133" s="25">
        <v>0.26740000000000003</v>
      </c>
      <c r="N133" s="57">
        <f t="shared" si="29"/>
        <v>-0.11398277004638824</v>
      </c>
      <c r="O133" s="9">
        <v>0.44269999999999998</v>
      </c>
      <c r="P133" s="57">
        <f t="shared" si="27"/>
        <v>-0.11335870218305633</v>
      </c>
      <c r="Q133" s="2" t="s">
        <v>3481</v>
      </c>
    </row>
    <row r="134" spans="1:17" ht="42.75" customHeight="1" x14ac:dyDescent="0.25">
      <c r="A134" s="8">
        <v>8.26</v>
      </c>
      <c r="B134" s="2" t="s">
        <v>5</v>
      </c>
      <c r="C134" s="37">
        <v>0.11269999999999999</v>
      </c>
      <c r="D134" s="9">
        <v>1.2836000000000001</v>
      </c>
      <c r="E134" s="37">
        <v>0.2407</v>
      </c>
      <c r="F134" s="9">
        <v>0.4088</v>
      </c>
      <c r="G134" s="9">
        <v>-0.35671071428571421</v>
      </c>
      <c r="H134" s="9">
        <v>0.77459999999999996</v>
      </c>
      <c r="I134" s="9">
        <v>0.12790000000000001</v>
      </c>
      <c r="J134" s="57">
        <f t="shared" si="28"/>
        <v>-0.10621942697414388</v>
      </c>
      <c r="K134" s="9">
        <v>1.2836000000000001</v>
      </c>
      <c r="L134" s="57">
        <f t="shared" si="26"/>
        <v>-0.20228699272885453</v>
      </c>
      <c r="M134" s="25">
        <v>0.26090000000000002</v>
      </c>
      <c r="N134" s="57">
        <f t="shared" si="29"/>
        <v>-0.13552021206096754</v>
      </c>
      <c r="O134" s="9">
        <v>0.43259999999999998</v>
      </c>
      <c r="P134" s="57">
        <f t="shared" si="27"/>
        <v>-0.13358702183056281</v>
      </c>
      <c r="Q134" s="2" t="s">
        <v>3487</v>
      </c>
    </row>
    <row r="135" spans="1:17" ht="42.75" customHeight="1" x14ac:dyDescent="0.25">
      <c r="A135" s="8">
        <v>8.26</v>
      </c>
      <c r="B135" s="2" t="s">
        <v>5</v>
      </c>
      <c r="C135" s="37">
        <v>0.11219999999999999</v>
      </c>
      <c r="D135" s="9">
        <v>1.1863999999999999</v>
      </c>
      <c r="E135" s="37">
        <v>0.2505</v>
      </c>
      <c r="F135" s="9">
        <v>0.41389999999999999</v>
      </c>
      <c r="G135" s="9">
        <v>-0.38214482758620677</v>
      </c>
      <c r="H135" s="9">
        <v>0.76459999999999995</v>
      </c>
      <c r="I135" s="9">
        <v>0.128</v>
      </c>
      <c r="J135" s="57">
        <f t="shared" si="28"/>
        <v>-0.10552061495457721</v>
      </c>
      <c r="K135" s="9">
        <v>1.2674000000000001</v>
      </c>
      <c r="L135" s="57">
        <f t="shared" si="26"/>
        <v>-0.21235473245913861</v>
      </c>
      <c r="M135" s="25">
        <v>0.26300000000000001</v>
      </c>
      <c r="N135" s="57">
        <f t="shared" si="29"/>
        <v>-0.12856196156394961</v>
      </c>
      <c r="O135" s="9">
        <v>0.43480000000000002</v>
      </c>
      <c r="P135" s="57">
        <f t="shared" si="27"/>
        <v>-0.12918085319447226</v>
      </c>
      <c r="Q135" s="2" t="s">
        <v>3480</v>
      </c>
    </row>
    <row r="136" spans="1:17" ht="42.75" customHeight="1" x14ac:dyDescent="0.25">
      <c r="A136" s="8">
        <v>8.26</v>
      </c>
      <c r="B136" s="2" t="s">
        <v>5</v>
      </c>
      <c r="C136" s="37">
        <v>0.112</v>
      </c>
      <c r="D136" s="9">
        <v>1.2919</v>
      </c>
      <c r="E136" s="37">
        <v>0.24479999999999999</v>
      </c>
      <c r="F136" s="9">
        <v>0.41860000000000003</v>
      </c>
      <c r="G136" s="9">
        <v>-0.36853793103448262</v>
      </c>
      <c r="H136" s="9">
        <v>0.77029999999999998</v>
      </c>
      <c r="I136" s="9">
        <v>0.1278</v>
      </c>
      <c r="J136" s="57">
        <f t="shared" si="28"/>
        <v>-0.10691823899371078</v>
      </c>
      <c r="K136" s="9">
        <v>1.286</v>
      </c>
      <c r="L136" s="57">
        <f t="shared" si="26"/>
        <v>-0.20079547573177547</v>
      </c>
      <c r="M136" s="25">
        <v>0.26679999999999998</v>
      </c>
      <c r="N136" s="57">
        <f t="shared" si="29"/>
        <v>-0.11597084161696503</v>
      </c>
      <c r="O136" s="9">
        <v>0.44240000000000002</v>
      </c>
      <c r="P136" s="57">
        <f t="shared" si="27"/>
        <v>-0.11395954336070502</v>
      </c>
      <c r="Q136" s="2" t="s">
        <v>3481</v>
      </c>
    </row>
    <row r="137" spans="1:17" ht="42.75" customHeight="1" x14ac:dyDescent="0.25">
      <c r="A137" s="8">
        <v>8.25</v>
      </c>
      <c r="B137" s="2" t="s">
        <v>5</v>
      </c>
      <c r="C137" s="37">
        <v>0.11269999999999999</v>
      </c>
      <c r="D137" s="9">
        <v>1.2294</v>
      </c>
      <c r="E137" s="37">
        <v>0.24030000000000001</v>
      </c>
      <c r="F137" s="9">
        <v>0.38790000000000002</v>
      </c>
      <c r="G137" s="9">
        <v>-0.32554999999999995</v>
      </c>
      <c r="H137" s="9">
        <v>0.77290000000000003</v>
      </c>
      <c r="I137" s="9">
        <v>0.12790000000000001</v>
      </c>
      <c r="J137" s="57">
        <f t="shared" si="28"/>
        <v>-0.10621942697414388</v>
      </c>
      <c r="K137" s="9">
        <v>1.2717000000000001</v>
      </c>
      <c r="L137" s="57">
        <f t="shared" si="26"/>
        <v>-0.20968243117270524</v>
      </c>
      <c r="M137" s="25">
        <v>0.2631</v>
      </c>
      <c r="N137" s="57">
        <f t="shared" si="29"/>
        <v>-0.12823061630218691</v>
      </c>
      <c r="O137" s="9">
        <v>0.43070000000000003</v>
      </c>
      <c r="P137" s="57">
        <f t="shared" si="27"/>
        <v>-0.13739234928900457</v>
      </c>
      <c r="Q137" s="9" t="s">
        <v>3482</v>
      </c>
    </row>
    <row r="138" spans="1:17" ht="42.75" customHeight="1" x14ac:dyDescent="0.25">
      <c r="A138" s="8">
        <v>8.25</v>
      </c>
      <c r="B138" s="2" t="s">
        <v>5</v>
      </c>
      <c r="C138" s="37">
        <v>0.11360000000000001</v>
      </c>
      <c r="D138" s="9">
        <v>1.2563</v>
      </c>
      <c r="E138" s="37">
        <v>0.24829999999999999</v>
      </c>
      <c r="F138" s="9">
        <v>0.39800000000000002</v>
      </c>
      <c r="G138" s="9">
        <v>-0.35933548387096775</v>
      </c>
      <c r="H138" s="9">
        <v>0.7752</v>
      </c>
      <c r="I138" s="9">
        <v>0.12809999999999999</v>
      </c>
      <c r="J138" s="57">
        <f t="shared" si="28"/>
        <v>-0.10482180293501053</v>
      </c>
      <c r="K138" s="9">
        <v>1.2808999999999999</v>
      </c>
      <c r="L138" s="57">
        <f t="shared" si="26"/>
        <v>-0.20396494935056864</v>
      </c>
      <c r="M138" s="25">
        <v>0.2646</v>
      </c>
      <c r="N138" s="57">
        <f t="shared" si="29"/>
        <v>-0.12326043737574555</v>
      </c>
      <c r="O138" s="9">
        <v>0.433</v>
      </c>
      <c r="P138" s="57">
        <f t="shared" si="27"/>
        <v>-0.13278590026036452</v>
      </c>
      <c r="Q138" s="9" t="s">
        <v>3483</v>
      </c>
    </row>
    <row r="139" spans="1:17" ht="42.75" customHeight="1" x14ac:dyDescent="0.25">
      <c r="A139" s="8">
        <v>8.25</v>
      </c>
      <c r="B139" s="2" t="s">
        <v>5</v>
      </c>
      <c r="C139" s="37">
        <v>0.1128</v>
      </c>
      <c r="D139" s="9">
        <v>1.1560999999999999</v>
      </c>
      <c r="E139" s="37">
        <v>0.22739999999999999</v>
      </c>
      <c r="F139" s="9">
        <v>0.37440000000000001</v>
      </c>
      <c r="G139" s="9">
        <v>-0.36181071428571426</v>
      </c>
      <c r="H139" s="9">
        <v>0.77569999999999995</v>
      </c>
      <c r="I139" s="9">
        <v>0.12790000000000001</v>
      </c>
      <c r="J139" s="57">
        <f t="shared" si="28"/>
        <v>-0.10621942697414388</v>
      </c>
      <c r="K139" s="9">
        <v>1.2601</v>
      </c>
      <c r="L139" s="57">
        <f t="shared" si="26"/>
        <v>-0.2168914299919209</v>
      </c>
      <c r="M139" s="25">
        <v>0.26600000000000001</v>
      </c>
      <c r="N139" s="57">
        <f t="shared" si="29"/>
        <v>-0.11862160371106689</v>
      </c>
      <c r="O139" s="9">
        <v>0.44190000000000002</v>
      </c>
      <c r="P139" s="57">
        <f t="shared" si="27"/>
        <v>-0.1149609453234528</v>
      </c>
      <c r="Q139" s="9" t="s">
        <v>3484</v>
      </c>
    </row>
    <row r="140" spans="1:17" ht="42.75" customHeight="1" x14ac:dyDescent="0.25">
      <c r="A140" s="8">
        <v>8.24</v>
      </c>
      <c r="B140" s="2" t="s">
        <v>3468</v>
      </c>
      <c r="C140" s="37">
        <v>0.11210000000000001</v>
      </c>
      <c r="D140" s="9">
        <v>1.1913</v>
      </c>
      <c r="E140" s="37">
        <v>0.2306</v>
      </c>
      <c r="F140" s="9">
        <v>0.38600000000000001</v>
      </c>
      <c r="G140" s="9">
        <v>-0.36343000000000009</v>
      </c>
      <c r="H140" s="9">
        <v>0.76149999999999995</v>
      </c>
      <c r="I140" s="9">
        <v>0.12809999999999999</v>
      </c>
      <c r="J140" s="57">
        <f t="shared" si="28"/>
        <v>-0.10482180293501053</v>
      </c>
      <c r="K140" s="9">
        <v>1.2714000000000001</v>
      </c>
      <c r="L140" s="57">
        <f t="shared" si="26"/>
        <v>-0.20986887079734007</v>
      </c>
      <c r="M140" s="25">
        <v>0.26640000000000003</v>
      </c>
      <c r="N140" s="57">
        <f t="shared" si="29"/>
        <v>-0.11729622266401585</v>
      </c>
      <c r="O140" s="9">
        <v>0.443</v>
      </c>
      <c r="P140" s="57">
        <f t="shared" si="27"/>
        <v>-0.11275786100540763</v>
      </c>
      <c r="Q140" s="9" t="s">
        <v>3485</v>
      </c>
    </row>
    <row r="141" spans="1:17" ht="42.75" customHeight="1" x14ac:dyDescent="0.25">
      <c r="A141" s="8">
        <v>8.24</v>
      </c>
      <c r="B141" s="2" t="s">
        <v>5</v>
      </c>
      <c r="C141" s="37">
        <v>0.11260000000000001</v>
      </c>
      <c r="D141" s="9">
        <v>1.1899</v>
      </c>
      <c r="E141" s="37">
        <v>0.25209999999999999</v>
      </c>
      <c r="F141" s="9">
        <v>0.41849999999999998</v>
      </c>
      <c r="G141" s="9">
        <v>-0.37958387096774188</v>
      </c>
      <c r="H141" s="9">
        <v>0.76629999999999998</v>
      </c>
      <c r="I141" s="9">
        <v>0.128</v>
      </c>
      <c r="J141" s="57">
        <f t="shared" si="28"/>
        <v>-0.10552061495457721</v>
      </c>
      <c r="K141" s="9">
        <v>1.2695000000000001</v>
      </c>
      <c r="L141" s="57">
        <f t="shared" si="26"/>
        <v>-0.21104965508669438</v>
      </c>
      <c r="M141" s="25">
        <v>0.26619999999999999</v>
      </c>
      <c r="N141" s="57">
        <f t="shared" si="29"/>
        <v>-0.11795891318754148</v>
      </c>
      <c r="O141" s="9">
        <v>0.43930000000000002</v>
      </c>
      <c r="P141" s="57">
        <f t="shared" si="27"/>
        <v>-0.12016823552974165</v>
      </c>
      <c r="Q141" s="9" t="s">
        <v>3485</v>
      </c>
    </row>
    <row r="142" spans="1:17" ht="42.75" customHeight="1" x14ac:dyDescent="0.25">
      <c r="A142" s="8">
        <v>8.2200000000000006</v>
      </c>
      <c r="B142" s="2" t="s">
        <v>5</v>
      </c>
      <c r="C142" s="37">
        <v>0.1143</v>
      </c>
      <c r="D142" s="9">
        <v>1.2661</v>
      </c>
      <c r="E142" s="37">
        <v>0.2419</v>
      </c>
      <c r="F142" s="9">
        <v>0.39179999999999998</v>
      </c>
      <c r="G142" s="9">
        <v>-0.31241034482758623</v>
      </c>
      <c r="H142" s="9">
        <v>0.79549999999999998</v>
      </c>
      <c r="I142" s="9">
        <v>0.1278</v>
      </c>
      <c r="J142" s="57">
        <f t="shared" si="28"/>
        <v>-0.10691823899371078</v>
      </c>
      <c r="K142" s="9">
        <v>1.2725</v>
      </c>
      <c r="L142" s="57">
        <f t="shared" si="26"/>
        <v>-0.20918525884034556</v>
      </c>
      <c r="M142" s="25">
        <v>0.26429999999999998</v>
      </c>
      <c r="N142" s="57">
        <f t="shared" si="29"/>
        <v>-0.12425447316103388</v>
      </c>
      <c r="O142" s="9">
        <v>0.43640000000000001</v>
      </c>
      <c r="P142" s="57">
        <f t="shared" si="27"/>
        <v>-0.12597636691367919</v>
      </c>
      <c r="Q142" s="9" t="s">
        <v>3479</v>
      </c>
    </row>
    <row r="143" spans="1:17" ht="42.75" customHeight="1" x14ac:dyDescent="0.25">
      <c r="A143" s="8">
        <v>8.2200000000000006</v>
      </c>
      <c r="B143" s="2" t="s">
        <v>5</v>
      </c>
      <c r="C143" s="37">
        <v>0.1133</v>
      </c>
      <c r="D143" s="9">
        <v>1.2761</v>
      </c>
      <c r="E143" s="37">
        <v>0.2334</v>
      </c>
      <c r="F143" s="9">
        <v>0.379</v>
      </c>
      <c r="G143" s="9">
        <v>-0.34228965517241383</v>
      </c>
      <c r="H143" s="9">
        <v>0.78539999999999999</v>
      </c>
      <c r="I143" s="9">
        <v>0.1278</v>
      </c>
      <c r="J143" s="57">
        <f t="shared" si="28"/>
        <v>-0.10691823899371078</v>
      </c>
      <c r="K143" s="9">
        <v>1.2757000000000001</v>
      </c>
      <c r="L143" s="57">
        <f t="shared" si="26"/>
        <v>-0.2071965695109067</v>
      </c>
      <c r="M143" s="25">
        <v>0.26369999999999999</v>
      </c>
      <c r="N143" s="57">
        <f t="shared" si="29"/>
        <v>-0.12624254473161045</v>
      </c>
      <c r="O143" s="9">
        <v>0.43340000000000001</v>
      </c>
      <c r="P143" s="57">
        <f t="shared" si="27"/>
        <v>-0.13198477869016623</v>
      </c>
      <c r="Q143" s="9" t="s">
        <v>3478</v>
      </c>
    </row>
    <row r="144" spans="1:17" ht="42.75" customHeight="1" x14ac:dyDescent="0.25">
      <c r="A144" s="8">
        <v>8.2200000000000006</v>
      </c>
      <c r="B144" s="2" t="s">
        <v>5</v>
      </c>
      <c r="C144" s="37">
        <v>0.11119999999999999</v>
      </c>
      <c r="D144" s="9">
        <v>1.2291000000000001</v>
      </c>
      <c r="E144" s="37">
        <v>0.2462</v>
      </c>
      <c r="F144" s="9">
        <v>0.41549999999999998</v>
      </c>
      <c r="G144" s="9">
        <v>-0.35263928571428566</v>
      </c>
      <c r="H144" s="9">
        <v>0.78620000000000001</v>
      </c>
      <c r="I144" s="9">
        <v>0.1273</v>
      </c>
      <c r="J144" s="57">
        <f t="shared" si="28"/>
        <v>-0.11041229909154437</v>
      </c>
      <c r="K144" s="9">
        <v>1.2676000000000001</v>
      </c>
      <c r="L144" s="57">
        <f t="shared" si="26"/>
        <v>-0.21223043937604869</v>
      </c>
      <c r="M144" s="25">
        <v>0.26240000000000002</v>
      </c>
      <c r="N144" s="57">
        <f t="shared" si="29"/>
        <v>-0.13055003313452618</v>
      </c>
      <c r="O144" s="9">
        <v>0.43840000000000001</v>
      </c>
      <c r="P144" s="57">
        <f t="shared" si="27"/>
        <v>-0.12197075906268773</v>
      </c>
      <c r="Q144" s="9" t="s">
        <v>3477</v>
      </c>
    </row>
    <row r="145" spans="1:17" ht="42.75" customHeight="1" x14ac:dyDescent="0.25">
      <c r="A145" s="8">
        <v>8.2200000000000006</v>
      </c>
      <c r="B145" s="2" t="s">
        <v>5</v>
      </c>
      <c r="C145" s="37">
        <v>0.11559999999999999</v>
      </c>
      <c r="D145" s="9">
        <v>1.3122</v>
      </c>
      <c r="E145" s="37">
        <v>0.24859999999999999</v>
      </c>
      <c r="F145" s="9">
        <v>0.40899999999999997</v>
      </c>
      <c r="G145" s="9">
        <v>-0.35250370370370371</v>
      </c>
      <c r="H145" s="9">
        <v>0.78439999999999999</v>
      </c>
      <c r="I145" s="9">
        <v>0.1283</v>
      </c>
      <c r="J145" s="57">
        <f t="shared" si="28"/>
        <v>-0.10342417889587707</v>
      </c>
      <c r="K145" s="9">
        <v>1.2862</v>
      </c>
      <c r="L145" s="57">
        <f t="shared" si="26"/>
        <v>-0.20067118264868555</v>
      </c>
      <c r="M145" s="25">
        <v>0.26579999999999998</v>
      </c>
      <c r="N145" s="57">
        <f t="shared" si="29"/>
        <v>-0.11928429423459253</v>
      </c>
      <c r="O145" s="9">
        <v>0.43830000000000002</v>
      </c>
      <c r="P145" s="57">
        <f t="shared" si="27"/>
        <v>-0.12217103945523733</v>
      </c>
      <c r="Q145" s="9" t="s">
        <v>3476</v>
      </c>
    </row>
    <row r="146" spans="1:17" ht="42.75" customHeight="1" x14ac:dyDescent="0.25">
      <c r="A146" s="8">
        <v>8.2200000000000006</v>
      </c>
      <c r="B146" s="2" t="s">
        <v>5</v>
      </c>
      <c r="C146" s="37">
        <v>0.1125</v>
      </c>
      <c r="D146" s="9">
        <v>1.2376</v>
      </c>
      <c r="E146" s="37">
        <v>0.25090000000000001</v>
      </c>
      <c r="F146" s="9">
        <v>0.42320000000000002</v>
      </c>
      <c r="G146" s="9">
        <v>-0.32370769230769231</v>
      </c>
      <c r="H146" s="9">
        <v>0.78569999999999995</v>
      </c>
      <c r="I146" s="9">
        <v>0.12759999999999999</v>
      </c>
      <c r="J146" s="57">
        <f t="shared" si="28"/>
        <v>-0.10831586303284424</v>
      </c>
      <c r="K146" s="9">
        <v>1.2722</v>
      </c>
      <c r="L146" s="57">
        <f t="shared" si="26"/>
        <v>-0.20937169846498038</v>
      </c>
      <c r="M146" s="25">
        <v>0.26679999999999998</v>
      </c>
      <c r="N146" s="57">
        <f t="shared" si="29"/>
        <v>-0.11597084161696503</v>
      </c>
      <c r="O146" s="9">
        <v>0.43959999999999999</v>
      </c>
      <c r="P146" s="57">
        <f t="shared" si="27"/>
        <v>-0.11956739435209296</v>
      </c>
      <c r="Q146" s="9" t="s">
        <v>3475</v>
      </c>
    </row>
    <row r="147" spans="1:17" ht="42.75" customHeight="1" x14ac:dyDescent="0.25">
      <c r="A147" s="8">
        <v>8.2200000000000006</v>
      </c>
      <c r="B147" s="2" t="s">
        <v>5</v>
      </c>
      <c r="C147" s="37">
        <v>0.11269999999999999</v>
      </c>
      <c r="D147" s="9">
        <v>1.2325999999999999</v>
      </c>
      <c r="E147" s="37">
        <v>0.2432</v>
      </c>
      <c r="F147" s="9">
        <v>0.39679999999999999</v>
      </c>
      <c r="G147" s="9">
        <v>-0.34342692307692307</v>
      </c>
      <c r="H147" s="9">
        <v>0.78259999999999996</v>
      </c>
      <c r="I147" s="9">
        <v>0.12770000000000001</v>
      </c>
      <c r="J147" s="57">
        <f t="shared" si="28"/>
        <v>-0.10761705101327745</v>
      </c>
      <c r="K147" s="9">
        <v>1.2737000000000001</v>
      </c>
      <c r="L147" s="57">
        <f t="shared" ref="L147:L210" si="30">K147/1.6091 -1</f>
        <v>-0.20843950034180592</v>
      </c>
      <c r="M147" s="25">
        <v>0.26769999999999999</v>
      </c>
      <c r="N147" s="57">
        <f t="shared" si="29"/>
        <v>-0.11298873426110012</v>
      </c>
      <c r="O147" s="9">
        <v>0.44840000000000002</v>
      </c>
      <c r="P147" s="57">
        <f t="shared" ref="P147:P210" si="31">O147/0.4993 - 1</f>
        <v>-0.10194271980773084</v>
      </c>
      <c r="Q147" s="9" t="s">
        <v>3474</v>
      </c>
    </row>
    <row r="148" spans="1:17" ht="42.75" customHeight="1" x14ac:dyDescent="0.25">
      <c r="A148" s="8">
        <v>8.2100000000000009</v>
      </c>
      <c r="B148" s="2" t="s">
        <v>3468</v>
      </c>
      <c r="C148" s="37">
        <v>0.11650000000000001</v>
      </c>
      <c r="D148" s="9">
        <v>1.3861000000000001</v>
      </c>
      <c r="E148" s="37">
        <v>0.25280000000000002</v>
      </c>
      <c r="F148" s="9">
        <v>0.43980000000000002</v>
      </c>
      <c r="G148" s="9">
        <v>-0.37497666666666657</v>
      </c>
      <c r="H148" s="9">
        <v>0.78979999999999995</v>
      </c>
      <c r="I148" s="9">
        <v>0.1283</v>
      </c>
      <c r="J148" s="57">
        <f t="shared" si="28"/>
        <v>-0.10342417889587707</v>
      </c>
      <c r="K148" s="9">
        <v>1.2990999999999999</v>
      </c>
      <c r="L148" s="57">
        <f t="shared" si="30"/>
        <v>-0.19265427878938546</v>
      </c>
      <c r="M148" s="25">
        <v>0.27039999999999997</v>
      </c>
      <c r="N148" s="57">
        <f t="shared" si="29"/>
        <v>-0.10404241219350574</v>
      </c>
      <c r="O148" s="9">
        <v>0.44950000000000001</v>
      </c>
      <c r="P148" s="57">
        <f t="shared" si="31"/>
        <v>-9.9739635489685563E-2</v>
      </c>
      <c r="Q148" s="2" t="s">
        <v>3486</v>
      </c>
    </row>
    <row r="149" spans="1:17" ht="42.75" customHeight="1" x14ac:dyDescent="0.25">
      <c r="A149" s="8">
        <v>8.2100000000000009</v>
      </c>
      <c r="B149" s="2" t="s">
        <v>3468</v>
      </c>
      <c r="C149" s="37">
        <v>0.1197</v>
      </c>
      <c r="D149" s="9">
        <v>1.4125000000000001</v>
      </c>
      <c r="E149" s="37">
        <v>0.26390000000000002</v>
      </c>
      <c r="F149" s="9">
        <v>0.43980000000000002</v>
      </c>
      <c r="G149" s="9">
        <v>-0.33015357142857138</v>
      </c>
      <c r="H149" s="9">
        <v>0.79649999999999999</v>
      </c>
      <c r="I149" s="9">
        <v>0.12889999999999999</v>
      </c>
      <c r="J149" s="57">
        <f t="shared" si="28"/>
        <v>-9.9231306778476691E-2</v>
      </c>
      <c r="K149" s="9">
        <v>1.3003</v>
      </c>
      <c r="L149" s="57">
        <f t="shared" si="30"/>
        <v>-0.19190852029084582</v>
      </c>
      <c r="M149" s="25">
        <v>0.27110000000000001</v>
      </c>
      <c r="N149" s="57">
        <f t="shared" si="29"/>
        <v>-0.10172299536116636</v>
      </c>
      <c r="O149" s="9">
        <v>0.45750000000000002</v>
      </c>
      <c r="P149" s="57">
        <f t="shared" si="31"/>
        <v>-8.3717204085720032E-2</v>
      </c>
      <c r="Q149" s="2" t="s">
        <v>3473</v>
      </c>
    </row>
    <row r="150" spans="1:17" ht="42.75" customHeight="1" x14ac:dyDescent="0.25">
      <c r="A150" s="8">
        <v>8.1999999999999993</v>
      </c>
      <c r="B150" s="2" t="s">
        <v>3468</v>
      </c>
      <c r="C150" s="37">
        <v>0.11890000000000001</v>
      </c>
      <c r="D150" s="9">
        <v>1.3708</v>
      </c>
      <c r="E150" s="37">
        <v>0.28129999999999999</v>
      </c>
      <c r="F150" s="9">
        <v>0.47149999999999997</v>
      </c>
      <c r="G150" s="9">
        <v>-0.33300000000000002</v>
      </c>
      <c r="H150" s="9">
        <v>0.7964</v>
      </c>
      <c r="I150" s="9">
        <v>0.12870000000000001</v>
      </c>
      <c r="J150" s="57">
        <f t="shared" si="28"/>
        <v>-0.10062893081761004</v>
      </c>
      <c r="K150" s="9">
        <v>1.2939000000000001</v>
      </c>
      <c r="L150" s="57">
        <f t="shared" si="30"/>
        <v>-0.19588589894972341</v>
      </c>
      <c r="M150" s="25">
        <v>0.27379999999999999</v>
      </c>
      <c r="N150" s="57">
        <f t="shared" si="29"/>
        <v>-9.2776673293571976E-2</v>
      </c>
      <c r="O150" s="9">
        <v>0.45179999999999998</v>
      </c>
      <c r="P150" s="57">
        <f t="shared" si="31"/>
        <v>-9.5133186461045516E-2</v>
      </c>
      <c r="Q150" s="2" t="s">
        <v>3472</v>
      </c>
    </row>
    <row r="151" spans="1:17" ht="42.75" customHeight="1" x14ac:dyDescent="0.25">
      <c r="A151" s="8">
        <v>8.19</v>
      </c>
      <c r="B151" s="2" t="s">
        <v>3464</v>
      </c>
      <c r="C151" s="37">
        <v>8.9999999999999993E-3</v>
      </c>
      <c r="D151" s="9">
        <v>0.15959999999999999</v>
      </c>
      <c r="E151" s="37">
        <v>2.8799999999999999E-2</v>
      </c>
      <c r="F151" s="9">
        <v>7.6100000000000001E-2</v>
      </c>
      <c r="G151" s="9">
        <v>-0.18849032258064519</v>
      </c>
      <c r="H151" s="9">
        <v>6.3200000000000006E-2</v>
      </c>
      <c r="I151" s="9">
        <v>0.12239999999999999</v>
      </c>
      <c r="J151" s="57">
        <f t="shared" si="28"/>
        <v>-0.14465408805031454</v>
      </c>
      <c r="K151" s="9">
        <v>1.2022999999999999</v>
      </c>
      <c r="L151" s="57">
        <f t="shared" si="30"/>
        <v>-0.25281213100490962</v>
      </c>
      <c r="M151" s="25">
        <v>0.2606</v>
      </c>
      <c r="N151" s="57">
        <f t="shared" si="29"/>
        <v>-0.13651424784625588</v>
      </c>
      <c r="O151" s="9">
        <v>0.43569999999999998</v>
      </c>
      <c r="P151" s="57">
        <f t="shared" si="31"/>
        <v>-0.12737832966152618</v>
      </c>
      <c r="Q151" s="2" t="s">
        <v>3471</v>
      </c>
    </row>
    <row r="152" spans="1:17" ht="42.75" customHeight="1" x14ac:dyDescent="0.25">
      <c r="A152" s="8">
        <v>8.19</v>
      </c>
      <c r="B152" s="2" t="s">
        <v>5</v>
      </c>
      <c r="C152" s="37">
        <v>0.1188</v>
      </c>
      <c r="D152" s="9">
        <v>1.4075</v>
      </c>
      <c r="E152" s="37">
        <v>0.26200000000000001</v>
      </c>
      <c r="F152" s="9">
        <v>0.43469999999999998</v>
      </c>
      <c r="G152" s="9">
        <v>-0.32148214285714277</v>
      </c>
      <c r="H152" s="9">
        <v>0.78380000000000005</v>
      </c>
      <c r="I152" s="9">
        <v>0.129</v>
      </c>
      <c r="J152" s="57">
        <f t="shared" si="28"/>
        <v>-9.8532494758909905E-2</v>
      </c>
      <c r="K152" s="9">
        <v>1.2988</v>
      </c>
      <c r="L152" s="57">
        <f t="shared" si="30"/>
        <v>-0.19284071841402028</v>
      </c>
      <c r="M152" s="25">
        <v>0.26989999999999997</v>
      </c>
      <c r="N152" s="57">
        <f t="shared" si="29"/>
        <v>-0.10569913850231949</v>
      </c>
      <c r="O152" s="9">
        <v>0.44769999999999999</v>
      </c>
      <c r="P152" s="57">
        <f t="shared" si="31"/>
        <v>-0.10334468255557783</v>
      </c>
      <c r="Q152" s="2" t="s">
        <v>3470</v>
      </c>
    </row>
    <row r="153" spans="1:17" ht="42.75" customHeight="1" x14ac:dyDescent="0.25">
      <c r="A153" s="8">
        <v>8.18</v>
      </c>
      <c r="B153" s="2" t="s">
        <v>3468</v>
      </c>
      <c r="C153" s="37">
        <v>9.9599999999999994E-2</v>
      </c>
      <c r="D153" s="9">
        <v>1.1144000000000001</v>
      </c>
      <c r="E153" s="37">
        <v>0.17849999999999999</v>
      </c>
      <c r="F153" s="9">
        <v>0.30669999999999997</v>
      </c>
      <c r="G153" s="9">
        <v>-0.16226133333333331</v>
      </c>
      <c r="H153" s="9">
        <v>0.75129999999999997</v>
      </c>
      <c r="I153" s="9">
        <v>0.1255</v>
      </c>
      <c r="J153" s="57">
        <f t="shared" si="28"/>
        <v>-0.12299091544374563</v>
      </c>
      <c r="K153" s="9">
        <v>1.2597</v>
      </c>
      <c r="L153" s="57">
        <f t="shared" si="30"/>
        <v>-0.21714001615810075</v>
      </c>
      <c r="M153" s="25">
        <v>0.26050000000000001</v>
      </c>
      <c r="N153" s="57">
        <f t="shared" si="29"/>
        <v>-0.13684559310801858</v>
      </c>
      <c r="O153" s="9">
        <v>0.43140000000000001</v>
      </c>
      <c r="P153" s="57">
        <f t="shared" si="31"/>
        <v>-0.13599038654115769</v>
      </c>
      <c r="Q153" s="2" t="s">
        <v>3469</v>
      </c>
    </row>
    <row r="154" spans="1:17" ht="42.75" customHeight="1" x14ac:dyDescent="0.25">
      <c r="A154" s="8">
        <v>8.18</v>
      </c>
      <c r="B154" s="2" t="s">
        <v>3464</v>
      </c>
      <c r="C154" s="37">
        <v>1.72E-2</v>
      </c>
      <c r="D154" s="9">
        <v>0.36809999999999998</v>
      </c>
      <c r="E154" s="37">
        <v>5.3499999999999999E-2</v>
      </c>
      <c r="F154" s="9">
        <v>0.12620000000000001</v>
      </c>
      <c r="G154" s="9">
        <v>-0.236471875</v>
      </c>
      <c r="H154" s="9">
        <v>0.13500000000000001</v>
      </c>
      <c r="I154" s="9">
        <v>0.1225</v>
      </c>
      <c r="J154" s="57">
        <f t="shared" si="28"/>
        <v>-0.14395527603074776</v>
      </c>
      <c r="K154" s="9">
        <v>1.2150000000000001</v>
      </c>
      <c r="L154" s="57">
        <f t="shared" si="30"/>
        <v>-0.24491952022869923</v>
      </c>
      <c r="M154" s="25">
        <v>0.26340000000000002</v>
      </c>
      <c r="N154" s="57">
        <f t="shared" si="29"/>
        <v>-0.12723658051689857</v>
      </c>
      <c r="O154" s="9">
        <v>0.4425</v>
      </c>
      <c r="P154" s="57">
        <f t="shared" si="31"/>
        <v>-0.11375926296815542</v>
      </c>
      <c r="Q154" s="2" t="s">
        <v>3467</v>
      </c>
    </row>
    <row r="155" spans="1:17" ht="42.75" customHeight="1" x14ac:dyDescent="0.25">
      <c r="A155" s="8">
        <v>8.18</v>
      </c>
      <c r="B155" s="2" t="s">
        <v>3464</v>
      </c>
      <c r="C155" s="37">
        <v>1.04E-2</v>
      </c>
      <c r="D155" s="9">
        <v>0.19689999999999999</v>
      </c>
      <c r="E155" s="37">
        <v>2.35E-2</v>
      </c>
      <c r="F155" s="9">
        <v>5.91E-2</v>
      </c>
      <c r="G155" s="9">
        <v>-0.22618275862068968</v>
      </c>
      <c r="H155" s="9">
        <v>9.1999999999999998E-2</v>
      </c>
      <c r="I155" s="9">
        <v>0.1221</v>
      </c>
      <c r="J155" s="57">
        <f t="shared" si="28"/>
        <v>-0.14675052410901468</v>
      </c>
      <c r="K155" s="9">
        <v>1.1978</v>
      </c>
      <c r="L155" s="57">
        <f t="shared" si="30"/>
        <v>-0.25560872537443291</v>
      </c>
      <c r="M155" s="25">
        <v>0.26119999999999999</v>
      </c>
      <c r="N155" s="57">
        <f t="shared" si="29"/>
        <v>-0.13452617627567931</v>
      </c>
      <c r="O155" s="9">
        <v>0.4345</v>
      </c>
      <c r="P155" s="57">
        <f t="shared" si="31"/>
        <v>-0.12978169437212106</v>
      </c>
      <c r="Q155" s="2" t="s">
        <v>3466</v>
      </c>
    </row>
    <row r="156" spans="1:17" ht="42.75" customHeight="1" x14ac:dyDescent="0.25">
      <c r="A156" s="8">
        <v>8.18</v>
      </c>
      <c r="B156" s="2" t="s">
        <v>3464</v>
      </c>
      <c r="C156" s="37">
        <v>0.11849999999999999</v>
      </c>
      <c r="D156" s="9">
        <v>1.3826000000000001</v>
      </c>
      <c r="E156" s="37">
        <v>0.25609999999999999</v>
      </c>
      <c r="F156" s="9">
        <v>0.43109999999999998</v>
      </c>
      <c r="G156" s="9">
        <v>-0.31205000000000005</v>
      </c>
      <c r="H156" s="9">
        <v>0.7964</v>
      </c>
      <c r="I156" s="9">
        <v>0.12859999999999999</v>
      </c>
      <c r="J156" s="57">
        <f t="shared" si="28"/>
        <v>-0.10132774283717694</v>
      </c>
      <c r="K156" s="9">
        <v>1.2921</v>
      </c>
      <c r="L156" s="57">
        <f t="shared" si="30"/>
        <v>-0.19700453669753271</v>
      </c>
      <c r="M156" s="25">
        <v>0.26250000000000001</v>
      </c>
      <c r="N156" s="57">
        <f t="shared" si="29"/>
        <v>-0.13021868787276347</v>
      </c>
      <c r="O156" s="9">
        <v>0.43709999999999999</v>
      </c>
      <c r="P156" s="57">
        <f t="shared" si="31"/>
        <v>-0.12457440416583221</v>
      </c>
      <c r="Q156" s="2" t="s">
        <v>3465</v>
      </c>
    </row>
    <row r="157" spans="1:17" ht="42.75" customHeight="1" x14ac:dyDescent="0.25">
      <c r="A157" s="8">
        <v>8.18</v>
      </c>
      <c r="B157" s="2" t="s">
        <v>5</v>
      </c>
      <c r="C157" s="37">
        <v>0.1226</v>
      </c>
      <c r="D157" s="9">
        <v>1.4211</v>
      </c>
      <c r="E157" s="37">
        <v>0.27060000000000001</v>
      </c>
      <c r="F157" s="9">
        <v>0.44269999999999998</v>
      </c>
      <c r="G157" s="9">
        <v>-0.32181724137931034</v>
      </c>
      <c r="H157" s="9">
        <v>0.80079999999999996</v>
      </c>
      <c r="I157" s="9">
        <v>0.1293</v>
      </c>
      <c r="J157" s="57">
        <f t="shared" si="28"/>
        <v>-9.6436058700209659E-2</v>
      </c>
      <c r="K157" s="9">
        <v>1.3005</v>
      </c>
      <c r="L157" s="57">
        <f t="shared" si="30"/>
        <v>-0.1917842272077559</v>
      </c>
      <c r="M157" s="25">
        <v>0.27379999999999999</v>
      </c>
      <c r="N157" s="57">
        <f t="shared" si="29"/>
        <v>-9.2776673293571976E-2</v>
      </c>
      <c r="O157" s="9">
        <v>0.45079999999999998</v>
      </c>
      <c r="P157" s="57">
        <f t="shared" si="31"/>
        <v>-9.7135990386541193E-2</v>
      </c>
      <c r="Q157" s="2" t="s">
        <v>3463</v>
      </c>
    </row>
    <row r="158" spans="1:17" ht="42.75" customHeight="1" x14ac:dyDescent="0.25">
      <c r="A158" s="8">
        <v>8.18</v>
      </c>
      <c r="B158" s="2" t="s">
        <v>5</v>
      </c>
      <c r="C158" s="37">
        <v>0.11749999999999999</v>
      </c>
      <c r="D158" s="9">
        <v>1.3949</v>
      </c>
      <c r="E158" s="37">
        <v>0.24809999999999999</v>
      </c>
      <c r="F158" s="9">
        <v>0.41460000000000002</v>
      </c>
      <c r="G158" s="9">
        <v>-0.31539999999999996</v>
      </c>
      <c r="H158" s="9">
        <v>0.78590000000000004</v>
      </c>
      <c r="I158" s="9">
        <v>0.12870000000000001</v>
      </c>
      <c r="J158" s="57">
        <f t="shared" si="28"/>
        <v>-0.10062893081761004</v>
      </c>
      <c r="K158" s="9">
        <v>1.2968</v>
      </c>
      <c r="L158" s="57">
        <f t="shared" si="30"/>
        <v>-0.1940836492449195</v>
      </c>
      <c r="M158" s="25">
        <v>0.27650000000000002</v>
      </c>
      <c r="N158" s="57">
        <f t="shared" si="29"/>
        <v>-8.3830351225977484E-2</v>
      </c>
      <c r="O158" s="9">
        <v>0.4572</v>
      </c>
      <c r="P158" s="57">
        <f t="shared" si="31"/>
        <v>-8.4318045263368724E-2</v>
      </c>
      <c r="Q158" s="2" t="s">
        <v>3462</v>
      </c>
    </row>
    <row r="159" spans="1:17" ht="42.75" customHeight="1" x14ac:dyDescent="0.25">
      <c r="A159" s="8">
        <v>8.17</v>
      </c>
      <c r="B159" s="2" t="s">
        <v>5</v>
      </c>
      <c r="C159" s="37">
        <v>0.1245</v>
      </c>
      <c r="D159" s="9">
        <v>1.5217000000000001</v>
      </c>
      <c r="E159" s="37">
        <v>0.26960000000000001</v>
      </c>
      <c r="F159" s="9">
        <v>0.45090000000000002</v>
      </c>
      <c r="G159" s="9">
        <v>-0.29708571428571423</v>
      </c>
      <c r="H159" s="9">
        <v>0.76559999999999995</v>
      </c>
      <c r="I159" s="9">
        <v>0.13039999999999999</v>
      </c>
      <c r="J159" s="57">
        <f t="shared" si="28"/>
        <v>-8.8749126484975682E-2</v>
      </c>
      <c r="K159" s="9">
        <v>1.3186</v>
      </c>
      <c r="L159" s="57">
        <f t="shared" si="30"/>
        <v>-0.18053570318811762</v>
      </c>
      <c r="M159" s="25">
        <v>0.2838</v>
      </c>
      <c r="N159" s="57">
        <f t="shared" si="29"/>
        <v>-5.9642147117296318E-2</v>
      </c>
      <c r="O159" s="9">
        <v>0.46989999999999998</v>
      </c>
      <c r="P159" s="57">
        <f t="shared" si="31"/>
        <v>-5.8882435409573497E-2</v>
      </c>
      <c r="Q159" s="2" t="s">
        <v>3460</v>
      </c>
    </row>
    <row r="160" spans="1:17" ht="42.75" customHeight="1" x14ac:dyDescent="0.25">
      <c r="A160" s="8">
        <v>8.17</v>
      </c>
      <c r="B160" s="2" t="s">
        <v>5</v>
      </c>
      <c r="C160" s="37">
        <v>0.1225</v>
      </c>
      <c r="D160" s="9">
        <v>1.5294000000000001</v>
      </c>
      <c r="E160" s="37">
        <v>0.26179999999999998</v>
      </c>
      <c r="F160" s="9">
        <v>0.42699999999999999</v>
      </c>
      <c r="G160" s="9">
        <v>-0.2990793103448276</v>
      </c>
      <c r="H160" s="9">
        <v>0.74950000000000006</v>
      </c>
      <c r="I160" s="9">
        <v>0.1303</v>
      </c>
      <c r="J160" s="57">
        <f t="shared" si="28"/>
        <v>-8.9447938504542357E-2</v>
      </c>
      <c r="K160" s="9">
        <v>1.3223</v>
      </c>
      <c r="L160" s="57">
        <f t="shared" si="30"/>
        <v>-0.17823628115095391</v>
      </c>
      <c r="M160" s="25">
        <v>0.27900000000000003</v>
      </c>
      <c r="N160" s="57">
        <f t="shared" si="29"/>
        <v>-7.5546719681908514E-2</v>
      </c>
      <c r="O160" s="9">
        <v>0.46279999999999999</v>
      </c>
      <c r="P160" s="57">
        <f t="shared" si="31"/>
        <v>-7.3102343280592841E-2</v>
      </c>
      <c r="Q160" s="2" t="s">
        <v>3461</v>
      </c>
    </row>
    <row r="161" spans="1:17" ht="42.75" customHeight="1" x14ac:dyDescent="0.25">
      <c r="A161" s="8">
        <v>8.17</v>
      </c>
      <c r="B161" s="2" t="s">
        <v>5</v>
      </c>
      <c r="C161" s="37">
        <v>0.1242</v>
      </c>
      <c r="D161" s="9">
        <v>1.5452999999999999</v>
      </c>
      <c r="E161" s="37">
        <v>0.26429999999999998</v>
      </c>
      <c r="F161" s="9">
        <v>0.44290000000000002</v>
      </c>
      <c r="G161" s="9">
        <v>-0.28525909090909091</v>
      </c>
      <c r="H161" s="9">
        <v>0.76429999999999998</v>
      </c>
      <c r="I161" s="9">
        <v>0.13039999999999999</v>
      </c>
      <c r="J161" s="57">
        <f t="shared" si="28"/>
        <v>-8.8749126484975682E-2</v>
      </c>
      <c r="K161" s="9">
        <v>1.3247</v>
      </c>
      <c r="L161" s="57">
        <f t="shared" si="30"/>
        <v>-0.17674476415387486</v>
      </c>
      <c r="M161" s="25">
        <v>0.27779999999999999</v>
      </c>
      <c r="N161" s="57">
        <f t="shared" si="29"/>
        <v>-7.9522862823061646E-2</v>
      </c>
      <c r="O161" s="9">
        <v>0.4652</v>
      </c>
      <c r="P161" s="57">
        <f t="shared" si="31"/>
        <v>-6.8295613859403193E-2</v>
      </c>
      <c r="Q161" s="2" t="s">
        <v>3459</v>
      </c>
    </row>
    <row r="162" spans="1:17" ht="42.75" customHeight="1" x14ac:dyDescent="0.25">
      <c r="A162" s="8">
        <v>8.1300000000000008</v>
      </c>
      <c r="B162" s="2" t="s">
        <v>127</v>
      </c>
      <c r="C162" s="37">
        <v>0.1152</v>
      </c>
      <c r="D162" s="9">
        <v>1.4330000000000001</v>
      </c>
      <c r="E162" s="37">
        <v>0.25480000000000003</v>
      </c>
      <c r="F162" s="9">
        <v>0.43630000000000002</v>
      </c>
      <c r="G162" s="9">
        <v>-0.31449999999999995</v>
      </c>
      <c r="H162" s="9">
        <v>0.73250000000000004</v>
      </c>
      <c r="I162" s="9">
        <v>0.12920000000000001</v>
      </c>
      <c r="J162" s="57">
        <f t="shared" si="28"/>
        <v>-9.7134870719776334E-2</v>
      </c>
      <c r="K162" s="9">
        <v>1.3022</v>
      </c>
      <c r="L162" s="57">
        <f t="shared" si="30"/>
        <v>-0.19072773600149151</v>
      </c>
      <c r="M162" s="25">
        <v>0.27360000000000001</v>
      </c>
      <c r="N162" s="57">
        <f t="shared" si="29"/>
        <v>-9.3439363817097387E-2</v>
      </c>
      <c r="O162" s="9">
        <v>0.45789999999999997</v>
      </c>
      <c r="P162" s="57">
        <f t="shared" si="31"/>
        <v>-8.2916082515521849E-2</v>
      </c>
      <c r="Q162" s="2" t="s">
        <v>3455</v>
      </c>
    </row>
    <row r="163" spans="1:17" ht="42.75" customHeight="1" x14ac:dyDescent="0.25">
      <c r="A163" s="8">
        <v>8.1300000000000008</v>
      </c>
      <c r="B163" s="2" t="s">
        <v>127</v>
      </c>
      <c r="C163" s="37">
        <v>0.11509999999999999</v>
      </c>
      <c r="D163" s="9">
        <v>1.4311</v>
      </c>
      <c r="E163" s="37">
        <v>0.25559999999999999</v>
      </c>
      <c r="F163" s="9">
        <v>0.437</v>
      </c>
      <c r="H163" s="9">
        <v>0.73199999999999998</v>
      </c>
      <c r="I163" s="9">
        <v>0.12920000000000001</v>
      </c>
      <c r="J163" s="57">
        <f t="shared" si="28"/>
        <v>-9.7134870719776334E-2</v>
      </c>
      <c r="K163" s="9">
        <v>1.3013999999999999</v>
      </c>
      <c r="L163" s="57">
        <f t="shared" si="30"/>
        <v>-0.19122490833385131</v>
      </c>
      <c r="M163" s="25">
        <v>0.2732</v>
      </c>
      <c r="N163" s="57">
        <f t="shared" si="29"/>
        <v>-9.4764744864148431E-2</v>
      </c>
      <c r="O163" s="9">
        <v>0.45519999999999999</v>
      </c>
      <c r="P163" s="57">
        <f t="shared" si="31"/>
        <v>-8.832365311436019E-2</v>
      </c>
      <c r="Q163" s="2" t="s">
        <v>3456</v>
      </c>
    </row>
    <row r="164" spans="1:17" ht="42.75" customHeight="1" x14ac:dyDescent="0.25">
      <c r="A164" s="8">
        <v>8.1300000000000008</v>
      </c>
      <c r="B164" s="2" t="s">
        <v>8</v>
      </c>
      <c r="C164" s="37">
        <v>0.12540000000000001</v>
      </c>
      <c r="D164" s="9">
        <v>1.5610999999999999</v>
      </c>
      <c r="E164" s="37">
        <v>0.25569999999999998</v>
      </c>
      <c r="F164" s="9">
        <v>0.43690000000000001</v>
      </c>
      <c r="G164" s="9">
        <v>-0.33558620689655178</v>
      </c>
      <c r="H164" s="9">
        <v>0.78259999999999996</v>
      </c>
      <c r="I164" s="9">
        <v>0.13020000000000001</v>
      </c>
      <c r="J164" s="57">
        <f t="shared" ref="J164:J227" si="32">I164/0.1431-1</f>
        <v>-9.0146750524108921E-2</v>
      </c>
      <c r="K164" s="9">
        <v>1.3282</v>
      </c>
      <c r="L164" s="57">
        <f t="shared" si="30"/>
        <v>-0.17456963519980107</v>
      </c>
      <c r="M164" s="25">
        <v>0.27610000000000001</v>
      </c>
      <c r="N164" s="57">
        <f t="shared" ref="N164:N227" si="33">M164/0.3018-1</f>
        <v>-8.5155732273028528E-2</v>
      </c>
      <c r="O164" s="9">
        <v>0.4587</v>
      </c>
      <c r="P164" s="57">
        <f t="shared" si="31"/>
        <v>-8.1313839375125263E-2</v>
      </c>
      <c r="Q164" s="2" t="s">
        <v>3455</v>
      </c>
    </row>
    <row r="165" spans="1:17" ht="42.75" customHeight="1" x14ac:dyDescent="0.25">
      <c r="A165" s="8">
        <v>8.1300000000000008</v>
      </c>
      <c r="B165" s="2" t="s">
        <v>8</v>
      </c>
      <c r="C165" s="37">
        <v>0.1255</v>
      </c>
      <c r="D165" s="9">
        <v>1.5647</v>
      </c>
      <c r="E165" s="37">
        <v>0.25679999999999997</v>
      </c>
      <c r="F165" s="9">
        <v>0.43680000000000002</v>
      </c>
      <c r="H165" s="9">
        <v>0.78259999999999996</v>
      </c>
      <c r="I165" s="9">
        <v>0.13020000000000001</v>
      </c>
      <c r="J165" s="57">
        <f t="shared" si="32"/>
        <v>-9.0146750524108921E-2</v>
      </c>
      <c r="K165" s="9">
        <v>1.3286</v>
      </c>
      <c r="L165" s="57">
        <f t="shared" si="30"/>
        <v>-0.17432104903362122</v>
      </c>
      <c r="M165" s="25">
        <v>0.27600000000000002</v>
      </c>
      <c r="N165" s="57">
        <f t="shared" si="33"/>
        <v>-8.5487077534791234E-2</v>
      </c>
      <c r="O165" s="9">
        <v>0.45779999999999998</v>
      </c>
      <c r="P165" s="57">
        <f t="shared" si="31"/>
        <v>-8.311636290807134E-2</v>
      </c>
      <c r="Q165" s="2" t="s">
        <v>3456</v>
      </c>
    </row>
    <row r="166" spans="1:17" ht="42.75" customHeight="1" x14ac:dyDescent="0.25">
      <c r="A166" s="8">
        <v>8.16</v>
      </c>
      <c r="B166" s="9" t="s">
        <v>5</v>
      </c>
      <c r="C166" s="37">
        <v>0.1245</v>
      </c>
      <c r="D166" s="9">
        <v>1.5471999999999999</v>
      </c>
      <c r="E166" s="37">
        <v>0.26840000000000003</v>
      </c>
      <c r="F166" s="9">
        <v>0.45760000000000001</v>
      </c>
      <c r="H166" s="9">
        <v>0.75509999999999999</v>
      </c>
      <c r="I166" s="9">
        <v>0.13059999999999999</v>
      </c>
      <c r="J166" s="57">
        <f t="shared" si="32"/>
        <v>-8.7351502445842111E-2</v>
      </c>
      <c r="K166" s="9">
        <v>1.3239000000000001</v>
      </c>
      <c r="L166" s="57">
        <f t="shared" si="30"/>
        <v>-0.17724193648623443</v>
      </c>
      <c r="M166" s="25">
        <v>0.28299999999999997</v>
      </c>
      <c r="N166" s="57">
        <f t="shared" si="33"/>
        <v>-6.2292909211398406E-2</v>
      </c>
      <c r="O166" s="9">
        <v>0.4708</v>
      </c>
      <c r="P166" s="57">
        <f t="shared" si="31"/>
        <v>-5.7079911876627309E-2</v>
      </c>
      <c r="Q166" s="9" t="s">
        <v>3458</v>
      </c>
    </row>
    <row r="167" spans="1:17" ht="42.75" customHeight="1" x14ac:dyDescent="0.25">
      <c r="A167" s="8">
        <v>8.16</v>
      </c>
      <c r="B167" s="9" t="s">
        <v>5</v>
      </c>
      <c r="C167" s="37">
        <v>0.1245</v>
      </c>
      <c r="D167" s="9">
        <v>1.5452999999999999</v>
      </c>
      <c r="E167" s="37">
        <v>0.26840000000000003</v>
      </c>
      <c r="F167" s="9">
        <v>0.45500000000000002</v>
      </c>
      <c r="H167" s="9">
        <v>0.75470000000000004</v>
      </c>
      <c r="I167" s="9">
        <v>0.13059999999999999</v>
      </c>
      <c r="J167" s="57">
        <f t="shared" si="32"/>
        <v>-8.7351502445842111E-2</v>
      </c>
      <c r="K167" s="9">
        <v>1.3239000000000001</v>
      </c>
      <c r="L167" s="57">
        <f t="shared" si="30"/>
        <v>-0.17724193648623443</v>
      </c>
      <c r="M167" s="25">
        <v>0.2838</v>
      </c>
      <c r="N167" s="57">
        <f t="shared" si="33"/>
        <v>-5.9642147117296318E-2</v>
      </c>
      <c r="O167" s="9">
        <v>0.47220000000000001</v>
      </c>
      <c r="P167" s="57">
        <f t="shared" si="31"/>
        <v>-5.4275986380933339E-2</v>
      </c>
      <c r="Q167" s="9" t="s">
        <v>3457</v>
      </c>
    </row>
    <row r="168" spans="1:17" ht="42.75" customHeight="1" x14ac:dyDescent="0.25">
      <c r="A168" s="8">
        <v>8.1300000000000008</v>
      </c>
      <c r="B168" s="2" t="s">
        <v>5</v>
      </c>
      <c r="C168" s="37">
        <v>0.1245</v>
      </c>
      <c r="D168" s="9">
        <v>1.5217000000000001</v>
      </c>
      <c r="E168" s="37">
        <v>0.26960000000000001</v>
      </c>
      <c r="F168" s="9">
        <v>0.45090000000000002</v>
      </c>
      <c r="G168" s="9">
        <v>-0.29298888888888891</v>
      </c>
      <c r="H168" s="9">
        <v>0.76559999999999995</v>
      </c>
      <c r="I168" s="9">
        <v>0.13039999999999999</v>
      </c>
      <c r="J168" s="57">
        <f t="shared" si="32"/>
        <v>-8.8749126484975682E-2</v>
      </c>
      <c r="K168" s="9">
        <v>1.3186</v>
      </c>
      <c r="L168" s="57">
        <f t="shared" si="30"/>
        <v>-0.18053570318811762</v>
      </c>
      <c r="M168" s="25">
        <v>0.2838</v>
      </c>
      <c r="N168" s="57">
        <f t="shared" si="33"/>
        <v>-5.9642147117296318E-2</v>
      </c>
      <c r="O168" s="9">
        <v>0.46989999999999998</v>
      </c>
      <c r="P168" s="57">
        <f t="shared" si="31"/>
        <v>-5.8882435409573497E-2</v>
      </c>
      <c r="Q168" s="2" t="s">
        <v>3455</v>
      </c>
    </row>
    <row r="169" spans="1:17" ht="42.75" customHeight="1" x14ac:dyDescent="0.25">
      <c r="A169" s="8">
        <v>8.1300000000000008</v>
      </c>
      <c r="B169" s="2" t="s">
        <v>5</v>
      </c>
      <c r="C169" s="37">
        <v>0.1244</v>
      </c>
      <c r="D169" s="9">
        <v>1.5182</v>
      </c>
      <c r="E169" s="37">
        <v>0.26679999999999998</v>
      </c>
      <c r="F169" s="9">
        <v>0.4451</v>
      </c>
      <c r="H169" s="9">
        <v>0.76419999999999999</v>
      </c>
      <c r="I169" s="9">
        <v>0.13039999999999999</v>
      </c>
      <c r="J169" s="57">
        <f t="shared" si="32"/>
        <v>-8.8749126484975682E-2</v>
      </c>
      <c r="K169" s="9">
        <v>1.3182</v>
      </c>
      <c r="L169" s="57">
        <f t="shared" si="30"/>
        <v>-0.18078428935429736</v>
      </c>
      <c r="M169" s="25">
        <v>0.28310000000000002</v>
      </c>
      <c r="N169" s="57">
        <f t="shared" si="33"/>
        <v>-6.1961563949635479E-2</v>
      </c>
      <c r="O169" s="9">
        <v>0.46829999999999999</v>
      </c>
      <c r="P169" s="57">
        <f t="shared" si="31"/>
        <v>-6.2086921690366559E-2</v>
      </c>
      <c r="Q169" s="2" t="s">
        <v>3456</v>
      </c>
    </row>
    <row r="170" spans="1:17" ht="42.75" customHeight="1" x14ac:dyDescent="0.25">
      <c r="A170" s="8">
        <v>8.11</v>
      </c>
      <c r="B170" s="2" t="s">
        <v>3446</v>
      </c>
      <c r="C170" s="37">
        <v>0.12239999999999999</v>
      </c>
      <c r="D170" s="9">
        <v>1.4662999999999999</v>
      </c>
      <c r="E170" s="37">
        <v>0.26029999999999998</v>
      </c>
      <c r="F170" s="9">
        <v>0.43469999999999998</v>
      </c>
      <c r="G170" s="9">
        <v>-0.313046875</v>
      </c>
      <c r="H170" s="9">
        <v>0.80710000000000004</v>
      </c>
      <c r="I170" s="9">
        <v>0.1298</v>
      </c>
      <c r="J170" s="57">
        <f t="shared" si="32"/>
        <v>-9.2941998602375953E-2</v>
      </c>
      <c r="K170" s="9">
        <v>1.3115000000000001</v>
      </c>
      <c r="L170" s="57">
        <f t="shared" si="30"/>
        <v>-0.18494810763780989</v>
      </c>
      <c r="M170" s="25">
        <v>0.26790000000000003</v>
      </c>
      <c r="N170" s="57">
        <f t="shared" si="33"/>
        <v>-0.11232604373757449</v>
      </c>
      <c r="O170" s="9">
        <v>0.44359999999999999</v>
      </c>
      <c r="P170" s="57">
        <f t="shared" si="31"/>
        <v>-0.11155617865011025</v>
      </c>
      <c r="Q170" s="9" t="s">
        <v>3448</v>
      </c>
    </row>
    <row r="171" spans="1:17" ht="42.75" customHeight="1" x14ac:dyDescent="0.25">
      <c r="A171" s="8">
        <v>8.11</v>
      </c>
      <c r="B171" s="2" t="s">
        <v>3449</v>
      </c>
      <c r="C171" s="37">
        <v>8.6499999999999994E-2</v>
      </c>
      <c r="D171" s="9">
        <v>1.1798</v>
      </c>
      <c r="E171" s="37">
        <v>0.2235</v>
      </c>
      <c r="F171" s="9">
        <v>0.38390000000000002</v>
      </c>
      <c r="G171" s="9">
        <v>-0.24074193548387099</v>
      </c>
      <c r="H171" s="9">
        <v>0.66820000000000002</v>
      </c>
      <c r="I171" s="9">
        <v>0.12670000000000001</v>
      </c>
      <c r="J171" s="57">
        <f t="shared" si="32"/>
        <v>-0.11460517120894476</v>
      </c>
      <c r="K171" s="9">
        <v>1.2730999999999999</v>
      </c>
      <c r="L171" s="57">
        <f t="shared" si="30"/>
        <v>-0.20881237959107579</v>
      </c>
      <c r="M171" s="25">
        <v>0.26340000000000002</v>
      </c>
      <c r="N171" s="57">
        <f t="shared" si="33"/>
        <v>-0.12723658051689857</v>
      </c>
      <c r="O171" s="9">
        <v>0.43419999999999997</v>
      </c>
      <c r="P171" s="57">
        <f t="shared" si="31"/>
        <v>-0.13038253554976975</v>
      </c>
      <c r="Q171" s="9" t="s">
        <v>3450</v>
      </c>
    </row>
    <row r="172" spans="1:17" ht="42.75" customHeight="1" x14ac:dyDescent="0.25">
      <c r="A172" s="8">
        <v>8.1199999999999992</v>
      </c>
      <c r="B172" s="2" t="s">
        <v>3454</v>
      </c>
      <c r="C172" s="37">
        <v>2.9499999999999998E-2</v>
      </c>
      <c r="D172" s="9">
        <v>0.39439999999999997</v>
      </c>
      <c r="E172" s="37">
        <v>0.10580000000000001</v>
      </c>
      <c r="F172" s="9">
        <v>0.219</v>
      </c>
      <c r="G172" s="9">
        <v>-0.34194375000000005</v>
      </c>
      <c r="H172" s="9">
        <v>0.19969999999999999</v>
      </c>
      <c r="I172" s="9">
        <v>0.1235</v>
      </c>
      <c r="J172" s="57">
        <f t="shared" si="32"/>
        <v>-0.13696715583508046</v>
      </c>
      <c r="K172" s="9">
        <v>1.1868000000000001</v>
      </c>
      <c r="L172" s="57">
        <f t="shared" si="30"/>
        <v>-0.26244484494437881</v>
      </c>
      <c r="M172" s="25">
        <v>0.26519999999999999</v>
      </c>
      <c r="N172" s="57">
        <f t="shared" si="33"/>
        <v>-0.12127236580516909</v>
      </c>
      <c r="O172" s="9">
        <v>0.44840000000000002</v>
      </c>
      <c r="P172" s="57">
        <f t="shared" si="31"/>
        <v>-0.10194271980773084</v>
      </c>
      <c r="Q172" s="9" t="s">
        <v>3453</v>
      </c>
    </row>
    <row r="173" spans="1:17" ht="42.75" customHeight="1" x14ac:dyDescent="0.25">
      <c r="A173" s="8">
        <v>8.1199999999999992</v>
      </c>
      <c r="B173" s="2" t="s">
        <v>3452</v>
      </c>
      <c r="C173" s="37">
        <v>1.5100000000000001E-2</v>
      </c>
      <c r="D173" s="9">
        <v>0.22189999999999999</v>
      </c>
      <c r="E173" s="37">
        <v>6.5500000000000003E-2</v>
      </c>
      <c r="F173" s="9">
        <v>0.1321</v>
      </c>
      <c r="G173" s="9">
        <v>-0.32415555555555547</v>
      </c>
      <c r="H173" s="9">
        <v>0.1067</v>
      </c>
      <c r="I173" s="9">
        <v>0.1225</v>
      </c>
      <c r="J173" s="57">
        <f t="shared" si="32"/>
        <v>-0.14395527603074776</v>
      </c>
      <c r="K173" s="9">
        <v>1.1971000000000001</v>
      </c>
      <c r="L173" s="57">
        <f t="shared" si="30"/>
        <v>-0.25604375116524758</v>
      </c>
      <c r="M173" s="25">
        <v>0.25940000000000002</v>
      </c>
      <c r="N173" s="57">
        <f t="shared" si="33"/>
        <v>-0.1404903909874089</v>
      </c>
      <c r="O173" s="9">
        <v>0.434</v>
      </c>
      <c r="P173" s="57">
        <f t="shared" si="31"/>
        <v>-0.13078309633486884</v>
      </c>
      <c r="Q173" s="9" t="s">
        <v>3451</v>
      </c>
    </row>
    <row r="174" spans="1:17" ht="42.75" customHeight="1" x14ac:dyDescent="0.25">
      <c r="A174" s="8">
        <v>8.11</v>
      </c>
      <c r="B174" s="2" t="s">
        <v>3446</v>
      </c>
      <c r="C174" s="37">
        <v>0.1225</v>
      </c>
      <c r="D174" s="9">
        <v>1.4651000000000001</v>
      </c>
      <c r="E174" s="37">
        <v>0.2571</v>
      </c>
      <c r="F174" s="9">
        <v>0.43780000000000002</v>
      </c>
      <c r="G174" s="9">
        <v>-0.30774285714285715</v>
      </c>
      <c r="H174" s="9">
        <v>0.81589999999999996</v>
      </c>
      <c r="I174" s="9">
        <v>0.12959999999999999</v>
      </c>
      <c r="J174" s="57">
        <f t="shared" si="32"/>
        <v>-9.4339622641509524E-2</v>
      </c>
      <c r="K174" s="9">
        <v>1.3078000000000001</v>
      </c>
      <c r="L174" s="57">
        <f t="shared" si="30"/>
        <v>-0.18724752967497349</v>
      </c>
      <c r="M174" s="25">
        <v>0.27050000000000002</v>
      </c>
      <c r="N174" s="57">
        <f t="shared" si="33"/>
        <v>-0.10371106693174281</v>
      </c>
      <c r="O174" s="9">
        <v>0.4461</v>
      </c>
      <c r="P174" s="57">
        <f t="shared" si="31"/>
        <v>-0.106549168836371</v>
      </c>
      <c r="Q174" s="2" t="s">
        <v>3447</v>
      </c>
    </row>
    <row r="175" spans="1:17" ht="42.75" customHeight="1" x14ac:dyDescent="0.25">
      <c r="A175" s="8">
        <v>8.09</v>
      </c>
      <c r="B175" s="2" t="s">
        <v>127</v>
      </c>
      <c r="C175" s="37">
        <v>0.11849999999999999</v>
      </c>
      <c r="D175" s="9">
        <v>1.377</v>
      </c>
      <c r="E175" s="37">
        <v>0.2243</v>
      </c>
      <c r="F175" s="9">
        <v>0.37530000000000002</v>
      </c>
      <c r="G175" s="9">
        <v>-0.35968709677419369</v>
      </c>
      <c r="H175" s="9">
        <v>0.81699999999999995</v>
      </c>
      <c r="I175" s="9">
        <v>0.128</v>
      </c>
      <c r="J175" s="57">
        <f t="shared" si="32"/>
        <v>-0.10552061495457721</v>
      </c>
      <c r="K175" s="9">
        <v>1.2904</v>
      </c>
      <c r="L175" s="57">
        <f t="shared" si="30"/>
        <v>-0.19806102790379709</v>
      </c>
      <c r="M175" s="25">
        <v>0.26619999999999999</v>
      </c>
      <c r="N175" s="57">
        <f t="shared" si="33"/>
        <v>-0.11795891318754148</v>
      </c>
      <c r="O175" s="9">
        <v>0.43909999999999999</v>
      </c>
      <c r="P175" s="57">
        <f t="shared" si="31"/>
        <v>-0.12056879631484085</v>
      </c>
      <c r="Q175" s="2" t="s">
        <v>3437</v>
      </c>
    </row>
    <row r="176" spans="1:17" ht="42.75" customHeight="1" x14ac:dyDescent="0.25">
      <c r="A176" s="8">
        <v>8.09</v>
      </c>
      <c r="B176" s="2" t="s">
        <v>127</v>
      </c>
      <c r="C176" s="37">
        <v>0.11409999999999999</v>
      </c>
      <c r="D176" s="9">
        <v>1.4326000000000001</v>
      </c>
      <c r="E176" s="37">
        <v>0.24840000000000001</v>
      </c>
      <c r="F176" s="9">
        <v>0.41470000000000001</v>
      </c>
      <c r="G176" s="9">
        <v>-0.34661818181818183</v>
      </c>
      <c r="H176" s="9">
        <v>0.74570000000000003</v>
      </c>
      <c r="I176" s="9">
        <v>0.12870000000000001</v>
      </c>
      <c r="J176" s="57">
        <f t="shared" si="32"/>
        <v>-0.10062893081761004</v>
      </c>
      <c r="K176" s="9">
        <v>1.3047</v>
      </c>
      <c r="L176" s="57">
        <f t="shared" si="30"/>
        <v>-0.18917407246286744</v>
      </c>
      <c r="M176" s="25">
        <v>0.2717</v>
      </c>
      <c r="N176" s="57">
        <f t="shared" si="33"/>
        <v>-9.9734923790589791E-2</v>
      </c>
      <c r="O176" s="9">
        <v>0.4486</v>
      </c>
      <c r="P176" s="57">
        <f t="shared" si="31"/>
        <v>-0.10154215902263175</v>
      </c>
      <c r="Q176" s="2" t="s">
        <v>3436</v>
      </c>
    </row>
    <row r="177" spans="1:17" ht="42.75" customHeight="1" x14ac:dyDescent="0.25">
      <c r="A177" s="8">
        <v>8.09</v>
      </c>
      <c r="B177" s="2" t="s">
        <v>8</v>
      </c>
      <c r="C177" s="37">
        <v>0.124</v>
      </c>
      <c r="D177" s="9">
        <v>1.4896</v>
      </c>
      <c r="E177" s="37">
        <v>0.24149999999999999</v>
      </c>
      <c r="F177" s="9">
        <v>0.39450000000000002</v>
      </c>
      <c r="G177" s="9">
        <v>-0.33316129032258057</v>
      </c>
      <c r="H177" s="9">
        <v>0.8246</v>
      </c>
      <c r="I177" s="9">
        <v>0.129</v>
      </c>
      <c r="J177" s="57">
        <f t="shared" si="32"/>
        <v>-9.8532494758909905E-2</v>
      </c>
      <c r="K177" s="9">
        <v>1.3032999999999999</v>
      </c>
      <c r="L177" s="57">
        <f t="shared" si="30"/>
        <v>-0.190044124044497</v>
      </c>
      <c r="M177" s="25">
        <v>0.26919999999999999</v>
      </c>
      <c r="N177" s="57">
        <f t="shared" si="33"/>
        <v>-0.10801855533465876</v>
      </c>
      <c r="O177" s="9">
        <v>0.4395</v>
      </c>
      <c r="P177" s="57">
        <f t="shared" si="31"/>
        <v>-0.11976767474464256</v>
      </c>
      <c r="Q177" s="2" t="s">
        <v>3437</v>
      </c>
    </row>
    <row r="178" spans="1:17" ht="42.75" customHeight="1" x14ac:dyDescent="0.25">
      <c r="A178" s="8">
        <v>8.09</v>
      </c>
      <c r="B178" s="2" t="s">
        <v>8</v>
      </c>
      <c r="C178" s="37">
        <v>0.1208</v>
      </c>
      <c r="D178" s="9">
        <v>1.4963</v>
      </c>
      <c r="E178" s="37">
        <v>0.2404</v>
      </c>
      <c r="F178" s="9">
        <v>0.41089999999999999</v>
      </c>
      <c r="G178" s="9">
        <v>-0.38759375000000001</v>
      </c>
      <c r="H178" s="9">
        <v>0.78649999999999998</v>
      </c>
      <c r="I178" s="9">
        <v>0.12920000000000001</v>
      </c>
      <c r="J178" s="57">
        <f t="shared" si="32"/>
        <v>-9.7134870719776334E-2</v>
      </c>
      <c r="K178" s="9">
        <v>1.3153999999999999</v>
      </c>
      <c r="L178" s="57">
        <f t="shared" si="30"/>
        <v>-0.18252439251755648</v>
      </c>
      <c r="M178" s="25">
        <v>0.2762</v>
      </c>
      <c r="N178" s="57">
        <f t="shared" si="33"/>
        <v>-8.4824387011265823E-2</v>
      </c>
      <c r="O178" s="9">
        <v>0.45400000000000001</v>
      </c>
      <c r="P178" s="57">
        <f t="shared" si="31"/>
        <v>-9.0727017824954959E-2</v>
      </c>
      <c r="Q178" s="2" t="s">
        <v>3436</v>
      </c>
    </row>
    <row r="179" spans="1:17" ht="42.75" customHeight="1" x14ac:dyDescent="0.25">
      <c r="A179" s="8">
        <v>8.09</v>
      </c>
      <c r="B179" s="2" t="s">
        <v>5</v>
      </c>
      <c r="C179" s="37">
        <v>0.12330000000000001</v>
      </c>
      <c r="D179" s="9">
        <v>1.4129</v>
      </c>
      <c r="E179" s="37">
        <v>0.25890000000000002</v>
      </c>
      <c r="F179" s="9">
        <v>0.44330000000000003</v>
      </c>
      <c r="G179" s="9">
        <v>-0.31773750000000001</v>
      </c>
      <c r="H179" s="9">
        <v>0.81659999999999999</v>
      </c>
      <c r="I179" s="9">
        <v>0.129</v>
      </c>
      <c r="J179" s="57">
        <f t="shared" si="32"/>
        <v>-9.8532494758909905E-2</v>
      </c>
      <c r="K179" s="9">
        <v>1.2918000000000001</v>
      </c>
      <c r="L179" s="57">
        <f t="shared" si="30"/>
        <v>-0.19719097632216764</v>
      </c>
      <c r="M179" s="25">
        <v>0.26929999999999998</v>
      </c>
      <c r="N179" s="57">
        <f t="shared" si="33"/>
        <v>-0.10768721007289606</v>
      </c>
      <c r="O179" s="9">
        <v>0.44669999999999999</v>
      </c>
      <c r="P179" s="57">
        <f t="shared" si="31"/>
        <v>-0.10534748648107362</v>
      </c>
      <c r="Q179" s="2" t="s">
        <v>3437</v>
      </c>
    </row>
    <row r="180" spans="1:17" ht="42.75" customHeight="1" x14ac:dyDescent="0.25">
      <c r="A180" s="8">
        <v>8.09</v>
      </c>
      <c r="B180" s="2" t="s">
        <v>5</v>
      </c>
      <c r="C180" s="37">
        <v>0.1211</v>
      </c>
      <c r="D180" s="9">
        <v>1.5157</v>
      </c>
      <c r="E180" s="37">
        <v>0.25340000000000001</v>
      </c>
      <c r="F180" s="9">
        <v>0.42020000000000002</v>
      </c>
      <c r="G180" s="9">
        <v>-0.33152222222222222</v>
      </c>
      <c r="H180" s="9">
        <v>0.76439999999999997</v>
      </c>
      <c r="I180" s="9">
        <v>0.12970000000000001</v>
      </c>
      <c r="J180" s="57">
        <f t="shared" si="32"/>
        <v>-9.3640810621942627E-2</v>
      </c>
      <c r="K180" s="9">
        <v>1.3131999999999999</v>
      </c>
      <c r="L180" s="57">
        <f t="shared" si="30"/>
        <v>-0.18389161643154561</v>
      </c>
      <c r="M180" s="25">
        <v>0.28470000000000001</v>
      </c>
      <c r="N180" s="57">
        <f t="shared" si="33"/>
        <v>-5.6660039761431413E-2</v>
      </c>
      <c r="O180" s="9">
        <v>0.46910000000000002</v>
      </c>
      <c r="P180" s="57">
        <f t="shared" si="31"/>
        <v>-6.0484678549969972E-2</v>
      </c>
      <c r="Q180" s="2" t="s">
        <v>3436</v>
      </c>
    </row>
    <row r="181" spans="1:17" ht="42.75" customHeight="1" x14ac:dyDescent="0.25">
      <c r="A181" s="8">
        <v>8.08</v>
      </c>
      <c r="B181" s="2" t="s">
        <v>3429</v>
      </c>
      <c r="C181" s="37">
        <v>6.8900000000000003E-2</v>
      </c>
      <c r="D181" s="9">
        <v>0.86480000000000001</v>
      </c>
      <c r="E181" s="37">
        <v>0.15559999999999999</v>
      </c>
      <c r="F181" s="9">
        <v>0.27800000000000002</v>
      </c>
      <c r="G181" s="9">
        <v>-0.32050967741935488</v>
      </c>
      <c r="H181" s="9">
        <v>0.44219999999999998</v>
      </c>
      <c r="I181" s="9">
        <v>0.12690000000000001</v>
      </c>
      <c r="J181" s="57">
        <f t="shared" si="32"/>
        <v>-0.1132075471698113</v>
      </c>
      <c r="K181" s="9">
        <v>1.254</v>
      </c>
      <c r="L181" s="57">
        <f t="shared" si="30"/>
        <v>-0.22068236902616367</v>
      </c>
      <c r="M181" s="25">
        <v>0.26190000000000002</v>
      </c>
      <c r="N181" s="57">
        <f t="shared" si="33"/>
        <v>-0.13220675944333993</v>
      </c>
      <c r="O181" s="9">
        <v>0.4415</v>
      </c>
      <c r="P181" s="57">
        <f t="shared" si="31"/>
        <v>-0.11576206689365109</v>
      </c>
      <c r="Q181" s="2" t="s">
        <v>3435</v>
      </c>
    </row>
    <row r="182" spans="1:17" ht="42.75" customHeight="1" x14ac:dyDescent="0.25">
      <c r="A182" s="8">
        <v>8.08</v>
      </c>
      <c r="B182" s="2" t="s">
        <v>3428</v>
      </c>
      <c r="C182" s="37">
        <v>6.7699999999999996E-2</v>
      </c>
      <c r="D182" s="9">
        <v>0.84640000000000004</v>
      </c>
      <c r="E182" s="37">
        <v>0.14940000000000001</v>
      </c>
      <c r="F182" s="9">
        <v>0.26229999999999998</v>
      </c>
      <c r="G182" s="9">
        <v>-0.30718275862068967</v>
      </c>
      <c r="H182" s="9">
        <v>0.41589999999999999</v>
      </c>
      <c r="I182" s="9">
        <v>0.1273</v>
      </c>
      <c r="J182" s="57">
        <f t="shared" si="32"/>
        <v>-0.11041229909154437</v>
      </c>
      <c r="K182" s="9">
        <v>1.2457</v>
      </c>
      <c r="L182" s="57">
        <f t="shared" si="30"/>
        <v>-0.22584053197439558</v>
      </c>
      <c r="M182" s="25">
        <v>0.26490000000000002</v>
      </c>
      <c r="N182" s="57">
        <f t="shared" si="33"/>
        <v>-0.12226640159045721</v>
      </c>
      <c r="O182" s="9">
        <v>0.44190000000000002</v>
      </c>
      <c r="P182" s="57">
        <f t="shared" si="31"/>
        <v>-0.1149609453234528</v>
      </c>
      <c r="Q182" s="2" t="s">
        <v>3434</v>
      </c>
    </row>
    <row r="183" spans="1:17" ht="42.75" customHeight="1" x14ac:dyDescent="0.25">
      <c r="A183" s="8">
        <v>8.08</v>
      </c>
      <c r="B183" s="2" t="s">
        <v>3427</v>
      </c>
      <c r="C183" s="37">
        <v>6.2600000000000003E-2</v>
      </c>
      <c r="D183" s="9">
        <v>0.90949999999999998</v>
      </c>
      <c r="E183" s="37">
        <v>0.14799999999999999</v>
      </c>
      <c r="F183" s="9">
        <v>0.2379</v>
      </c>
      <c r="G183" s="9">
        <v>-0.26525625000000003</v>
      </c>
      <c r="H183" s="9">
        <v>0.39040000000000002</v>
      </c>
      <c r="I183" s="9">
        <v>0.12659999999999999</v>
      </c>
      <c r="J183" s="57">
        <f t="shared" si="32"/>
        <v>-0.11530398322851165</v>
      </c>
      <c r="K183" s="9">
        <v>1.2795000000000001</v>
      </c>
      <c r="L183" s="57">
        <f t="shared" si="30"/>
        <v>-0.20483500093219809</v>
      </c>
      <c r="M183" s="25">
        <v>0.25929999999999997</v>
      </c>
      <c r="N183" s="57">
        <f t="shared" si="33"/>
        <v>-0.14082173624917171</v>
      </c>
      <c r="O183" s="9">
        <v>0.42180000000000001</v>
      </c>
      <c r="P183" s="57">
        <f t="shared" si="31"/>
        <v>-0.15521730422591629</v>
      </c>
      <c r="Q183" s="2" t="s">
        <v>3433</v>
      </c>
    </row>
    <row r="184" spans="1:17" ht="42.75" customHeight="1" x14ac:dyDescent="0.25">
      <c r="A184" s="8">
        <v>8.08</v>
      </c>
      <c r="B184" s="2" t="s">
        <v>3426</v>
      </c>
      <c r="C184" s="37">
        <v>6.25E-2</v>
      </c>
      <c r="D184" s="9">
        <v>0.81889999999999996</v>
      </c>
      <c r="E184" s="37">
        <v>0.1487</v>
      </c>
      <c r="F184" s="9">
        <v>0.25530000000000003</v>
      </c>
      <c r="G184" s="9">
        <v>-0.27934666666666652</v>
      </c>
      <c r="H184" s="9">
        <v>0.39439999999999997</v>
      </c>
      <c r="I184" s="9">
        <v>0.1265</v>
      </c>
      <c r="J184" s="57">
        <f t="shared" si="32"/>
        <v>-0.11600279524807833</v>
      </c>
      <c r="K184" s="9">
        <v>1.2444</v>
      </c>
      <c r="L184" s="57">
        <f t="shared" si="30"/>
        <v>-0.22664843701448012</v>
      </c>
      <c r="M184" s="25">
        <v>0.26229999999999998</v>
      </c>
      <c r="N184" s="57">
        <f t="shared" si="33"/>
        <v>-0.13088137839628899</v>
      </c>
      <c r="O184" s="9">
        <v>0.4385</v>
      </c>
      <c r="P184" s="57">
        <f t="shared" si="31"/>
        <v>-0.12177047867013824</v>
      </c>
      <c r="Q184" s="2" t="s">
        <v>3432</v>
      </c>
    </row>
    <row r="185" spans="1:17" ht="42.75" customHeight="1" x14ac:dyDescent="0.25">
      <c r="A185" s="8">
        <v>8.08</v>
      </c>
      <c r="B185" s="2" t="s">
        <v>3430</v>
      </c>
      <c r="C185" s="37">
        <v>0.1222</v>
      </c>
      <c r="D185" s="9">
        <v>1.4569000000000001</v>
      </c>
      <c r="E185" s="37">
        <v>0.25890000000000002</v>
      </c>
      <c r="F185" s="9">
        <v>0.434</v>
      </c>
      <c r="G185" s="9">
        <v>-0.31232903225806452</v>
      </c>
      <c r="H185" s="9">
        <v>0.8075</v>
      </c>
      <c r="I185" s="9">
        <v>0.1298</v>
      </c>
      <c r="J185" s="57">
        <f t="shared" si="32"/>
        <v>-9.2941998602375953E-2</v>
      </c>
      <c r="K185" s="9">
        <v>1.3104</v>
      </c>
      <c r="L185" s="57">
        <f t="shared" si="30"/>
        <v>-0.18563171959480451</v>
      </c>
      <c r="M185" s="25">
        <v>0.2666</v>
      </c>
      <c r="N185" s="57">
        <f t="shared" si="33"/>
        <v>-0.11663353214049044</v>
      </c>
      <c r="O185" s="9">
        <v>0.44069999999999998</v>
      </c>
      <c r="P185" s="57">
        <f t="shared" si="31"/>
        <v>-0.11736431003404779</v>
      </c>
      <c r="Q185" s="2" t="s">
        <v>3431</v>
      </c>
    </row>
    <row r="186" spans="1:17" ht="42.75" customHeight="1" x14ac:dyDescent="0.25">
      <c r="A186" s="8">
        <v>8.07</v>
      </c>
      <c r="B186" s="2" t="s">
        <v>3378</v>
      </c>
      <c r="C186" s="37">
        <v>6.5699999999999995E-2</v>
      </c>
      <c r="D186" s="9">
        <v>0.74590000000000001</v>
      </c>
      <c r="E186" s="37">
        <v>0.1381</v>
      </c>
      <c r="F186" s="9">
        <v>0.20449999999999999</v>
      </c>
      <c r="G186" s="9">
        <v>-9.058396666666664E-2</v>
      </c>
      <c r="H186" s="9">
        <v>0.4224</v>
      </c>
      <c r="I186" s="9">
        <v>0.12640000000000001</v>
      </c>
      <c r="J186" s="57">
        <f t="shared" si="32"/>
        <v>-0.116701607267645</v>
      </c>
      <c r="K186" s="9">
        <v>1.2401</v>
      </c>
      <c r="L186" s="57">
        <f t="shared" si="30"/>
        <v>-0.2293207383009136</v>
      </c>
      <c r="M186" s="25">
        <v>0.25430000000000003</v>
      </c>
      <c r="N186" s="57">
        <f t="shared" si="33"/>
        <v>-0.15738899933730943</v>
      </c>
      <c r="O186" s="9">
        <v>0.40279999999999999</v>
      </c>
      <c r="P186" s="57">
        <f t="shared" si="31"/>
        <v>-0.19327057881033449</v>
      </c>
      <c r="Q186" s="2" t="s">
        <v>3425</v>
      </c>
    </row>
    <row r="187" spans="1:17" ht="42.75" customHeight="1" x14ac:dyDescent="0.25">
      <c r="A187" s="8">
        <v>8.07</v>
      </c>
      <c r="B187" s="2" t="s">
        <v>3424</v>
      </c>
      <c r="C187" s="37">
        <v>0.122</v>
      </c>
      <c r="D187" s="9">
        <v>1.4374</v>
      </c>
      <c r="E187" s="37">
        <v>0.26340000000000002</v>
      </c>
      <c r="F187" s="9">
        <v>0.4425</v>
      </c>
      <c r="G187" s="9">
        <v>-0.31209999999999999</v>
      </c>
      <c r="H187" s="9">
        <v>0.81830000000000003</v>
      </c>
      <c r="I187" s="9">
        <v>0.1295</v>
      </c>
      <c r="J187" s="57">
        <f t="shared" si="32"/>
        <v>-9.5038434661076199E-2</v>
      </c>
      <c r="K187" s="9">
        <v>1.3037000000000001</v>
      </c>
      <c r="L187" s="57">
        <f t="shared" si="30"/>
        <v>-0.18979553787831704</v>
      </c>
      <c r="M187" s="25">
        <v>0.26960000000000001</v>
      </c>
      <c r="N187" s="57">
        <f t="shared" si="33"/>
        <v>-0.10669317428760772</v>
      </c>
      <c r="O187" s="9">
        <v>0.44350000000000001</v>
      </c>
      <c r="P187" s="57">
        <f t="shared" si="31"/>
        <v>-0.11175645904265974</v>
      </c>
      <c r="Q187" s="2" t="s">
        <v>3423</v>
      </c>
    </row>
    <row r="188" spans="1:17" ht="42.75" customHeight="1" x14ac:dyDescent="0.25">
      <c r="A188" s="8">
        <v>8.07</v>
      </c>
      <c r="B188" s="2" t="s">
        <v>3414</v>
      </c>
      <c r="C188" s="37">
        <v>0.1086</v>
      </c>
      <c r="D188" s="9">
        <v>0.74319999999999997</v>
      </c>
      <c r="E188" s="37">
        <v>0.38490000000000002</v>
      </c>
      <c r="F188" s="9">
        <v>0.49359999999999998</v>
      </c>
      <c r="G188" s="9">
        <v>-0.25609999999999999</v>
      </c>
      <c r="H188" s="9">
        <v>7.1000000000000004E-3</v>
      </c>
      <c r="I188" s="9">
        <v>0.14940000000000001</v>
      </c>
      <c r="J188" s="57">
        <f t="shared" si="32"/>
        <v>4.4025157232704393E-2</v>
      </c>
      <c r="K188" s="9">
        <v>1.4091</v>
      </c>
      <c r="L188" s="57">
        <f t="shared" si="30"/>
        <v>-0.12429308308992604</v>
      </c>
      <c r="M188" s="25">
        <v>0.33539999999999998</v>
      </c>
      <c r="N188" s="57">
        <f t="shared" si="33"/>
        <v>0.11133200795228615</v>
      </c>
      <c r="O188" s="9">
        <v>0.51800000000000002</v>
      </c>
      <c r="P188" s="57">
        <f t="shared" si="31"/>
        <v>3.7452433406769403E-2</v>
      </c>
      <c r="Q188" s="2" t="s">
        <v>3422</v>
      </c>
    </row>
    <row r="189" spans="1:17" ht="42.75" customHeight="1" x14ac:dyDescent="0.25">
      <c r="A189" s="8">
        <v>8.06</v>
      </c>
      <c r="B189" s="2" t="s">
        <v>3378</v>
      </c>
      <c r="C189" s="37">
        <v>0.1042</v>
      </c>
      <c r="D189" s="9">
        <v>1.1597999999999999</v>
      </c>
      <c r="E189" s="37">
        <v>0.17949999999999999</v>
      </c>
      <c r="F189" s="9">
        <v>0.31209999999999999</v>
      </c>
      <c r="G189" s="9">
        <v>-0.14903656250000002</v>
      </c>
      <c r="H189" s="9">
        <v>0.79079999999999995</v>
      </c>
      <c r="I189" s="9">
        <v>0.12620000000000001</v>
      </c>
      <c r="J189" s="57">
        <f t="shared" si="32"/>
        <v>-0.11809923130677846</v>
      </c>
      <c r="K189" s="9">
        <v>1.2561</v>
      </c>
      <c r="L189" s="57">
        <f t="shared" si="30"/>
        <v>-0.21937729165371944</v>
      </c>
      <c r="M189" s="25">
        <v>0.2591</v>
      </c>
      <c r="N189" s="57">
        <f t="shared" si="33"/>
        <v>-0.14148442677269724</v>
      </c>
      <c r="O189" s="9">
        <v>0.43169999999999997</v>
      </c>
      <c r="P189" s="57">
        <f t="shared" si="31"/>
        <v>-0.135389545363509</v>
      </c>
      <c r="Q189" s="2" t="s">
        <v>3418</v>
      </c>
    </row>
    <row r="190" spans="1:17" ht="42.75" customHeight="1" x14ac:dyDescent="0.25">
      <c r="A190" s="8">
        <v>8.06</v>
      </c>
      <c r="B190" s="2" t="s">
        <v>3378</v>
      </c>
      <c r="C190" s="37">
        <v>3.3599999999999998E-2</v>
      </c>
      <c r="D190" s="9">
        <v>0.3967</v>
      </c>
      <c r="E190" s="37">
        <v>5.1200000000000002E-2</v>
      </c>
      <c r="F190" s="9">
        <v>7.6100000000000001E-2</v>
      </c>
      <c r="G190" s="9">
        <v>-8.3894999999999997E-2</v>
      </c>
      <c r="H190" s="9">
        <v>0.16339999999999999</v>
      </c>
      <c r="I190" s="9">
        <v>0.1255</v>
      </c>
      <c r="J190" s="57">
        <f t="shared" si="32"/>
        <v>-0.12299091544374563</v>
      </c>
      <c r="K190" s="9">
        <v>1.2511000000000001</v>
      </c>
      <c r="L190" s="57">
        <f t="shared" si="30"/>
        <v>-0.22248461873096759</v>
      </c>
      <c r="M190" s="25">
        <v>0.254</v>
      </c>
      <c r="N190" s="57">
        <f t="shared" si="33"/>
        <v>-0.15838303512259777</v>
      </c>
      <c r="O190" s="9">
        <v>0.39739999999999998</v>
      </c>
      <c r="P190" s="57">
        <f t="shared" si="31"/>
        <v>-0.20408572000801128</v>
      </c>
      <c r="Q190" s="2" t="s">
        <v>3419</v>
      </c>
    </row>
    <row r="191" spans="1:17" ht="42.75" customHeight="1" x14ac:dyDescent="0.25">
      <c r="A191" s="8">
        <v>8.06</v>
      </c>
      <c r="B191" s="2" t="s">
        <v>3378</v>
      </c>
      <c r="C191" s="37">
        <v>0.1285</v>
      </c>
      <c r="D191" s="9">
        <v>1.1638999999999999</v>
      </c>
      <c r="E191" s="37">
        <v>0.36080000000000001</v>
      </c>
      <c r="F191" s="9">
        <v>0.46829999999999999</v>
      </c>
      <c r="G191" s="9">
        <v>-0.1344108</v>
      </c>
      <c r="H191" s="9">
        <v>5.0500000000000003E-2</v>
      </c>
      <c r="I191" s="9">
        <v>0.15620000000000001</v>
      </c>
      <c r="J191" s="57">
        <f t="shared" si="32"/>
        <v>9.1544374563242492E-2</v>
      </c>
      <c r="K191" s="9">
        <v>1.5622</v>
      </c>
      <c r="L191" s="57">
        <f t="shared" si="30"/>
        <v>-2.9146727984587617E-2</v>
      </c>
      <c r="M191" s="25">
        <v>0.35720000000000002</v>
      </c>
      <c r="N191" s="57">
        <f t="shared" si="33"/>
        <v>0.18356527501656728</v>
      </c>
      <c r="O191" s="9">
        <v>0.52690000000000003</v>
      </c>
      <c r="P191" s="57">
        <f t="shared" si="31"/>
        <v>5.5277388343681233E-2</v>
      </c>
      <c r="Q191" s="2" t="s">
        <v>3420</v>
      </c>
    </row>
    <row r="192" spans="1:17" ht="42.75" customHeight="1" x14ac:dyDescent="0.25">
      <c r="A192" s="8">
        <v>8.06</v>
      </c>
      <c r="B192" s="2" t="s">
        <v>3378</v>
      </c>
      <c r="C192" s="37">
        <v>4.1000000000000002E-2</v>
      </c>
      <c r="D192" s="9">
        <v>0.53459999999999996</v>
      </c>
      <c r="E192" s="37">
        <v>6.6900000000000001E-2</v>
      </c>
      <c r="F192" s="9">
        <v>9.7600000000000006E-2</v>
      </c>
      <c r="G192" s="9">
        <v>-8.6490370370370342E-2</v>
      </c>
      <c r="H192" s="9">
        <v>0.26819999999999999</v>
      </c>
      <c r="I192" s="9">
        <v>0.1246</v>
      </c>
      <c r="J192" s="57">
        <f t="shared" si="32"/>
        <v>-0.12928022361984626</v>
      </c>
      <c r="K192" s="9">
        <v>1.2478</v>
      </c>
      <c r="L192" s="57">
        <f t="shared" si="30"/>
        <v>-0.22453545460195135</v>
      </c>
      <c r="M192" s="25">
        <v>0.24490000000000001</v>
      </c>
      <c r="N192" s="57">
        <f t="shared" si="33"/>
        <v>-0.18853545394300864</v>
      </c>
      <c r="O192" s="9">
        <v>0.38240000000000002</v>
      </c>
      <c r="P192" s="57">
        <f t="shared" si="31"/>
        <v>-0.23412777889044667</v>
      </c>
      <c r="Q192" s="2" t="s">
        <v>3421</v>
      </c>
    </row>
    <row r="193" spans="1:17" ht="42.75" customHeight="1" x14ac:dyDescent="0.25">
      <c r="A193" s="8">
        <v>8.0500000000000007</v>
      </c>
      <c r="B193" s="2" t="s">
        <v>3414</v>
      </c>
      <c r="C193" s="37">
        <v>0.12570000000000001</v>
      </c>
      <c r="D193" s="9">
        <v>1.1355</v>
      </c>
      <c r="E193" s="37">
        <v>0.36859999999999998</v>
      </c>
      <c r="F193" s="9">
        <v>0.47510000000000002</v>
      </c>
      <c r="G193" s="9">
        <v>-0.12904827586206899</v>
      </c>
      <c r="H193" s="9">
        <v>4.8399999999999999E-2</v>
      </c>
      <c r="I193" s="9">
        <v>0.1555</v>
      </c>
      <c r="J193" s="57">
        <f t="shared" si="32"/>
        <v>8.6652690426275214E-2</v>
      </c>
      <c r="K193" s="9">
        <v>1.5402</v>
      </c>
      <c r="L193" s="57">
        <f t="shared" si="30"/>
        <v>-4.2818967124479523E-2</v>
      </c>
      <c r="M193" s="25">
        <v>0.35410000000000003</v>
      </c>
      <c r="N193" s="57">
        <f t="shared" si="33"/>
        <v>0.17329357190192174</v>
      </c>
      <c r="O193" s="9">
        <v>0.52359999999999995</v>
      </c>
      <c r="P193" s="57">
        <f t="shared" si="31"/>
        <v>4.8668135389545286E-2</v>
      </c>
      <c r="Q193" s="2" t="s">
        <v>3417</v>
      </c>
    </row>
    <row r="194" spans="1:17" ht="42.75" customHeight="1" x14ac:dyDescent="0.25">
      <c r="A194" s="8">
        <v>8.0399999999999991</v>
      </c>
      <c r="B194" s="2" t="s">
        <v>3414</v>
      </c>
      <c r="C194" s="37">
        <v>8.3000000000000001E-3</v>
      </c>
      <c r="D194" s="9">
        <v>0.14449999999999999</v>
      </c>
      <c r="E194" s="37">
        <v>1.67E-2</v>
      </c>
      <c r="F194" s="9">
        <v>2.9000000000000001E-2</v>
      </c>
      <c r="G194" s="9">
        <v>-0.1614334375</v>
      </c>
      <c r="H194" s="9">
        <v>1.7000000000000001E-2</v>
      </c>
      <c r="I194" s="9">
        <v>0.1249</v>
      </c>
      <c r="J194" s="57">
        <f t="shared" si="32"/>
        <v>-0.12718378756114612</v>
      </c>
      <c r="K194" s="9">
        <v>1.2733000000000001</v>
      </c>
      <c r="L194" s="57">
        <f t="shared" si="30"/>
        <v>-0.20868808650798576</v>
      </c>
      <c r="M194" s="25">
        <v>0.2611</v>
      </c>
      <c r="N194" s="57">
        <f t="shared" si="33"/>
        <v>-0.13485752153744202</v>
      </c>
      <c r="O194" s="9">
        <v>0.42180000000000001</v>
      </c>
      <c r="P194" s="57">
        <f t="shared" si="31"/>
        <v>-0.15521730422591629</v>
      </c>
      <c r="Q194" s="2" t="s">
        <v>3415</v>
      </c>
    </row>
    <row r="195" spans="1:17" ht="42.75" customHeight="1" x14ac:dyDescent="0.25">
      <c r="A195" s="8">
        <v>8.0399999999999991</v>
      </c>
      <c r="B195" s="2" t="s">
        <v>3378</v>
      </c>
      <c r="C195" s="37">
        <v>0.1285</v>
      </c>
      <c r="D195" s="9">
        <v>1.1638999999999999</v>
      </c>
      <c r="E195" s="37">
        <v>0.36080000000000001</v>
      </c>
      <c r="F195" s="9">
        <v>0.46829999999999999</v>
      </c>
      <c r="G195" s="9">
        <v>-0.13222892857142857</v>
      </c>
      <c r="H195" s="9">
        <v>5.0500000000000003E-2</v>
      </c>
      <c r="I195" s="9">
        <v>0.15620000000000001</v>
      </c>
      <c r="J195" s="57">
        <f t="shared" si="32"/>
        <v>9.1544374563242492E-2</v>
      </c>
      <c r="K195" s="9">
        <v>1.5622</v>
      </c>
      <c r="L195" s="57">
        <f t="shared" si="30"/>
        <v>-2.9146727984587617E-2</v>
      </c>
      <c r="M195" s="25">
        <v>0.35720000000000002</v>
      </c>
      <c r="N195" s="57">
        <f t="shared" si="33"/>
        <v>0.18356527501656728</v>
      </c>
      <c r="O195" s="9">
        <v>0.52690000000000003</v>
      </c>
      <c r="P195" s="57">
        <f t="shared" si="31"/>
        <v>5.5277388343681233E-2</v>
      </c>
      <c r="Q195" s="2" t="s">
        <v>3413</v>
      </c>
    </row>
    <row r="196" spans="1:17" ht="42.75" customHeight="1" x14ac:dyDescent="0.25">
      <c r="A196" s="8">
        <v>8.0399999999999991</v>
      </c>
      <c r="B196" s="2" t="s">
        <v>3378</v>
      </c>
      <c r="C196" s="37">
        <v>7.4000000000000003E-3</v>
      </c>
      <c r="D196" s="9">
        <v>0.12230000000000001</v>
      </c>
      <c r="E196" s="37">
        <v>6.1000000000000004E-3</v>
      </c>
      <c r="F196" s="9">
        <v>1.11E-2</v>
      </c>
      <c r="G196" s="9">
        <v>-0.14475161290322577</v>
      </c>
      <c r="H196" s="9">
        <v>4.1000000000000003E-3</v>
      </c>
      <c r="I196" s="9">
        <v>0.12429999999999999</v>
      </c>
      <c r="J196" s="57">
        <f t="shared" si="32"/>
        <v>-0.1313766596785465</v>
      </c>
      <c r="K196" s="9">
        <v>1.2679</v>
      </c>
      <c r="L196" s="57">
        <f t="shared" si="30"/>
        <v>-0.21204399975141386</v>
      </c>
      <c r="M196" s="25">
        <v>0.25840000000000002</v>
      </c>
      <c r="N196" s="57">
        <f t="shared" si="33"/>
        <v>-0.1438038436050364</v>
      </c>
      <c r="O196" s="9">
        <v>0.42049999999999998</v>
      </c>
      <c r="P196" s="57">
        <f t="shared" si="31"/>
        <v>-0.15782094932906077</v>
      </c>
      <c r="Q196" s="2" t="s">
        <v>3412</v>
      </c>
    </row>
    <row r="197" spans="1:17" ht="42.75" customHeight="1" x14ac:dyDescent="0.25">
      <c r="A197" s="8">
        <v>8.0299999999999994</v>
      </c>
      <c r="B197" s="2" t="s">
        <v>3378</v>
      </c>
      <c r="C197" s="37">
        <v>1.2800000000000001E-2</v>
      </c>
      <c r="D197" s="9">
        <v>0.19950000000000001</v>
      </c>
      <c r="E197" s="37">
        <v>4.1599999999999998E-2</v>
      </c>
      <c r="F197" s="9">
        <v>7.4700000000000003E-2</v>
      </c>
      <c r="G197" s="9">
        <v>-0.17646703703703701</v>
      </c>
      <c r="H197" s="9">
        <v>3.2599999999999997E-2</v>
      </c>
      <c r="I197" s="9">
        <v>0.1244</v>
      </c>
      <c r="J197" s="57">
        <f t="shared" si="32"/>
        <v>-0.13067784765897983</v>
      </c>
      <c r="K197" s="9">
        <v>1.2769999999999999</v>
      </c>
      <c r="L197" s="57">
        <f t="shared" si="30"/>
        <v>-0.20638866447082227</v>
      </c>
      <c r="M197" s="25">
        <v>0.2601</v>
      </c>
      <c r="N197" s="57">
        <f t="shared" si="33"/>
        <v>-0.13817097415506963</v>
      </c>
      <c r="O197" s="9">
        <v>0.41599999999999998</v>
      </c>
      <c r="P197" s="57">
        <f t="shared" si="31"/>
        <v>-0.16683356699379137</v>
      </c>
      <c r="Q197" s="2" t="s">
        <v>3398</v>
      </c>
    </row>
    <row r="198" spans="1:17" ht="42.75" customHeight="1" x14ac:dyDescent="0.25">
      <c r="A198" s="8">
        <v>8.0299999999999994</v>
      </c>
      <c r="B198" s="2" t="s">
        <v>3378</v>
      </c>
      <c r="C198" s="37">
        <v>2.3599999999999999E-2</v>
      </c>
      <c r="D198" s="9">
        <v>0.27589999999999998</v>
      </c>
      <c r="E198" s="37">
        <v>3.32E-2</v>
      </c>
      <c r="F198" s="9">
        <v>5.7200000000000001E-2</v>
      </c>
      <c r="G198" s="9">
        <v>-0.14409888888888889</v>
      </c>
      <c r="H198" s="9">
        <v>6.59E-2</v>
      </c>
      <c r="I198" s="9">
        <v>0.126</v>
      </c>
      <c r="J198" s="57">
        <f t="shared" si="32"/>
        <v>-0.11949685534591192</v>
      </c>
      <c r="K198" s="9">
        <v>1.2326999999999999</v>
      </c>
      <c r="L198" s="57">
        <f t="shared" si="30"/>
        <v>-0.23391958237524091</v>
      </c>
      <c r="M198" s="25">
        <v>0.25369999999999998</v>
      </c>
      <c r="N198" s="57">
        <f t="shared" si="33"/>
        <v>-0.15937707090788611</v>
      </c>
      <c r="O198" s="9">
        <v>0.4098</v>
      </c>
      <c r="P198" s="57">
        <f t="shared" si="31"/>
        <v>-0.17925095133186464</v>
      </c>
      <c r="Q198" s="2" t="s">
        <v>3397</v>
      </c>
    </row>
    <row r="199" spans="1:17" ht="42.75" customHeight="1" x14ac:dyDescent="0.25">
      <c r="A199" s="8">
        <v>8.02</v>
      </c>
      <c r="B199" s="2" t="s">
        <v>3378</v>
      </c>
      <c r="C199" s="37">
        <v>8.9999999999999993E-3</v>
      </c>
      <c r="D199" s="9">
        <v>0.1419</v>
      </c>
      <c r="E199" s="37">
        <v>2.8899999999999999E-2</v>
      </c>
      <c r="F199" s="9">
        <v>6.3100000000000003E-2</v>
      </c>
      <c r="G199" s="9">
        <v>-0.12147881775</v>
      </c>
      <c r="H199" s="9">
        <v>5.8999999999999999E-3</v>
      </c>
      <c r="I199" s="9">
        <v>0.1263</v>
      </c>
      <c r="J199" s="57">
        <f t="shared" si="32"/>
        <v>-0.11740041928721179</v>
      </c>
      <c r="K199" s="9">
        <v>1.7485999999999999</v>
      </c>
      <c r="L199" s="57">
        <f t="shared" si="30"/>
        <v>8.6694425455223323E-2</v>
      </c>
      <c r="M199" s="25">
        <v>0.25540000000000002</v>
      </c>
      <c r="N199" s="57">
        <f t="shared" si="33"/>
        <v>-0.15374420145791912</v>
      </c>
      <c r="O199" s="9">
        <v>0.55859999999999999</v>
      </c>
      <c r="P199" s="57">
        <f t="shared" si="31"/>
        <v>0.11876627278189456</v>
      </c>
      <c r="Q199" s="2" t="s">
        <v>3396</v>
      </c>
    </row>
    <row r="200" spans="1:17" ht="42.75" customHeight="1" x14ac:dyDescent="0.25">
      <c r="A200" s="8">
        <v>8.02</v>
      </c>
      <c r="B200" s="2" t="s">
        <v>3378</v>
      </c>
      <c r="C200" s="37">
        <v>0.13339999999999999</v>
      </c>
      <c r="D200" s="9">
        <v>1.1583000000000001</v>
      </c>
      <c r="E200" s="37">
        <v>0.39479999999999998</v>
      </c>
      <c r="F200" s="9">
        <v>0.56879999999999997</v>
      </c>
      <c r="G200" s="9">
        <v>-0.146480625</v>
      </c>
      <c r="H200" s="9">
        <v>2.0799999999999999E-2</v>
      </c>
      <c r="I200" s="9">
        <v>0.15840000000000001</v>
      </c>
      <c r="J200" s="57">
        <f t="shared" si="32"/>
        <v>0.10691823899371067</v>
      </c>
      <c r="K200" s="9">
        <v>2.2423000000000002</v>
      </c>
      <c r="L200" s="57">
        <f t="shared" si="30"/>
        <v>0.39351190106270595</v>
      </c>
      <c r="M200" s="25">
        <v>0.36470000000000002</v>
      </c>
      <c r="N200" s="57">
        <f t="shared" si="33"/>
        <v>0.20841616964877407</v>
      </c>
      <c r="O200" s="9">
        <v>0.69889999999999997</v>
      </c>
      <c r="P200" s="57">
        <f t="shared" si="31"/>
        <v>0.39975966352894043</v>
      </c>
      <c r="Q200" s="2" t="s">
        <v>3395</v>
      </c>
    </row>
    <row r="201" spans="1:17" ht="42.75" customHeight="1" x14ac:dyDescent="0.25">
      <c r="A201" s="8">
        <v>8.02</v>
      </c>
      <c r="B201" s="9" t="s">
        <v>163</v>
      </c>
      <c r="C201" s="37">
        <v>0.1142</v>
      </c>
      <c r="D201" s="9">
        <v>1.1024</v>
      </c>
      <c r="E201" s="37">
        <v>0.24410000000000001</v>
      </c>
      <c r="F201" s="9">
        <v>0.39019999999999999</v>
      </c>
      <c r="G201" s="9">
        <v>-0.46430000000000005</v>
      </c>
      <c r="H201" s="9">
        <v>0.87949999999999995</v>
      </c>
      <c r="I201" s="9">
        <v>0.1263</v>
      </c>
      <c r="J201" s="57">
        <f t="shared" si="32"/>
        <v>-0.11740041928721179</v>
      </c>
      <c r="K201" s="9">
        <v>1.2370000000000001</v>
      </c>
      <c r="L201" s="57">
        <f t="shared" si="30"/>
        <v>-0.23124728108880732</v>
      </c>
      <c r="M201" s="25">
        <v>0.26619999999999999</v>
      </c>
      <c r="N201" s="57">
        <f t="shared" si="33"/>
        <v>-0.11795891318754148</v>
      </c>
      <c r="O201" s="9">
        <v>0.43480000000000002</v>
      </c>
      <c r="P201" s="57">
        <f t="shared" si="31"/>
        <v>-0.12918085319447226</v>
      </c>
      <c r="Q201" s="2" t="s">
        <v>3394</v>
      </c>
    </row>
    <row r="202" spans="1:17" ht="42.75" customHeight="1" x14ac:dyDescent="0.25">
      <c r="A202" s="8">
        <v>8.01</v>
      </c>
      <c r="B202" s="9" t="s">
        <v>163</v>
      </c>
      <c r="C202" s="37">
        <v>0.114341656495316</v>
      </c>
      <c r="D202" s="9">
        <v>1.1697</v>
      </c>
      <c r="E202" s="37">
        <v>0.24482253281084501</v>
      </c>
      <c r="F202" s="9">
        <v>0.38179999999999997</v>
      </c>
      <c r="G202" s="9">
        <v>-0.46120000000000005</v>
      </c>
      <c r="H202" s="9">
        <v>0.87739999999999996</v>
      </c>
      <c r="I202" s="9">
        <v>0.1258</v>
      </c>
      <c r="J202" s="57">
        <f t="shared" si="32"/>
        <v>-0.12089447938504549</v>
      </c>
      <c r="K202" s="9">
        <v>1.2426999999999999</v>
      </c>
      <c r="L202" s="57">
        <f t="shared" si="30"/>
        <v>-0.22770492822074451</v>
      </c>
      <c r="M202" s="25">
        <v>0.2571</v>
      </c>
      <c r="N202" s="57">
        <f t="shared" si="33"/>
        <v>-0.14811133200795235</v>
      </c>
      <c r="O202" s="9">
        <v>0.41549999999999998</v>
      </c>
      <c r="P202" s="57">
        <f t="shared" si="31"/>
        <v>-0.16783496895653927</v>
      </c>
      <c r="Q202" s="2" t="s">
        <v>175</v>
      </c>
    </row>
    <row r="203" spans="1:17" ht="42.75" customHeight="1" x14ac:dyDescent="0.25">
      <c r="A203" s="8">
        <v>8.01</v>
      </c>
      <c r="B203" s="9" t="s">
        <v>163</v>
      </c>
      <c r="C203" s="37">
        <v>0.11260000000000001</v>
      </c>
      <c r="D203" s="9">
        <v>1.1712</v>
      </c>
      <c r="E203" s="37">
        <v>0.23549999999999999</v>
      </c>
      <c r="F203" s="9">
        <v>0.39250000000000002</v>
      </c>
      <c r="G203" s="9">
        <v>-0.42124827586206898</v>
      </c>
      <c r="H203" s="9">
        <v>0.84440000000000004</v>
      </c>
      <c r="I203" s="9">
        <v>0.12670000000000001</v>
      </c>
      <c r="J203" s="57">
        <f t="shared" si="32"/>
        <v>-0.11460517120894476</v>
      </c>
      <c r="K203" s="9">
        <v>1.2533000000000001</v>
      </c>
      <c r="L203" s="57">
        <f t="shared" si="30"/>
        <v>-0.22111739481697834</v>
      </c>
      <c r="M203" s="25">
        <v>0.25900000000000001</v>
      </c>
      <c r="N203" s="57">
        <f t="shared" si="33"/>
        <v>-0.14181577203445994</v>
      </c>
      <c r="O203" s="9">
        <v>0.42980000000000002</v>
      </c>
      <c r="P203" s="57">
        <f t="shared" si="31"/>
        <v>-0.13919487282195075</v>
      </c>
      <c r="Q203" s="2" t="s">
        <v>3393</v>
      </c>
    </row>
    <row r="204" spans="1:17" ht="42.75" customHeight="1" x14ac:dyDescent="0.25">
      <c r="A204" s="8">
        <v>8.01</v>
      </c>
      <c r="B204" s="9" t="s">
        <v>163</v>
      </c>
      <c r="C204" s="37">
        <v>0.1109</v>
      </c>
      <c r="D204" s="9">
        <v>1.0936999999999999</v>
      </c>
      <c r="E204" s="37">
        <v>0.2374</v>
      </c>
      <c r="F204" s="9">
        <v>0.39029999999999998</v>
      </c>
      <c r="G204" s="9">
        <v>-0.436108</v>
      </c>
      <c r="H204" s="9">
        <v>0.85560000000000003</v>
      </c>
      <c r="I204" s="9">
        <v>0.12609999999999999</v>
      </c>
      <c r="J204" s="57">
        <f t="shared" si="32"/>
        <v>-0.11879804332634536</v>
      </c>
      <c r="K204" s="9">
        <v>1.2365999999999999</v>
      </c>
      <c r="L204" s="57">
        <f t="shared" si="30"/>
        <v>-0.23149586725498728</v>
      </c>
      <c r="M204" s="25">
        <v>0.26679999999999998</v>
      </c>
      <c r="N204" s="57">
        <f t="shared" si="33"/>
        <v>-0.11597084161696503</v>
      </c>
      <c r="O204" s="9">
        <v>0.43690000000000001</v>
      </c>
      <c r="P204" s="57">
        <f t="shared" si="31"/>
        <v>-0.1249749649509313</v>
      </c>
      <c r="Q204" s="2" t="s">
        <v>3392</v>
      </c>
    </row>
    <row r="205" spans="1:17" ht="42.75" customHeight="1" x14ac:dyDescent="0.25">
      <c r="A205" s="8">
        <v>8.01</v>
      </c>
      <c r="B205" s="9" t="s">
        <v>163</v>
      </c>
      <c r="C205" s="37">
        <v>9.9900000000000003E-2</v>
      </c>
      <c r="D205" s="9">
        <v>0.94010000000000005</v>
      </c>
      <c r="E205" s="37">
        <v>0.2167</v>
      </c>
      <c r="F205" s="9">
        <v>0.34310000000000002</v>
      </c>
      <c r="G205" s="9">
        <v>-0.34937000000000001</v>
      </c>
      <c r="H205" s="9">
        <v>0.81430000000000002</v>
      </c>
      <c r="I205" s="9">
        <v>0.12470000000000001</v>
      </c>
      <c r="J205" s="57">
        <f t="shared" si="32"/>
        <v>-0.12858141160027947</v>
      </c>
      <c r="K205" s="9">
        <v>1.2088000000000001</v>
      </c>
      <c r="L205" s="57">
        <f t="shared" si="30"/>
        <v>-0.2487726058044869</v>
      </c>
      <c r="M205" s="25">
        <v>0.26650000000000001</v>
      </c>
      <c r="N205" s="57">
        <f t="shared" si="33"/>
        <v>-0.11696487740225314</v>
      </c>
      <c r="O205" s="9">
        <v>0.44209999999999999</v>
      </c>
      <c r="P205" s="57">
        <f t="shared" si="31"/>
        <v>-0.11456038453835371</v>
      </c>
      <c r="Q205" s="2" t="s">
        <v>3391</v>
      </c>
    </row>
    <row r="206" spans="1:17" ht="42.75" customHeight="1" x14ac:dyDescent="0.25">
      <c r="A206" s="8">
        <v>8.01</v>
      </c>
      <c r="B206" s="9" t="s">
        <v>163</v>
      </c>
      <c r="C206" s="37">
        <v>0.11849999999999999</v>
      </c>
      <c r="D206" s="9">
        <v>1.2747999999999999</v>
      </c>
      <c r="E206" s="37">
        <v>0.25169999999999998</v>
      </c>
      <c r="F206" s="9">
        <v>0.40839999999999999</v>
      </c>
      <c r="G206" s="9">
        <v>-0.27931481481481479</v>
      </c>
      <c r="H206" s="9">
        <v>0.83809999999999996</v>
      </c>
      <c r="I206" s="9">
        <v>0.12809999999999999</v>
      </c>
      <c r="J206" s="57">
        <f t="shared" si="32"/>
        <v>-0.10482180293501053</v>
      </c>
      <c r="K206" s="9">
        <v>1.2748999999999999</v>
      </c>
      <c r="L206" s="57">
        <f t="shared" si="30"/>
        <v>-0.2076937418432665</v>
      </c>
      <c r="M206" s="25">
        <v>0.2671</v>
      </c>
      <c r="N206" s="57">
        <f t="shared" si="33"/>
        <v>-0.11497680583167658</v>
      </c>
      <c r="O206" s="9">
        <v>0.44219999999999998</v>
      </c>
      <c r="P206" s="57">
        <f t="shared" si="31"/>
        <v>-0.11436010414580422</v>
      </c>
      <c r="Q206" s="2" t="s">
        <v>3390</v>
      </c>
    </row>
    <row r="207" spans="1:17" ht="42.75" customHeight="1" x14ac:dyDescent="0.25">
      <c r="A207" s="8">
        <v>7.3</v>
      </c>
      <c r="B207" s="2" t="s">
        <v>157</v>
      </c>
      <c r="C207" s="37">
        <v>0.121</v>
      </c>
      <c r="D207" s="9">
        <v>1.5871999999999999</v>
      </c>
      <c r="E207" s="37">
        <v>0.25340000000000001</v>
      </c>
      <c r="F207" s="9">
        <v>0.42070000000000002</v>
      </c>
      <c r="G207" s="9">
        <v>-0.3149758620689655</v>
      </c>
      <c r="H207" s="9">
        <v>0.76819999999999999</v>
      </c>
      <c r="I207" s="9">
        <v>0.13020000000000001</v>
      </c>
      <c r="J207" s="57">
        <f t="shared" si="32"/>
        <v>-9.0146750524108921E-2</v>
      </c>
      <c r="K207" s="9">
        <v>1.331</v>
      </c>
      <c r="L207" s="57">
        <f t="shared" si="30"/>
        <v>-0.17282953203654217</v>
      </c>
      <c r="M207" s="25">
        <v>0.27650000000000002</v>
      </c>
      <c r="N207" s="57">
        <f t="shared" si="33"/>
        <v>-8.3830351225977484E-2</v>
      </c>
      <c r="O207" s="9">
        <v>0.4556</v>
      </c>
      <c r="P207" s="57">
        <f t="shared" si="31"/>
        <v>-8.7522531544161897E-2</v>
      </c>
      <c r="Q207" s="2" t="s">
        <v>3386</v>
      </c>
    </row>
    <row r="208" spans="1:17" ht="42.75" customHeight="1" x14ac:dyDescent="0.25">
      <c r="A208" s="8">
        <v>7.3</v>
      </c>
      <c r="B208" s="2" t="s">
        <v>157</v>
      </c>
      <c r="C208" s="37">
        <v>0.1128</v>
      </c>
      <c r="D208" s="9">
        <v>1.2659</v>
      </c>
      <c r="E208" s="37">
        <v>0.24160000000000001</v>
      </c>
      <c r="F208" s="9">
        <v>0.40629999999999999</v>
      </c>
      <c r="G208" s="9">
        <v>-0.32722499999999999</v>
      </c>
      <c r="H208" s="9">
        <v>0.80349999999999999</v>
      </c>
      <c r="I208" s="9">
        <v>0.12770000000000001</v>
      </c>
      <c r="J208" s="57">
        <f t="shared" si="32"/>
        <v>-0.10761705101327745</v>
      </c>
      <c r="K208" s="9">
        <v>1.2781</v>
      </c>
      <c r="L208" s="57">
        <f t="shared" si="30"/>
        <v>-0.20570505251382754</v>
      </c>
      <c r="M208" s="25">
        <v>0.26960000000000001</v>
      </c>
      <c r="N208" s="57">
        <f t="shared" si="33"/>
        <v>-0.10669317428760772</v>
      </c>
      <c r="O208" s="9">
        <v>0.44529999999999997</v>
      </c>
      <c r="P208" s="57">
        <f t="shared" si="31"/>
        <v>-0.10815141197676759</v>
      </c>
      <c r="Q208" s="2" t="s">
        <v>3385</v>
      </c>
    </row>
    <row r="209" spans="1:17" ht="42.75" customHeight="1" x14ac:dyDescent="0.25">
      <c r="A209" s="8">
        <v>7.3</v>
      </c>
      <c r="B209" s="9" t="s">
        <v>163</v>
      </c>
      <c r="C209" s="37">
        <v>0.1275</v>
      </c>
      <c r="D209" s="9">
        <v>1.5777000000000001</v>
      </c>
      <c r="E209" s="37">
        <v>0.27050000000000002</v>
      </c>
      <c r="F209" s="9">
        <v>0.44600000000000001</v>
      </c>
      <c r="G209" s="9">
        <v>-0.27724642857142862</v>
      </c>
      <c r="H209" s="9">
        <v>0.79320000000000002</v>
      </c>
      <c r="I209" s="9">
        <v>0.13089999999999999</v>
      </c>
      <c r="J209" s="57">
        <f t="shared" si="32"/>
        <v>-8.5255066387141976E-2</v>
      </c>
      <c r="K209" s="9">
        <v>1.3341000000000001</v>
      </c>
      <c r="L209" s="57">
        <f t="shared" si="30"/>
        <v>-0.17090298924864822</v>
      </c>
      <c r="M209" s="25">
        <v>0.2762</v>
      </c>
      <c r="N209" s="57">
        <f t="shared" si="33"/>
        <v>-8.4824387011265823E-2</v>
      </c>
      <c r="O209" s="9">
        <v>0.45300000000000001</v>
      </c>
      <c r="P209" s="57">
        <f t="shared" si="31"/>
        <v>-9.2729821750450636E-2</v>
      </c>
      <c r="Q209" s="2" t="s">
        <v>3386</v>
      </c>
    </row>
    <row r="210" spans="1:17" ht="42.75" customHeight="1" x14ac:dyDescent="0.25">
      <c r="A210" s="8">
        <v>7.3</v>
      </c>
      <c r="B210" s="9" t="s">
        <v>163</v>
      </c>
      <c r="C210" s="37">
        <v>0.12180000000000001</v>
      </c>
      <c r="D210" s="9">
        <v>1.3405</v>
      </c>
      <c r="E210" s="37">
        <v>0.25940000000000002</v>
      </c>
      <c r="F210" s="9">
        <v>0.42270000000000002</v>
      </c>
      <c r="G210" s="9">
        <v>-0.30912592592592597</v>
      </c>
      <c r="H210" s="9">
        <v>0.83860000000000001</v>
      </c>
      <c r="I210" s="9">
        <v>0.12870000000000001</v>
      </c>
      <c r="J210" s="57">
        <f t="shared" si="32"/>
        <v>-0.10062893081761004</v>
      </c>
      <c r="K210" s="9">
        <v>1.2891999999999999</v>
      </c>
      <c r="L210" s="57">
        <f t="shared" si="30"/>
        <v>-0.19880678640233673</v>
      </c>
      <c r="M210" s="25">
        <v>0.26860000000000001</v>
      </c>
      <c r="N210" s="57">
        <f t="shared" si="33"/>
        <v>-0.11000662690523533</v>
      </c>
      <c r="O210" s="9">
        <v>0.44240000000000002</v>
      </c>
      <c r="P210" s="57">
        <f t="shared" si="31"/>
        <v>-0.11395954336070502</v>
      </c>
      <c r="Q210" s="2" t="s">
        <v>3385</v>
      </c>
    </row>
    <row r="211" spans="1:17" ht="42.75" customHeight="1" x14ac:dyDescent="0.25">
      <c r="A211" s="8">
        <v>7.3</v>
      </c>
      <c r="B211" s="9" t="s">
        <v>216</v>
      </c>
      <c r="C211" s="37">
        <v>0.1298</v>
      </c>
      <c r="D211" s="9">
        <v>1.8546</v>
      </c>
      <c r="E211" s="37">
        <v>0.24959999999999999</v>
      </c>
      <c r="F211" s="9">
        <v>0.40389999999999998</v>
      </c>
      <c r="G211" s="9">
        <v>-0.29185185185185181</v>
      </c>
      <c r="H211" s="9">
        <v>0.80110000000000003</v>
      </c>
      <c r="I211" s="9">
        <v>0.13120000000000001</v>
      </c>
      <c r="J211" s="57">
        <f t="shared" si="32"/>
        <v>-8.3158630328441618E-2</v>
      </c>
      <c r="K211" s="9">
        <v>1.3797999999999999</v>
      </c>
      <c r="L211" s="57">
        <f t="shared" ref="L211:L274" si="34">K211/1.6091 -1</f>
        <v>-0.14250201976260024</v>
      </c>
      <c r="M211" s="25">
        <v>0.27210000000000001</v>
      </c>
      <c r="N211" s="57">
        <f t="shared" si="33"/>
        <v>-9.8409542743538747E-2</v>
      </c>
      <c r="O211" s="9">
        <v>0.44879999999999998</v>
      </c>
      <c r="P211" s="57">
        <f t="shared" ref="P211:P274" si="35">O211/0.4993 - 1</f>
        <v>-0.10114159823753266</v>
      </c>
      <c r="Q211" s="2" t="s">
        <v>3386</v>
      </c>
    </row>
    <row r="212" spans="1:17" ht="42.75" customHeight="1" x14ac:dyDescent="0.25">
      <c r="A212" s="8">
        <v>7.3</v>
      </c>
      <c r="B212" s="9" t="s">
        <v>216</v>
      </c>
      <c r="C212" s="37">
        <v>0.1232</v>
      </c>
      <c r="D212" s="9">
        <v>1.4365000000000001</v>
      </c>
      <c r="E212" s="37">
        <v>0.25969999999999999</v>
      </c>
      <c r="F212" s="9">
        <v>0.41620000000000001</v>
      </c>
      <c r="G212" s="9">
        <v>-0.33052916666666671</v>
      </c>
      <c r="H212" s="9">
        <v>0.82669999999999999</v>
      </c>
      <c r="I212" s="9">
        <v>0.1293</v>
      </c>
      <c r="J212" s="57">
        <f t="shared" si="32"/>
        <v>-9.6436058700209659E-2</v>
      </c>
      <c r="K212" s="9">
        <v>0.13056000000000001</v>
      </c>
      <c r="L212" s="57">
        <f t="shared" si="34"/>
        <v>-0.91886147535889628</v>
      </c>
      <c r="M212" s="25">
        <v>0.27339999999999998</v>
      </c>
      <c r="N212" s="57">
        <f t="shared" si="33"/>
        <v>-9.410205434062302E-2</v>
      </c>
      <c r="O212" s="9">
        <v>0.44700000000000001</v>
      </c>
      <c r="P212" s="57">
        <f t="shared" si="35"/>
        <v>-0.10474664530342481</v>
      </c>
      <c r="Q212" s="2" t="s">
        <v>3385</v>
      </c>
    </row>
    <row r="213" spans="1:17" ht="42.75" customHeight="1" x14ac:dyDescent="0.25">
      <c r="A213" s="8">
        <v>7.27</v>
      </c>
      <c r="B213" s="2" t="s">
        <v>3378</v>
      </c>
      <c r="C213" s="37">
        <v>0.13880000000000001</v>
      </c>
      <c r="D213" s="9">
        <v>1.228</v>
      </c>
      <c r="E213" s="37">
        <v>0.29170000000000001</v>
      </c>
      <c r="F213" s="9">
        <v>0.3896</v>
      </c>
      <c r="G213" s="9">
        <v>-0.1419054545454545</v>
      </c>
      <c r="H213" s="9">
        <v>6.7699999999999996E-2</v>
      </c>
      <c r="I213" s="9">
        <v>0.1595</v>
      </c>
      <c r="J213" s="57">
        <f t="shared" si="32"/>
        <v>0.11460517120894487</v>
      </c>
      <c r="K213" s="9">
        <v>1.6253</v>
      </c>
      <c r="L213" s="57">
        <f t="shared" si="34"/>
        <v>1.0067739730283964E-2</v>
      </c>
      <c r="M213" s="25">
        <v>0.33160000000000001</v>
      </c>
      <c r="N213" s="57">
        <f t="shared" si="33"/>
        <v>9.8740888005301564E-2</v>
      </c>
      <c r="O213" s="9">
        <v>0.50209999999999999</v>
      </c>
      <c r="P213" s="57">
        <f t="shared" si="35"/>
        <v>5.6078509913879415E-3</v>
      </c>
      <c r="Q213" s="2" t="s">
        <v>3384</v>
      </c>
    </row>
    <row r="214" spans="1:17" ht="42.75" customHeight="1" x14ac:dyDescent="0.25">
      <c r="A214" s="8">
        <v>7.27</v>
      </c>
      <c r="B214" s="2" t="s">
        <v>3378</v>
      </c>
      <c r="C214" s="37">
        <v>0.12709999999999999</v>
      </c>
      <c r="D214" s="9">
        <v>1.1422000000000001</v>
      </c>
      <c r="E214" s="37">
        <v>0.35980000000000001</v>
      </c>
      <c r="F214" s="9">
        <v>0.46629999999999999</v>
      </c>
      <c r="G214" s="9">
        <v>-0.14534214285714286</v>
      </c>
      <c r="H214" s="9">
        <v>4.6199999999999998E-2</v>
      </c>
      <c r="I214" s="9">
        <v>0.15579999999999999</v>
      </c>
      <c r="J214" s="57">
        <f t="shared" si="32"/>
        <v>8.8749126484975571E-2</v>
      </c>
      <c r="K214" s="9">
        <v>1.5577000000000001</v>
      </c>
      <c r="L214" s="57">
        <f t="shared" si="34"/>
        <v>-3.1943322354110903E-2</v>
      </c>
      <c r="M214" s="25">
        <v>0.35399999999999998</v>
      </c>
      <c r="N214" s="57">
        <f t="shared" si="33"/>
        <v>0.17296222664015892</v>
      </c>
      <c r="O214" s="9">
        <v>0.51900000000000002</v>
      </c>
      <c r="P214" s="57">
        <f t="shared" si="35"/>
        <v>3.9455237332265192E-2</v>
      </c>
      <c r="Q214" s="2" t="s">
        <v>3379</v>
      </c>
    </row>
    <row r="215" spans="1:17" ht="42.75" customHeight="1" x14ac:dyDescent="0.25">
      <c r="A215" s="8">
        <v>7.27</v>
      </c>
      <c r="B215" s="2" t="s">
        <v>3378</v>
      </c>
      <c r="C215" s="37">
        <v>0.12790000000000001</v>
      </c>
      <c r="D215" s="9">
        <v>1.1516999999999999</v>
      </c>
      <c r="E215" s="37">
        <v>0.35849999999999999</v>
      </c>
      <c r="F215" s="9">
        <v>0.4743</v>
      </c>
      <c r="G215" s="9">
        <v>-0.13780032258064517</v>
      </c>
      <c r="H215" s="9">
        <v>5.2999999999999999E-2</v>
      </c>
      <c r="I215" s="9">
        <v>0.15620000000000001</v>
      </c>
      <c r="J215" s="57">
        <f t="shared" si="32"/>
        <v>9.1544374563242492E-2</v>
      </c>
      <c r="K215" s="9">
        <v>1.5723</v>
      </c>
      <c r="L215" s="57">
        <f t="shared" si="34"/>
        <v>-2.286992728854631E-2</v>
      </c>
      <c r="M215" s="25">
        <v>0.3599</v>
      </c>
      <c r="N215" s="57">
        <f t="shared" si="33"/>
        <v>0.19251159708416155</v>
      </c>
      <c r="O215" s="9">
        <v>0.52829999999999999</v>
      </c>
      <c r="P215" s="57">
        <f t="shared" si="35"/>
        <v>5.8081313839374982E-2</v>
      </c>
      <c r="Q215" s="2" t="s">
        <v>3381</v>
      </c>
    </row>
    <row r="216" spans="1:17" ht="42.75" customHeight="1" x14ac:dyDescent="0.25">
      <c r="A216" s="8">
        <v>7.27</v>
      </c>
      <c r="B216" s="2" t="s">
        <v>3378</v>
      </c>
      <c r="C216" s="37">
        <v>9.11E-2</v>
      </c>
      <c r="D216" s="9">
        <v>0.82179999999999997</v>
      </c>
      <c r="E216" s="37">
        <v>0.30649999999999999</v>
      </c>
      <c r="F216" s="9">
        <v>0.38100000000000001</v>
      </c>
      <c r="G216" s="9">
        <v>-9.9735312499999992E-2</v>
      </c>
      <c r="H216" s="9">
        <v>2.06E-2</v>
      </c>
      <c r="I216" s="9">
        <v>0.14419999999999999</v>
      </c>
      <c r="J216" s="57">
        <f t="shared" si="32"/>
        <v>7.686932215233977E-3</v>
      </c>
      <c r="K216" s="9">
        <v>1.4322999999999999</v>
      </c>
      <c r="L216" s="57">
        <f t="shared" si="34"/>
        <v>-0.10987508545149471</v>
      </c>
      <c r="M216" s="25">
        <v>0.31859999999999999</v>
      </c>
      <c r="N216" s="57">
        <f t="shared" si="33"/>
        <v>5.5666003976143186E-2</v>
      </c>
      <c r="O216" s="9">
        <v>0.45850000000000002</v>
      </c>
      <c r="P216" s="57">
        <f t="shared" si="35"/>
        <v>-8.1714400160224354E-2</v>
      </c>
      <c r="Q216" s="2" t="s">
        <v>3382</v>
      </c>
    </row>
    <row r="217" spans="1:17" ht="42.75" customHeight="1" x14ac:dyDescent="0.25">
      <c r="A217" s="8">
        <v>7.27</v>
      </c>
      <c r="B217" s="2" t="s">
        <v>3378</v>
      </c>
      <c r="C217" s="37">
        <v>6.8400000000000002E-2</v>
      </c>
      <c r="D217" s="9">
        <v>0.70740000000000003</v>
      </c>
      <c r="E217" s="37">
        <v>0.13689999999999999</v>
      </c>
      <c r="F217" s="9">
        <v>0.2077</v>
      </c>
      <c r="G217" s="9">
        <v>-8.7981999999999977E-2</v>
      </c>
      <c r="H217" s="9">
        <v>0.43559999999999999</v>
      </c>
      <c r="I217" s="9">
        <v>0.12670000000000001</v>
      </c>
      <c r="J217" s="57">
        <f t="shared" si="32"/>
        <v>-0.11460517120894476</v>
      </c>
      <c r="K217" s="9">
        <v>1.2312000000000001</v>
      </c>
      <c r="L217" s="57">
        <f t="shared" si="34"/>
        <v>-0.23485178049841515</v>
      </c>
      <c r="M217" s="25">
        <v>0.25480000000000003</v>
      </c>
      <c r="N217" s="57">
        <f t="shared" si="33"/>
        <v>-0.15573227302849568</v>
      </c>
      <c r="O217" s="9">
        <v>0.40699999999999997</v>
      </c>
      <c r="P217" s="57">
        <f t="shared" si="35"/>
        <v>-0.18485880232325269</v>
      </c>
      <c r="Q217" s="2" t="s">
        <v>3383</v>
      </c>
    </row>
    <row r="218" spans="1:17" ht="42.75" customHeight="1" x14ac:dyDescent="0.25">
      <c r="A218" s="8">
        <v>7.27</v>
      </c>
      <c r="B218" s="2" t="s">
        <v>3378</v>
      </c>
      <c r="C218" s="37">
        <v>8.4400000000000003E-2</v>
      </c>
      <c r="D218" s="9">
        <v>0.89859999999999995</v>
      </c>
      <c r="E218" s="37">
        <v>0.14560000000000001</v>
      </c>
      <c r="F218" s="9">
        <v>0.28129999999999999</v>
      </c>
      <c r="G218" s="9">
        <v>-0.1025475</v>
      </c>
      <c r="H218" s="9">
        <v>0.67400000000000004</v>
      </c>
      <c r="I218" s="9">
        <v>0.1246</v>
      </c>
      <c r="J218" s="57">
        <f t="shared" si="32"/>
        <v>-0.12928022361984626</v>
      </c>
      <c r="K218" s="9">
        <v>1.2155</v>
      </c>
      <c r="L218" s="57">
        <f t="shared" si="34"/>
        <v>-0.24460878752097448</v>
      </c>
      <c r="M218" s="25">
        <v>0.25219999999999998</v>
      </c>
      <c r="N218" s="57">
        <f t="shared" si="33"/>
        <v>-0.16434724983432747</v>
      </c>
      <c r="O218" s="9">
        <v>0.42380000000000001</v>
      </c>
      <c r="P218" s="57">
        <f t="shared" si="35"/>
        <v>-0.15121169637492493</v>
      </c>
      <c r="Q218" s="2" t="s">
        <v>3380</v>
      </c>
    </row>
    <row r="219" spans="1:17" ht="42.75" customHeight="1" x14ac:dyDescent="0.25">
      <c r="A219" s="8">
        <v>7.26</v>
      </c>
      <c r="B219" s="2" t="s">
        <v>191</v>
      </c>
      <c r="C219" s="37">
        <v>9.9299999999999999E-2</v>
      </c>
      <c r="D219" s="9">
        <v>1.0709</v>
      </c>
      <c r="E219" s="37">
        <v>0.2034</v>
      </c>
      <c r="F219" s="9">
        <v>0.33979999999999999</v>
      </c>
      <c r="G219" s="9">
        <v>-0.49903103448275865</v>
      </c>
      <c r="H219" s="9">
        <v>0.76590000000000003</v>
      </c>
      <c r="I219" s="9">
        <v>0.12570000000000001</v>
      </c>
      <c r="J219" s="57">
        <f t="shared" si="32"/>
        <v>-0.12159329140461217</v>
      </c>
      <c r="K219" s="9">
        <v>1.2391000000000001</v>
      </c>
      <c r="L219" s="57">
        <f t="shared" si="34"/>
        <v>-0.22994220371636309</v>
      </c>
      <c r="M219" s="25">
        <v>0.26129999999999998</v>
      </c>
      <c r="N219" s="57">
        <f t="shared" si="33"/>
        <v>-0.1341948310139166</v>
      </c>
      <c r="O219" s="9">
        <v>0.42549999999999999</v>
      </c>
      <c r="P219" s="57">
        <f t="shared" si="35"/>
        <v>-0.14780692970158227</v>
      </c>
      <c r="Q219" s="2" t="s">
        <v>3377</v>
      </c>
    </row>
    <row r="220" spans="1:17" ht="42.75" customHeight="1" x14ac:dyDescent="0.25">
      <c r="A220" s="8">
        <v>7.26</v>
      </c>
      <c r="B220" s="9" t="s">
        <v>163</v>
      </c>
      <c r="C220" s="37">
        <v>0.1162</v>
      </c>
      <c r="D220" s="9">
        <v>1.3037000000000001</v>
      </c>
      <c r="E220" s="37">
        <v>0.23649999999999999</v>
      </c>
      <c r="F220" s="9">
        <v>0.38100000000000001</v>
      </c>
      <c r="G220" s="9">
        <v>-0.33787307692307689</v>
      </c>
      <c r="H220" s="9">
        <v>0.87390000000000001</v>
      </c>
      <c r="I220" s="9">
        <v>0.127</v>
      </c>
      <c r="J220" s="57">
        <f t="shared" si="32"/>
        <v>-0.11250873515024462</v>
      </c>
      <c r="K220" s="9">
        <v>1.2766</v>
      </c>
      <c r="L220" s="57">
        <f t="shared" si="34"/>
        <v>-0.20663725063700211</v>
      </c>
      <c r="M220" s="25">
        <v>0.26340000000000002</v>
      </c>
      <c r="N220" s="57">
        <f t="shared" si="33"/>
        <v>-0.12723658051689857</v>
      </c>
      <c r="O220" s="9">
        <v>0.43269999999999997</v>
      </c>
      <c r="P220" s="57">
        <f t="shared" si="35"/>
        <v>-0.13338674143801332</v>
      </c>
      <c r="Q220" s="2" t="s">
        <v>3377</v>
      </c>
    </row>
    <row r="221" spans="1:17" ht="42.75" customHeight="1" x14ac:dyDescent="0.25">
      <c r="A221" s="8">
        <v>7.26</v>
      </c>
      <c r="B221" s="9" t="s">
        <v>216</v>
      </c>
      <c r="C221" s="37">
        <v>0.1162</v>
      </c>
      <c r="D221" s="9">
        <v>1.2799</v>
      </c>
      <c r="E221" s="37">
        <v>0.23330000000000001</v>
      </c>
      <c r="F221" s="9">
        <v>0.3795</v>
      </c>
      <c r="G221" s="9">
        <v>-0.3812592592592593</v>
      </c>
      <c r="H221" s="9">
        <v>0.87029999999999996</v>
      </c>
      <c r="I221" s="9">
        <v>0.12709999999999999</v>
      </c>
      <c r="J221" s="57">
        <f t="shared" si="32"/>
        <v>-0.11180992313067795</v>
      </c>
      <c r="K221" s="9">
        <v>1.2724</v>
      </c>
      <c r="L221" s="57">
        <f t="shared" si="34"/>
        <v>-0.20924740538189046</v>
      </c>
      <c r="M221" s="25">
        <v>0.26490000000000002</v>
      </c>
      <c r="N221" s="57">
        <f t="shared" si="33"/>
        <v>-0.12226640159045721</v>
      </c>
      <c r="O221" s="9">
        <v>0.435</v>
      </c>
      <c r="P221" s="57">
        <f t="shared" si="35"/>
        <v>-0.12878029240937316</v>
      </c>
      <c r="Q221" s="2" t="s">
        <v>3377</v>
      </c>
    </row>
    <row r="222" spans="1:17" ht="42.75" customHeight="1" x14ac:dyDescent="0.25">
      <c r="A222" s="8">
        <v>7.26</v>
      </c>
      <c r="B222" s="2" t="s">
        <v>157</v>
      </c>
      <c r="C222" s="37">
        <v>0.1075</v>
      </c>
      <c r="D222" s="9">
        <v>1.1412</v>
      </c>
      <c r="E222" s="37">
        <v>0.2402</v>
      </c>
      <c r="F222" s="9">
        <v>0.39400000000000002</v>
      </c>
      <c r="G222" s="9">
        <v>-0.37794137931034494</v>
      </c>
      <c r="H222" s="9">
        <v>0.83209999999999995</v>
      </c>
      <c r="I222" s="9">
        <v>0.126</v>
      </c>
      <c r="J222" s="57">
        <f t="shared" si="32"/>
        <v>-0.11949685534591192</v>
      </c>
      <c r="K222" s="9">
        <v>1.2505999999999999</v>
      </c>
      <c r="L222" s="57">
        <f t="shared" si="34"/>
        <v>-0.22279535143869245</v>
      </c>
      <c r="M222" s="25">
        <v>0.25569999999999998</v>
      </c>
      <c r="N222" s="57">
        <f t="shared" si="33"/>
        <v>-0.152750165672631</v>
      </c>
      <c r="O222" s="9">
        <v>0.42009999999999997</v>
      </c>
      <c r="P222" s="57">
        <f t="shared" si="35"/>
        <v>-0.15862207089925906</v>
      </c>
      <c r="Q222" s="2" t="s">
        <v>3377</v>
      </c>
    </row>
    <row r="223" spans="1:17" ht="42.75" customHeight="1" x14ac:dyDescent="0.25">
      <c r="A223" s="8">
        <v>7.25</v>
      </c>
      <c r="B223" s="2" t="s">
        <v>191</v>
      </c>
      <c r="C223" s="37">
        <v>8.14E-2</v>
      </c>
      <c r="D223" s="9">
        <v>0.80479999999999996</v>
      </c>
      <c r="E223" s="37">
        <v>0.1759</v>
      </c>
      <c r="F223" s="9">
        <v>0.29470000000000002</v>
      </c>
      <c r="G223" s="9">
        <v>-0.67179999999999995</v>
      </c>
      <c r="H223" s="9">
        <v>0.64539999999999997</v>
      </c>
      <c r="I223" s="9">
        <v>0.1246</v>
      </c>
      <c r="J223" s="57">
        <f t="shared" si="32"/>
        <v>-0.12928022361984626</v>
      </c>
      <c r="K223" s="9">
        <v>1.2094</v>
      </c>
      <c r="L223" s="57">
        <f t="shared" si="34"/>
        <v>-0.24839972655521714</v>
      </c>
      <c r="M223" s="25">
        <v>0.25769999999999998</v>
      </c>
      <c r="N223" s="57">
        <f t="shared" si="33"/>
        <v>-0.14612326043737578</v>
      </c>
      <c r="O223" s="9">
        <v>0.42330000000000001</v>
      </c>
      <c r="P223" s="57">
        <f t="shared" si="35"/>
        <v>-0.15221309833767271</v>
      </c>
      <c r="Q223" s="2" t="s">
        <v>3376</v>
      </c>
    </row>
    <row r="224" spans="1:17" ht="42.75" customHeight="1" x14ac:dyDescent="0.25">
      <c r="A224" s="8">
        <v>7.25</v>
      </c>
      <c r="B224" s="2" t="s">
        <v>157</v>
      </c>
      <c r="C224" s="37">
        <v>8.6999999999999994E-2</v>
      </c>
      <c r="D224" s="9">
        <v>0.78800000000000003</v>
      </c>
      <c r="E224" s="37">
        <v>0.17879999999999999</v>
      </c>
      <c r="F224" s="9">
        <v>0.27579999999999999</v>
      </c>
      <c r="G224" s="9">
        <v>-0.50867931034482761</v>
      </c>
      <c r="H224" s="9">
        <v>0.69340000000000002</v>
      </c>
      <c r="I224" s="9">
        <v>0.12470000000000001</v>
      </c>
      <c r="J224" s="57">
        <f t="shared" si="32"/>
        <v>-0.12858141160027947</v>
      </c>
      <c r="K224" s="9">
        <v>1.2028000000000001</v>
      </c>
      <c r="L224" s="57">
        <f t="shared" si="34"/>
        <v>-0.25250139829718465</v>
      </c>
      <c r="M224" s="25">
        <v>0.26629999999999998</v>
      </c>
      <c r="N224" s="57">
        <f t="shared" si="33"/>
        <v>-0.11762756792577878</v>
      </c>
      <c r="O224" s="9">
        <v>0.43180000000000002</v>
      </c>
      <c r="P224" s="57">
        <f t="shared" si="35"/>
        <v>-0.1351892649709594</v>
      </c>
      <c r="Q224" s="2" t="s">
        <v>3376</v>
      </c>
    </row>
    <row r="225" spans="1:17" ht="42.75" customHeight="1" x14ac:dyDescent="0.25">
      <c r="A225" s="8">
        <v>7.25</v>
      </c>
      <c r="B225" s="9" t="s">
        <v>216</v>
      </c>
      <c r="C225" s="37">
        <v>9.6699999999999994E-2</v>
      </c>
      <c r="D225" s="9">
        <v>0.92669999999999997</v>
      </c>
      <c r="E225" s="37">
        <v>0.20319999999999999</v>
      </c>
      <c r="F225" s="9">
        <v>0.3085</v>
      </c>
      <c r="G225" s="9">
        <v>-0.52964375000000008</v>
      </c>
      <c r="H225" s="9">
        <v>0.74509999999999998</v>
      </c>
      <c r="I225" s="9">
        <v>0.12570000000000001</v>
      </c>
      <c r="J225" s="57">
        <f t="shared" si="32"/>
        <v>-0.12159329140461217</v>
      </c>
      <c r="K225" s="9">
        <v>1.2289000000000001</v>
      </c>
      <c r="L225" s="57">
        <f t="shared" si="34"/>
        <v>-0.2362811509539493</v>
      </c>
      <c r="M225" s="25">
        <v>0.26279999999999998</v>
      </c>
      <c r="N225" s="57">
        <f t="shared" si="33"/>
        <v>-0.12922465208747524</v>
      </c>
      <c r="O225" s="9">
        <v>0.42330000000000001</v>
      </c>
      <c r="P225" s="57">
        <f t="shared" si="35"/>
        <v>-0.15221309833767271</v>
      </c>
      <c r="Q225" s="2" t="s">
        <v>3376</v>
      </c>
    </row>
    <row r="226" spans="1:17" ht="42.75" customHeight="1" x14ac:dyDescent="0.25">
      <c r="A226" s="8">
        <v>7.25</v>
      </c>
      <c r="B226" s="9" t="s">
        <v>163</v>
      </c>
      <c r="C226" s="37">
        <v>9.5899999999999999E-2</v>
      </c>
      <c r="D226" s="9">
        <v>0.93640000000000001</v>
      </c>
      <c r="E226" s="37">
        <v>0.20180000000000001</v>
      </c>
      <c r="F226" s="9">
        <v>0.3206</v>
      </c>
      <c r="G226" s="9">
        <v>-0.41705357142857152</v>
      </c>
      <c r="H226" s="9">
        <v>0.73829999999999996</v>
      </c>
      <c r="I226" s="9">
        <v>0.12559999999999999</v>
      </c>
      <c r="J226" s="57">
        <f t="shared" si="32"/>
        <v>-0.12229210342417896</v>
      </c>
      <c r="K226" s="9">
        <v>1.2423</v>
      </c>
      <c r="L226" s="57">
        <f t="shared" si="34"/>
        <v>-0.22795351438692435</v>
      </c>
      <c r="M226" s="25">
        <v>0.26469999999999999</v>
      </c>
      <c r="N226" s="57">
        <f t="shared" si="33"/>
        <v>-0.12292909211398284</v>
      </c>
      <c r="O226" s="9">
        <v>0.42980000000000002</v>
      </c>
      <c r="P226" s="57">
        <f t="shared" si="35"/>
        <v>-0.13919487282195075</v>
      </c>
      <c r="Q226" s="2" t="s">
        <v>3376</v>
      </c>
    </row>
    <row r="227" spans="1:17" ht="42.75" customHeight="1" x14ac:dyDescent="0.25">
      <c r="A227" s="8">
        <v>7.24</v>
      </c>
      <c r="B227" s="2" t="s">
        <v>157</v>
      </c>
      <c r="C227" s="37">
        <v>0.1118</v>
      </c>
      <c r="D227" s="9">
        <v>1.1271</v>
      </c>
      <c r="E227" s="37">
        <v>0.23649999999999999</v>
      </c>
      <c r="F227" s="9">
        <v>0.37619999999999998</v>
      </c>
      <c r="G227" s="9">
        <v>-0.36461428571428567</v>
      </c>
      <c r="H227" s="9">
        <v>0.8337</v>
      </c>
      <c r="I227" s="9">
        <v>0.1268</v>
      </c>
      <c r="J227" s="57">
        <f t="shared" si="32"/>
        <v>-0.11390635918937808</v>
      </c>
      <c r="K227" s="9">
        <v>1.2519</v>
      </c>
      <c r="L227" s="57">
        <f t="shared" si="34"/>
        <v>-0.2219874463986079</v>
      </c>
      <c r="M227" s="25">
        <v>0.2591</v>
      </c>
      <c r="N227" s="57">
        <f t="shared" si="33"/>
        <v>-0.14148442677269724</v>
      </c>
      <c r="O227" s="9">
        <v>0.42530000000000001</v>
      </c>
      <c r="P227" s="57">
        <f t="shared" si="35"/>
        <v>-0.14820749048668136</v>
      </c>
      <c r="Q227" s="9" t="s">
        <v>2169</v>
      </c>
    </row>
    <row r="228" spans="1:17" ht="42.75" customHeight="1" x14ac:dyDescent="0.25">
      <c r="A228" s="8">
        <v>7.24</v>
      </c>
      <c r="B228" s="2" t="s">
        <v>191</v>
      </c>
      <c r="C228" s="37">
        <v>0.1</v>
      </c>
      <c r="D228" s="9">
        <v>1.1637</v>
      </c>
      <c r="E228" s="37">
        <v>0.2203</v>
      </c>
      <c r="F228" s="9">
        <v>0.36530000000000001</v>
      </c>
      <c r="G228" s="9">
        <v>-0.49472758620689661</v>
      </c>
      <c r="H228" s="9">
        <v>0.72919999999999996</v>
      </c>
      <c r="I228" s="9">
        <v>0.12659999999999999</v>
      </c>
      <c r="J228" s="57">
        <f t="shared" ref="J228:J291" si="36">I228/0.1431-1</f>
        <v>-0.11530398322851165</v>
      </c>
      <c r="K228" s="9">
        <v>1.2681</v>
      </c>
      <c r="L228" s="57">
        <f t="shared" si="34"/>
        <v>-0.21191970666832394</v>
      </c>
      <c r="M228" s="25">
        <v>0.2626</v>
      </c>
      <c r="N228" s="57">
        <f t="shared" ref="N228:N291" si="37">M228/0.3018-1</f>
        <v>-0.12988734261100066</v>
      </c>
      <c r="O228" s="9">
        <v>0.4244</v>
      </c>
      <c r="P228" s="57">
        <f t="shared" si="35"/>
        <v>-0.15001001401962755</v>
      </c>
      <c r="Q228" s="9" t="s">
        <v>2169</v>
      </c>
    </row>
    <row r="229" spans="1:17" ht="42.75" customHeight="1" x14ac:dyDescent="0.25">
      <c r="A229" s="8">
        <v>7.24</v>
      </c>
      <c r="B229" s="9" t="s">
        <v>216</v>
      </c>
      <c r="C229" s="37">
        <v>0.1177</v>
      </c>
      <c r="D229" s="9">
        <v>1.2544</v>
      </c>
      <c r="E229" s="37">
        <v>0.23080000000000001</v>
      </c>
      <c r="F229" s="9">
        <v>0.37619999999999998</v>
      </c>
      <c r="G229" s="9">
        <v>-0.3776633333333333</v>
      </c>
      <c r="H229" s="9">
        <v>0.86739999999999995</v>
      </c>
      <c r="I229" s="9">
        <v>0.1273</v>
      </c>
      <c r="J229" s="57">
        <f t="shared" si="36"/>
        <v>-0.11041229909154437</v>
      </c>
      <c r="K229" s="9">
        <v>1.2727999999999999</v>
      </c>
      <c r="L229" s="57">
        <f t="shared" si="34"/>
        <v>-0.20899881921571073</v>
      </c>
      <c r="M229" s="25">
        <v>0.25840000000000002</v>
      </c>
      <c r="N229" s="57">
        <f t="shared" si="37"/>
        <v>-0.1438038436050364</v>
      </c>
      <c r="O229" s="9">
        <v>0.41820000000000002</v>
      </c>
      <c r="P229" s="57">
        <f t="shared" si="35"/>
        <v>-0.16242739835770081</v>
      </c>
      <c r="Q229" s="9" t="s">
        <v>2169</v>
      </c>
    </row>
    <row r="230" spans="1:17" ht="42.75" customHeight="1" x14ac:dyDescent="0.25">
      <c r="A230" s="8">
        <v>7.24</v>
      </c>
      <c r="B230" s="9" t="s">
        <v>163</v>
      </c>
      <c r="C230" s="37">
        <v>0.1193</v>
      </c>
      <c r="D230" s="9">
        <v>1.2925</v>
      </c>
      <c r="E230" s="37">
        <v>0.249</v>
      </c>
      <c r="F230" s="9">
        <v>0.37730000000000002</v>
      </c>
      <c r="G230" s="9">
        <v>-0.35356129032258071</v>
      </c>
      <c r="H230" s="9">
        <v>0.85160000000000002</v>
      </c>
      <c r="I230" s="9">
        <v>0.128</v>
      </c>
      <c r="J230" s="57">
        <f t="shared" si="36"/>
        <v>-0.10552061495457721</v>
      </c>
      <c r="K230" s="9">
        <v>1.2879</v>
      </c>
      <c r="L230" s="57">
        <f t="shared" si="34"/>
        <v>-0.19961469144242117</v>
      </c>
      <c r="M230" s="25">
        <v>0.2636</v>
      </c>
      <c r="N230" s="57">
        <f t="shared" si="37"/>
        <v>-0.12657388999337316</v>
      </c>
      <c r="O230" s="9">
        <v>0.42220000000000002</v>
      </c>
      <c r="P230" s="57">
        <f t="shared" si="35"/>
        <v>-0.15441618265571799</v>
      </c>
      <c r="Q230" s="9" t="s">
        <v>2169</v>
      </c>
    </row>
    <row r="231" spans="1:17" ht="42.75" customHeight="1" x14ac:dyDescent="0.25">
      <c r="A231" s="8">
        <v>7.23</v>
      </c>
      <c r="B231" s="9" t="s">
        <v>216</v>
      </c>
      <c r="C231" s="37">
        <v>0.12139999999999999</v>
      </c>
      <c r="D231" s="9">
        <v>1.3998999999999999</v>
      </c>
      <c r="E231" s="37">
        <v>0.24959999999999999</v>
      </c>
      <c r="F231" s="9">
        <v>0.40060000000000001</v>
      </c>
      <c r="G231" s="9">
        <v>-0.356176923076923</v>
      </c>
      <c r="H231" s="9">
        <v>0.83909999999999996</v>
      </c>
      <c r="I231" s="9">
        <v>0.12870000000000001</v>
      </c>
      <c r="J231" s="57">
        <f t="shared" si="36"/>
        <v>-0.10062893081761004</v>
      </c>
      <c r="K231" s="9">
        <v>1.3011999999999999</v>
      </c>
      <c r="L231" s="57">
        <f t="shared" si="34"/>
        <v>-0.19134920141694123</v>
      </c>
      <c r="M231" s="25">
        <v>0.26340000000000002</v>
      </c>
      <c r="N231" s="57">
        <f t="shared" si="37"/>
        <v>-0.12723658051689857</v>
      </c>
      <c r="O231" s="9">
        <v>0.43149999999999999</v>
      </c>
      <c r="P231" s="57">
        <f t="shared" si="35"/>
        <v>-0.13579010614860809</v>
      </c>
      <c r="Q231" s="9" t="s">
        <v>3375</v>
      </c>
    </row>
    <row r="232" spans="1:17" ht="42.75" customHeight="1" x14ac:dyDescent="0.25">
      <c r="A232" s="8">
        <v>7.23</v>
      </c>
      <c r="B232" s="9" t="s">
        <v>216</v>
      </c>
      <c r="C232" s="37">
        <v>0.12230000000000001</v>
      </c>
      <c r="D232" s="9">
        <v>1.4069</v>
      </c>
      <c r="E232" s="37">
        <v>0.2432</v>
      </c>
      <c r="F232" s="9">
        <v>0.38229999999999997</v>
      </c>
      <c r="G232" s="9">
        <v>-0.32145666666666678</v>
      </c>
      <c r="H232" s="9">
        <v>0.84689999999999999</v>
      </c>
      <c r="I232" s="9">
        <v>0.12870000000000001</v>
      </c>
      <c r="J232" s="57">
        <f t="shared" si="36"/>
        <v>-0.10062893081761004</v>
      </c>
      <c r="K232" s="9">
        <v>1.2965</v>
      </c>
      <c r="L232" s="57">
        <f t="shared" si="34"/>
        <v>-0.19427008886955444</v>
      </c>
      <c r="M232" s="25">
        <v>0.27110000000000001</v>
      </c>
      <c r="N232" s="57">
        <f t="shared" si="37"/>
        <v>-0.10172299536116636</v>
      </c>
      <c r="O232" s="9">
        <v>0.44030000000000002</v>
      </c>
      <c r="P232" s="57">
        <f t="shared" si="35"/>
        <v>-0.11816543160424597</v>
      </c>
      <c r="Q232" s="9" t="s">
        <v>3375</v>
      </c>
    </row>
    <row r="233" spans="1:17" ht="42.75" customHeight="1" x14ac:dyDescent="0.25">
      <c r="A233" s="8">
        <v>7.23</v>
      </c>
      <c r="B233" s="9" t="s">
        <v>216</v>
      </c>
      <c r="C233" s="37">
        <v>0.11940000000000001</v>
      </c>
      <c r="D233" s="9">
        <v>1.4118999999999999</v>
      </c>
      <c r="E233" s="37">
        <v>0.2487</v>
      </c>
      <c r="F233" s="9">
        <v>0.39650000000000002</v>
      </c>
      <c r="G233" s="9">
        <v>-0.3376777777777778</v>
      </c>
      <c r="H233" s="9">
        <v>0.82940000000000003</v>
      </c>
      <c r="I233" s="9">
        <v>0.1285</v>
      </c>
      <c r="J233" s="57">
        <f t="shared" si="36"/>
        <v>-0.1020265548567435</v>
      </c>
      <c r="K233" s="9">
        <v>1.2991999999999999</v>
      </c>
      <c r="L233" s="57">
        <f t="shared" si="34"/>
        <v>-0.19259213224784044</v>
      </c>
      <c r="M233" s="25">
        <v>0.2656</v>
      </c>
      <c r="N233" s="57">
        <f t="shared" si="37"/>
        <v>-0.11994698475811794</v>
      </c>
      <c r="O233" s="9">
        <v>0.4254</v>
      </c>
      <c r="P233" s="57">
        <f t="shared" si="35"/>
        <v>-0.14800721009413187</v>
      </c>
      <c r="Q233" s="9" t="s">
        <v>3375</v>
      </c>
    </row>
    <row r="234" spans="1:17" ht="42.75" customHeight="1" x14ac:dyDescent="0.25">
      <c r="A234" s="8">
        <v>7.23</v>
      </c>
      <c r="B234" s="9" t="s">
        <v>216</v>
      </c>
      <c r="C234" s="37">
        <v>0.1222</v>
      </c>
      <c r="D234" s="9">
        <v>1.41</v>
      </c>
      <c r="E234" s="37">
        <v>0.24379999999999999</v>
      </c>
      <c r="F234" s="9">
        <v>0.37940000000000002</v>
      </c>
      <c r="G234" s="9">
        <v>-0.33528666666666662</v>
      </c>
      <c r="H234" s="9">
        <v>0.83909999999999996</v>
      </c>
      <c r="I234" s="9">
        <v>0.1288</v>
      </c>
      <c r="J234" s="57">
        <f t="shared" si="36"/>
        <v>-9.9930118798043366E-2</v>
      </c>
      <c r="K234" s="9">
        <v>1.2989999999999999</v>
      </c>
      <c r="L234" s="57">
        <f t="shared" si="34"/>
        <v>-0.19271642533093036</v>
      </c>
      <c r="M234" s="25">
        <v>0.26729999999999998</v>
      </c>
      <c r="N234" s="57">
        <f t="shared" si="37"/>
        <v>-0.11431411530815117</v>
      </c>
      <c r="O234" s="9">
        <v>0.43509999999999999</v>
      </c>
      <c r="P234" s="57">
        <f t="shared" si="35"/>
        <v>-0.12858001201682356</v>
      </c>
      <c r="Q234" s="9" t="s">
        <v>3375</v>
      </c>
    </row>
    <row r="235" spans="1:17" ht="42.75" customHeight="1" x14ac:dyDescent="0.25">
      <c r="A235" s="8">
        <v>7.23</v>
      </c>
      <c r="B235" s="9" t="s">
        <v>216</v>
      </c>
      <c r="C235" s="37">
        <v>0.1227</v>
      </c>
      <c r="D235" s="9">
        <v>1.4224000000000001</v>
      </c>
      <c r="E235" s="37">
        <v>0.2535</v>
      </c>
      <c r="F235" s="9">
        <v>0.41089999999999999</v>
      </c>
      <c r="G235" s="9">
        <v>-0.36933043478260863</v>
      </c>
      <c r="H235" s="9">
        <v>0.84740000000000004</v>
      </c>
      <c r="I235" s="9">
        <v>0.12870000000000001</v>
      </c>
      <c r="J235" s="57">
        <f t="shared" si="36"/>
        <v>-0.10062893081761004</v>
      </c>
      <c r="K235" s="9">
        <v>1.2998000000000001</v>
      </c>
      <c r="L235" s="57">
        <f t="shared" si="34"/>
        <v>-0.19221925299857057</v>
      </c>
      <c r="M235" s="25">
        <v>0.26440000000000002</v>
      </c>
      <c r="N235" s="57">
        <f t="shared" si="37"/>
        <v>-0.12392312789927096</v>
      </c>
      <c r="O235" s="9">
        <v>0.42909999999999998</v>
      </c>
      <c r="P235" s="57">
        <f t="shared" si="35"/>
        <v>-0.14059683556979774</v>
      </c>
      <c r="Q235" s="9" t="s">
        <v>3375</v>
      </c>
    </row>
    <row r="236" spans="1:17" ht="42.75" customHeight="1" x14ac:dyDescent="0.25">
      <c r="A236" s="8">
        <v>7.22</v>
      </c>
      <c r="B236" s="9" t="s">
        <v>216</v>
      </c>
      <c r="C236" s="37">
        <v>9.4700000000000006E-2</v>
      </c>
      <c r="D236" s="9">
        <v>0.86040000000000005</v>
      </c>
      <c r="E236" s="37">
        <v>0.18609999999999999</v>
      </c>
      <c r="F236" s="9">
        <v>0.30959999999999999</v>
      </c>
      <c r="G236" s="9">
        <v>-0.53769687499999996</v>
      </c>
      <c r="H236" s="9">
        <v>0.7147</v>
      </c>
      <c r="I236" s="9">
        <v>0.12590000000000001</v>
      </c>
      <c r="J236" s="57">
        <f t="shared" si="36"/>
        <v>-0.1201956673654786</v>
      </c>
      <c r="K236" s="9">
        <v>1.2242999999999999</v>
      </c>
      <c r="L236" s="57">
        <f t="shared" si="34"/>
        <v>-0.23913989186501772</v>
      </c>
      <c r="M236" s="25">
        <v>0.26850000000000002</v>
      </c>
      <c r="N236" s="57">
        <f t="shared" si="37"/>
        <v>-0.11033797216699803</v>
      </c>
      <c r="O236" s="9">
        <v>0.43809999999999999</v>
      </c>
      <c r="P236" s="57">
        <f t="shared" si="35"/>
        <v>-0.12257160024033653</v>
      </c>
      <c r="Q236" s="9" t="s">
        <v>2171</v>
      </c>
    </row>
    <row r="237" spans="1:17" ht="42.75" customHeight="1" x14ac:dyDescent="0.25">
      <c r="A237" s="8">
        <v>7.22</v>
      </c>
      <c r="B237" s="9" t="s">
        <v>216</v>
      </c>
      <c r="C237" s="37">
        <v>0.1182</v>
      </c>
      <c r="D237" s="9">
        <v>1.3418000000000001</v>
      </c>
      <c r="E237" s="37">
        <v>0.2339</v>
      </c>
      <c r="F237" s="9">
        <v>0.36349999999999999</v>
      </c>
      <c r="G237" s="9">
        <v>-0.34004374999999992</v>
      </c>
      <c r="H237" s="9">
        <v>0.82169999999999999</v>
      </c>
      <c r="I237" s="9">
        <v>0.12839999999999999</v>
      </c>
      <c r="J237" s="57">
        <f t="shared" si="36"/>
        <v>-0.1027253668763104</v>
      </c>
      <c r="K237" s="9">
        <v>1.2936000000000001</v>
      </c>
      <c r="L237" s="57">
        <f t="shared" si="34"/>
        <v>-0.19607233857435824</v>
      </c>
      <c r="M237" s="25">
        <v>0.26419999999999999</v>
      </c>
      <c r="N237" s="57">
        <f t="shared" si="37"/>
        <v>-0.12458581842279659</v>
      </c>
      <c r="O237" s="9">
        <v>0.42830000000000001</v>
      </c>
      <c r="P237" s="57">
        <f t="shared" si="35"/>
        <v>-0.14219907871019433</v>
      </c>
      <c r="Q237" s="9" t="s">
        <v>2170</v>
      </c>
    </row>
    <row r="238" spans="1:17" s="9" customFormat="1" ht="42.75" customHeight="1" x14ac:dyDescent="0.25">
      <c r="A238" s="8">
        <v>7.22</v>
      </c>
      <c r="B238" s="9" t="s">
        <v>216</v>
      </c>
      <c r="C238" s="37">
        <v>0.1192</v>
      </c>
      <c r="D238" s="9">
        <v>1.3153999999999999</v>
      </c>
      <c r="E238" s="37">
        <v>0.251</v>
      </c>
      <c r="F238" s="9">
        <v>0.39539999999999997</v>
      </c>
      <c r="G238" s="9">
        <v>-0.39451874999999997</v>
      </c>
      <c r="H238" s="9">
        <v>0.85870000000000002</v>
      </c>
      <c r="I238" s="9">
        <v>0.1278</v>
      </c>
      <c r="J238" s="57">
        <f t="shared" si="36"/>
        <v>-0.10691823899371078</v>
      </c>
      <c r="K238" s="9">
        <v>1.2891999999999999</v>
      </c>
      <c r="L238" s="57">
        <f t="shared" si="34"/>
        <v>-0.19880678640233673</v>
      </c>
      <c r="M238" s="25">
        <v>0.26200000000000001</v>
      </c>
      <c r="N238" s="57">
        <f t="shared" si="37"/>
        <v>-0.13187541418157722</v>
      </c>
      <c r="O238" s="9">
        <v>0.42330000000000001</v>
      </c>
      <c r="P238" s="57">
        <f t="shared" si="35"/>
        <v>-0.15221309833767271</v>
      </c>
      <c r="Q238" s="9" t="s">
        <v>2169</v>
      </c>
    </row>
    <row r="239" spans="1:17" s="9" customFormat="1" ht="42.75" customHeight="1" x14ac:dyDescent="0.25">
      <c r="A239" s="8">
        <v>7.22</v>
      </c>
      <c r="B239" s="9" t="s">
        <v>216</v>
      </c>
      <c r="C239" s="37">
        <v>9.2600000000000002E-2</v>
      </c>
      <c r="D239" s="9">
        <v>0.87809999999999999</v>
      </c>
      <c r="E239" s="37">
        <v>0.18709999999999999</v>
      </c>
      <c r="F239" s="9">
        <v>0.29530000000000001</v>
      </c>
      <c r="G239" s="9">
        <v>-0.55603448275862066</v>
      </c>
      <c r="H239" s="9">
        <v>0.7026</v>
      </c>
      <c r="I239" s="9">
        <v>0.12570000000000001</v>
      </c>
      <c r="J239" s="57">
        <f t="shared" si="36"/>
        <v>-0.12159329140461217</v>
      </c>
      <c r="K239" s="9">
        <v>1.2162999999999999</v>
      </c>
      <c r="L239" s="57">
        <f t="shared" si="34"/>
        <v>-0.24411161518861479</v>
      </c>
      <c r="M239" s="25">
        <v>0.26</v>
      </c>
      <c r="N239" s="57">
        <f t="shared" si="37"/>
        <v>-0.13850231941683233</v>
      </c>
      <c r="O239" s="9">
        <v>0.4234</v>
      </c>
      <c r="P239" s="57">
        <f t="shared" si="35"/>
        <v>-0.15201281794512322</v>
      </c>
      <c r="Q239" s="9" t="s">
        <v>2168</v>
      </c>
    </row>
    <row r="240" spans="1:17" s="9" customFormat="1" ht="42.75" customHeight="1" x14ac:dyDescent="0.25">
      <c r="A240" s="8">
        <v>7.22</v>
      </c>
      <c r="B240" s="9" t="s">
        <v>216</v>
      </c>
      <c r="C240" s="37">
        <v>0.12089999999999999</v>
      </c>
      <c r="D240" s="9">
        <v>1.4016999999999999</v>
      </c>
      <c r="E240" s="37">
        <v>0.24929999999999999</v>
      </c>
      <c r="F240" s="9">
        <v>0.39290000000000003</v>
      </c>
      <c r="G240" s="9">
        <v>-0.31964814814814813</v>
      </c>
      <c r="H240" s="9">
        <v>0.84630000000000005</v>
      </c>
      <c r="I240" s="9">
        <v>0.12839999999999999</v>
      </c>
      <c r="J240" s="57">
        <f t="shared" si="36"/>
        <v>-0.1027253668763104</v>
      </c>
      <c r="K240" s="9">
        <v>1.2936000000000001</v>
      </c>
      <c r="L240" s="57">
        <f t="shared" si="34"/>
        <v>-0.19607233857435824</v>
      </c>
      <c r="M240" s="25">
        <v>0.26669999999999999</v>
      </c>
      <c r="N240" s="57">
        <f t="shared" si="37"/>
        <v>-0.11630218687872773</v>
      </c>
      <c r="O240" s="9">
        <v>0.43059999999999998</v>
      </c>
      <c r="P240" s="57">
        <f t="shared" si="35"/>
        <v>-0.13759262968155428</v>
      </c>
      <c r="Q240" s="9" t="s">
        <v>2167</v>
      </c>
    </row>
    <row r="241" spans="1:17" s="9" customFormat="1" ht="42.75" customHeight="1" x14ac:dyDescent="0.25">
      <c r="A241" s="8">
        <v>7.22</v>
      </c>
      <c r="B241" s="9" t="s">
        <v>216</v>
      </c>
      <c r="C241" s="37">
        <v>0.11749999999999999</v>
      </c>
      <c r="D241" s="9">
        <v>1.3464</v>
      </c>
      <c r="E241" s="37">
        <v>0.23849999999999999</v>
      </c>
      <c r="F241" s="9">
        <v>0.38969999999999999</v>
      </c>
      <c r="G241" s="9">
        <v>-0.3832814814814815</v>
      </c>
      <c r="H241" s="9">
        <v>0.87319999999999998</v>
      </c>
      <c r="I241" s="9">
        <v>0.12709999999999999</v>
      </c>
      <c r="J241" s="57">
        <f t="shared" si="36"/>
        <v>-0.11180992313067795</v>
      </c>
      <c r="K241" s="9">
        <v>1.2855000000000001</v>
      </c>
      <c r="L241" s="57">
        <f t="shared" si="34"/>
        <v>-0.20110620843950022</v>
      </c>
      <c r="M241" s="25">
        <v>0.26579999999999998</v>
      </c>
      <c r="N241" s="57">
        <f t="shared" si="37"/>
        <v>-0.11928429423459253</v>
      </c>
      <c r="O241" s="9">
        <v>0.4355</v>
      </c>
      <c r="P241" s="57">
        <f t="shared" si="35"/>
        <v>-0.12777889044662527</v>
      </c>
      <c r="Q241" s="9" t="s">
        <v>2166</v>
      </c>
    </row>
    <row r="242" spans="1:17" s="9" customFormat="1" ht="42.75" customHeight="1" x14ac:dyDescent="0.25">
      <c r="A242" s="8">
        <v>7.21</v>
      </c>
      <c r="B242" s="9" t="s">
        <v>216</v>
      </c>
      <c r="C242" s="37">
        <v>0.1163</v>
      </c>
      <c r="D242" s="9">
        <v>1.3041</v>
      </c>
      <c r="E242" s="37">
        <v>0.24709999999999999</v>
      </c>
      <c r="F242" s="9">
        <v>0.39069999999999999</v>
      </c>
      <c r="G242" s="9">
        <v>-0.48812307692307694</v>
      </c>
      <c r="H242" s="9">
        <v>0.87619999999999998</v>
      </c>
      <c r="I242" s="9">
        <v>0.1268</v>
      </c>
      <c r="J242" s="57">
        <f t="shared" si="36"/>
        <v>-0.11390635918937808</v>
      </c>
      <c r="K242" s="9">
        <v>1.2746</v>
      </c>
      <c r="L242" s="57">
        <f t="shared" si="34"/>
        <v>-0.20788018146790133</v>
      </c>
      <c r="M242" s="25">
        <v>0.27160000000000001</v>
      </c>
      <c r="N242" s="57">
        <f t="shared" si="37"/>
        <v>-0.10006626905235261</v>
      </c>
      <c r="O242" s="9">
        <v>0.4375</v>
      </c>
      <c r="P242" s="57">
        <f t="shared" si="35"/>
        <v>-0.12377328259563392</v>
      </c>
      <c r="Q242" s="9" t="s">
        <v>2165</v>
      </c>
    </row>
    <row r="243" spans="1:17" s="9" customFormat="1" ht="42.75" customHeight="1" x14ac:dyDescent="0.25">
      <c r="A243" s="8">
        <v>7.21</v>
      </c>
      <c r="B243" s="9" t="s">
        <v>216</v>
      </c>
      <c r="C243" s="37">
        <v>0.1144</v>
      </c>
      <c r="D243" s="9">
        <v>1.2532000000000001</v>
      </c>
      <c r="E243" s="37">
        <v>0.23100000000000001</v>
      </c>
      <c r="F243" s="9">
        <v>0.376</v>
      </c>
      <c r="G243" s="9">
        <v>-0.49729000000000007</v>
      </c>
      <c r="H243" s="9">
        <v>0.86570000000000003</v>
      </c>
      <c r="I243" s="9">
        <v>0.12670000000000001</v>
      </c>
      <c r="J243" s="57">
        <f t="shared" si="36"/>
        <v>-0.11460517120894476</v>
      </c>
      <c r="K243" s="9">
        <v>1.2667999999999999</v>
      </c>
      <c r="L243" s="57">
        <f t="shared" si="34"/>
        <v>-0.21272761170840848</v>
      </c>
      <c r="M243" s="25">
        <v>0.26729999999999998</v>
      </c>
      <c r="N243" s="57">
        <f t="shared" si="37"/>
        <v>-0.11431411530815117</v>
      </c>
      <c r="O243" s="9">
        <v>0.43359999999999999</v>
      </c>
      <c r="P243" s="57">
        <f t="shared" si="35"/>
        <v>-0.13158421790506714</v>
      </c>
      <c r="Q243" s="9" t="s">
        <v>2164</v>
      </c>
    </row>
    <row r="244" spans="1:17" s="9" customFormat="1" ht="42.6" customHeight="1" x14ac:dyDescent="0.25">
      <c r="A244" s="8">
        <v>7.21</v>
      </c>
      <c r="B244" s="9" t="s">
        <v>216</v>
      </c>
      <c r="C244" s="37">
        <v>9.2700000000000005E-2</v>
      </c>
      <c r="D244" s="9">
        <v>0.88400000000000001</v>
      </c>
      <c r="E244" s="37">
        <v>0.2117</v>
      </c>
      <c r="F244" s="9">
        <v>0.33350000000000002</v>
      </c>
      <c r="G244" s="9">
        <v>-0.56385641025641042</v>
      </c>
      <c r="H244" s="23">
        <v>0.69510000000000005</v>
      </c>
      <c r="I244" s="9">
        <v>0.12590000000000001</v>
      </c>
      <c r="J244" s="57">
        <f t="shared" si="36"/>
        <v>-0.1201956673654786</v>
      </c>
      <c r="K244" s="9">
        <v>1.2185999999999999</v>
      </c>
      <c r="L244" s="57">
        <f t="shared" si="34"/>
        <v>-0.24268224473308064</v>
      </c>
      <c r="M244" s="25">
        <v>0.2656</v>
      </c>
      <c r="N244" s="57">
        <f t="shared" si="37"/>
        <v>-0.11994698475811794</v>
      </c>
      <c r="O244" s="9">
        <v>0.43319999999999997</v>
      </c>
      <c r="P244" s="57">
        <f t="shared" si="35"/>
        <v>-0.13238533947526543</v>
      </c>
      <c r="Q244" s="9" t="s">
        <v>2163</v>
      </c>
    </row>
    <row r="245" spans="1:17" s="9" customFormat="1" ht="42.75" customHeight="1" x14ac:dyDescent="0.25">
      <c r="A245" s="8">
        <v>7.21</v>
      </c>
      <c r="B245" s="9" t="s">
        <v>216</v>
      </c>
      <c r="C245" s="37">
        <v>9.4E-2</v>
      </c>
      <c r="D245" s="9">
        <v>0.94799999999999995</v>
      </c>
      <c r="E245" s="37">
        <v>0.21460000000000001</v>
      </c>
      <c r="F245" s="9">
        <v>0.32519999999999999</v>
      </c>
      <c r="G245" s="9">
        <v>-0.56032000000000004</v>
      </c>
      <c r="H245" s="23">
        <v>0.68379999999999996</v>
      </c>
      <c r="I245" s="9">
        <v>0.12640000000000001</v>
      </c>
      <c r="J245" s="57">
        <f t="shared" si="36"/>
        <v>-0.116701607267645</v>
      </c>
      <c r="K245" s="9">
        <v>1.2385999999999999</v>
      </c>
      <c r="L245" s="57">
        <f t="shared" si="34"/>
        <v>-0.23025293642408806</v>
      </c>
      <c r="M245" s="25">
        <v>0.26529999999999998</v>
      </c>
      <c r="N245" s="57">
        <f t="shared" si="37"/>
        <v>-0.12094102054340639</v>
      </c>
      <c r="O245" s="9">
        <v>0.42770000000000002</v>
      </c>
      <c r="P245" s="57">
        <f t="shared" si="35"/>
        <v>-0.14340076106549171</v>
      </c>
      <c r="Q245" s="9" t="s">
        <v>2162</v>
      </c>
    </row>
    <row r="246" spans="1:17" s="9" customFormat="1" ht="42.75" customHeight="1" x14ac:dyDescent="0.25">
      <c r="A246" s="8">
        <v>7.21</v>
      </c>
      <c r="B246" s="9" t="s">
        <v>216</v>
      </c>
      <c r="C246" s="37">
        <v>0.1158</v>
      </c>
      <c r="D246" s="9">
        <v>1.2919</v>
      </c>
      <c r="E246" s="37">
        <v>0.23810000000000001</v>
      </c>
      <c r="F246" s="9">
        <v>0.36909999999999998</v>
      </c>
      <c r="G246" s="9">
        <v>-0.49876250000000005</v>
      </c>
      <c r="H246" s="9">
        <v>0.88780000000000003</v>
      </c>
      <c r="I246" s="9">
        <v>0.1265</v>
      </c>
      <c r="J246" s="57">
        <f t="shared" si="36"/>
        <v>-0.11600279524807833</v>
      </c>
      <c r="K246" s="9">
        <v>1.2725</v>
      </c>
      <c r="L246" s="57">
        <f t="shared" si="34"/>
        <v>-0.20918525884034556</v>
      </c>
      <c r="M246" s="25">
        <v>0.26150000000000001</v>
      </c>
      <c r="N246" s="57">
        <f t="shared" si="37"/>
        <v>-0.13353214049039097</v>
      </c>
      <c r="O246" s="9">
        <v>0.42349999999999999</v>
      </c>
      <c r="P246" s="57">
        <f t="shared" si="35"/>
        <v>-0.15181253755257362</v>
      </c>
      <c r="Q246" s="9" t="s">
        <v>2161</v>
      </c>
    </row>
    <row r="247" spans="1:17" s="9" customFormat="1" ht="42.75" customHeight="1" x14ac:dyDescent="0.25">
      <c r="A247" s="8">
        <v>7.21</v>
      </c>
      <c r="B247" s="9" t="s">
        <v>216</v>
      </c>
      <c r="C247" s="37">
        <v>0.1152</v>
      </c>
      <c r="D247" s="9">
        <v>1.2605999999999999</v>
      </c>
      <c r="E247" s="37">
        <v>0.2346</v>
      </c>
      <c r="F247" s="9">
        <v>0.3594</v>
      </c>
      <c r="G247" s="9">
        <v>-0.50368518518518524</v>
      </c>
      <c r="H247" s="9">
        <v>0.87290000000000001</v>
      </c>
      <c r="I247" s="9">
        <v>0.12670000000000001</v>
      </c>
      <c r="J247" s="57">
        <f t="shared" si="36"/>
        <v>-0.11460517120894476</v>
      </c>
      <c r="K247" s="9">
        <v>1.2673000000000001</v>
      </c>
      <c r="L247" s="57">
        <f t="shared" si="34"/>
        <v>-0.21241687900068351</v>
      </c>
      <c r="M247" s="25">
        <v>0.26979999999999998</v>
      </c>
      <c r="N247" s="57">
        <f t="shared" si="37"/>
        <v>-0.10603048376408231</v>
      </c>
      <c r="O247" s="9">
        <v>0.43459999999999999</v>
      </c>
      <c r="P247" s="57">
        <f t="shared" si="35"/>
        <v>-0.12958141397957146</v>
      </c>
      <c r="Q247" s="9" t="s">
        <v>2160</v>
      </c>
    </row>
    <row r="248" spans="1:17" s="9" customFormat="1" ht="42.75" customHeight="1" x14ac:dyDescent="0.25">
      <c r="A248" s="8">
        <v>7.21</v>
      </c>
      <c r="B248" s="9" t="s">
        <v>216</v>
      </c>
      <c r="C248" s="37">
        <v>0.1159</v>
      </c>
      <c r="D248" s="9">
        <v>1.2704</v>
      </c>
      <c r="E248" s="37">
        <v>0.2298</v>
      </c>
      <c r="F248" s="9">
        <v>0.38650000000000001</v>
      </c>
      <c r="G248" s="9">
        <v>-0.48602580645161292</v>
      </c>
      <c r="H248" s="9">
        <v>0.87560000000000004</v>
      </c>
      <c r="I248" s="9">
        <v>0.1268</v>
      </c>
      <c r="J248" s="57">
        <f t="shared" si="36"/>
        <v>-0.11390635918937808</v>
      </c>
      <c r="K248" s="9">
        <v>1.2674000000000001</v>
      </c>
      <c r="L248" s="57">
        <f t="shared" si="34"/>
        <v>-0.21235473245913861</v>
      </c>
      <c r="M248" s="25">
        <v>0.26340000000000002</v>
      </c>
      <c r="N248" s="57">
        <f t="shared" si="37"/>
        <v>-0.12723658051689857</v>
      </c>
      <c r="O248" s="9">
        <v>0.43070000000000003</v>
      </c>
      <c r="P248" s="57">
        <f t="shared" si="35"/>
        <v>-0.13739234928900457</v>
      </c>
      <c r="Q248" s="9" t="s">
        <v>2159</v>
      </c>
    </row>
    <row r="249" spans="1:17" s="9" customFormat="1" ht="42.75" customHeight="1" x14ac:dyDescent="0.25">
      <c r="A249" s="8">
        <v>7.21</v>
      </c>
      <c r="B249" s="9" t="s">
        <v>216</v>
      </c>
      <c r="C249" s="37">
        <v>0.1179</v>
      </c>
      <c r="D249" s="9">
        <v>1.3612</v>
      </c>
      <c r="E249" s="37">
        <v>0.24660000000000001</v>
      </c>
      <c r="F249" s="9">
        <v>0.38250000000000001</v>
      </c>
      <c r="G249" s="9">
        <v>-0.49163448275862076</v>
      </c>
      <c r="H249" s="9">
        <v>0.86209999999999998</v>
      </c>
      <c r="I249" s="9">
        <v>0.12740000000000001</v>
      </c>
      <c r="J249" s="57">
        <f t="shared" si="36"/>
        <v>-0.10971348707197759</v>
      </c>
      <c r="K249" s="9">
        <v>1.2932999999999999</v>
      </c>
      <c r="L249" s="57">
        <f t="shared" si="34"/>
        <v>-0.19625877819899329</v>
      </c>
      <c r="M249" s="25">
        <v>0.26250000000000001</v>
      </c>
      <c r="N249" s="57">
        <f t="shared" si="37"/>
        <v>-0.13021868787276347</v>
      </c>
      <c r="O249" s="9">
        <v>0.42330000000000001</v>
      </c>
      <c r="P249" s="57">
        <f t="shared" si="35"/>
        <v>-0.15221309833767271</v>
      </c>
      <c r="Q249" s="9" t="s">
        <v>2158</v>
      </c>
    </row>
    <row r="250" spans="1:17" s="9" customFormat="1" ht="42.75" customHeight="1" x14ac:dyDescent="0.25">
      <c r="A250" s="8">
        <v>7.2</v>
      </c>
      <c r="B250" s="9" t="s">
        <v>216</v>
      </c>
      <c r="C250" s="37">
        <v>0.11749999999999999</v>
      </c>
      <c r="D250" s="9">
        <v>1.3046</v>
      </c>
      <c r="E250" s="37">
        <v>0.2311</v>
      </c>
      <c r="F250" s="9">
        <v>0.36220000000000002</v>
      </c>
      <c r="G250" s="9">
        <v>-0.49966451612903223</v>
      </c>
      <c r="H250" s="9">
        <v>0.87929999999999997</v>
      </c>
      <c r="I250" s="9">
        <v>0.127</v>
      </c>
      <c r="J250" s="57">
        <f t="shared" si="36"/>
        <v>-0.11250873515024462</v>
      </c>
      <c r="K250" s="9">
        <v>1.2799</v>
      </c>
      <c r="L250" s="57">
        <f t="shared" si="34"/>
        <v>-0.20458641476601824</v>
      </c>
      <c r="M250" s="25">
        <v>0.26640000000000003</v>
      </c>
      <c r="N250" s="57">
        <f t="shared" si="37"/>
        <v>-0.11729622266401585</v>
      </c>
      <c r="O250" s="9">
        <v>0.42930000000000001</v>
      </c>
      <c r="P250" s="57">
        <f t="shared" si="35"/>
        <v>-0.14019627478469854</v>
      </c>
      <c r="Q250" s="9" t="s">
        <v>222</v>
      </c>
    </row>
    <row r="251" spans="1:17" s="9" customFormat="1" ht="42.75" customHeight="1" x14ac:dyDescent="0.25">
      <c r="A251" s="8">
        <v>7.2</v>
      </c>
      <c r="B251" s="2" t="s">
        <v>216</v>
      </c>
      <c r="C251" s="37">
        <v>0.1176</v>
      </c>
      <c r="D251" s="9">
        <v>1.3814</v>
      </c>
      <c r="E251" s="37">
        <v>0.23499999999999999</v>
      </c>
      <c r="F251" s="9">
        <v>0.37409999999999999</v>
      </c>
      <c r="G251" s="9">
        <v>-0.50557878787878796</v>
      </c>
      <c r="H251" s="9">
        <v>0.87939999999999996</v>
      </c>
      <c r="I251" s="9">
        <v>0.12709999999999999</v>
      </c>
      <c r="J251" s="57">
        <f t="shared" si="36"/>
        <v>-0.11180992313067795</v>
      </c>
      <c r="K251" s="9">
        <v>1.2904</v>
      </c>
      <c r="L251" s="57">
        <f t="shared" si="34"/>
        <v>-0.19806102790379709</v>
      </c>
      <c r="M251" s="25">
        <v>0.26119999999999999</v>
      </c>
      <c r="N251" s="57">
        <f t="shared" si="37"/>
        <v>-0.13452617627567931</v>
      </c>
      <c r="O251" s="9">
        <v>0.42609999999999998</v>
      </c>
      <c r="P251" s="57">
        <f t="shared" si="35"/>
        <v>-0.14660524734628488</v>
      </c>
      <c r="Q251" s="9" t="s">
        <v>223</v>
      </c>
    </row>
    <row r="252" spans="1:17" s="9" customFormat="1" ht="42.75" customHeight="1" x14ac:dyDescent="0.25">
      <c r="A252" s="8">
        <v>7.2</v>
      </c>
      <c r="B252" s="2" t="s">
        <v>216</v>
      </c>
      <c r="C252" s="37">
        <v>0.1153</v>
      </c>
      <c r="D252" s="9">
        <v>1.3291999999999999</v>
      </c>
      <c r="E252" s="37">
        <v>0.23</v>
      </c>
      <c r="F252" s="9">
        <v>0.37180000000000002</v>
      </c>
      <c r="G252" s="9">
        <v>-0.49398437500000009</v>
      </c>
      <c r="H252" s="9">
        <v>0.8639</v>
      </c>
      <c r="I252" s="9">
        <v>0.12690000000000001</v>
      </c>
      <c r="J252" s="57">
        <f t="shared" si="36"/>
        <v>-0.1132075471698113</v>
      </c>
      <c r="K252" s="9">
        <v>1.2804</v>
      </c>
      <c r="L252" s="57">
        <f t="shared" si="34"/>
        <v>-0.2042756820582935</v>
      </c>
      <c r="M252" s="25">
        <v>0.26079999999999998</v>
      </c>
      <c r="N252" s="57">
        <f t="shared" si="37"/>
        <v>-0.13585155732273035</v>
      </c>
      <c r="O252" s="9">
        <v>0.42059999999999997</v>
      </c>
      <c r="P252" s="57">
        <f t="shared" si="35"/>
        <v>-0.15762066893651117</v>
      </c>
      <c r="Q252" s="9" t="s">
        <v>224</v>
      </c>
    </row>
    <row r="253" spans="1:17" ht="42.75" customHeight="1" x14ac:dyDescent="0.25">
      <c r="A253" s="8">
        <v>7.2</v>
      </c>
      <c r="B253" s="2" t="s">
        <v>216</v>
      </c>
      <c r="C253" s="37">
        <v>0.1113</v>
      </c>
      <c r="D253" s="9">
        <v>1.2577</v>
      </c>
      <c r="E253" s="37">
        <v>0.23910000000000001</v>
      </c>
      <c r="F253" s="9">
        <v>0.37280000000000002</v>
      </c>
      <c r="G253" s="9">
        <v>-0.43064285714285716</v>
      </c>
      <c r="H253" s="9">
        <v>0.83089999999999997</v>
      </c>
      <c r="I253" s="9">
        <v>0.12670000000000001</v>
      </c>
      <c r="J253" s="57">
        <f t="shared" si="36"/>
        <v>-0.11460517120894476</v>
      </c>
      <c r="K253" s="9">
        <v>1.2709999999999999</v>
      </c>
      <c r="L253" s="57">
        <f t="shared" si="34"/>
        <v>-0.21011745696352002</v>
      </c>
      <c r="M253" s="25">
        <v>0.26769999999999999</v>
      </c>
      <c r="N253" s="57">
        <f t="shared" si="37"/>
        <v>-0.11298873426110012</v>
      </c>
      <c r="O253" s="9">
        <v>0.43430000000000002</v>
      </c>
      <c r="P253" s="57">
        <f t="shared" si="35"/>
        <v>-0.13018225515722015</v>
      </c>
      <c r="Q253" s="9" t="s">
        <v>2157</v>
      </c>
    </row>
    <row r="254" spans="1:17" ht="42.75" customHeight="1" x14ac:dyDescent="0.25">
      <c r="A254" s="8">
        <v>7.2</v>
      </c>
      <c r="B254" s="2" t="s">
        <v>216</v>
      </c>
      <c r="C254" s="37">
        <v>0.11700000000000001</v>
      </c>
      <c r="D254" s="9">
        <v>1.3281000000000001</v>
      </c>
      <c r="E254" s="37">
        <v>0.21890000000000001</v>
      </c>
      <c r="F254" s="9">
        <v>0.35370000000000001</v>
      </c>
      <c r="G254" s="9">
        <v>-0.45353437499999999</v>
      </c>
      <c r="H254" s="9">
        <v>0.85150000000000003</v>
      </c>
      <c r="I254" s="9">
        <v>0.1275</v>
      </c>
      <c r="J254" s="57">
        <f t="shared" si="36"/>
        <v>-0.10901467505241091</v>
      </c>
      <c r="K254" s="9">
        <v>1.2835000000000001</v>
      </c>
      <c r="L254" s="57">
        <f t="shared" si="34"/>
        <v>-0.20234913927039955</v>
      </c>
      <c r="M254" s="25">
        <v>0.25779999999999997</v>
      </c>
      <c r="N254" s="57">
        <f t="shared" si="37"/>
        <v>-0.14579191517561307</v>
      </c>
      <c r="O254" s="9">
        <v>0.41510000000000002</v>
      </c>
      <c r="P254" s="57">
        <f t="shared" si="35"/>
        <v>-0.16863609052673745</v>
      </c>
      <c r="Q254" s="9" t="s">
        <v>219</v>
      </c>
    </row>
    <row r="255" spans="1:17" ht="42.75" customHeight="1" x14ac:dyDescent="0.25">
      <c r="A255" s="8">
        <v>7.2</v>
      </c>
      <c r="B255" s="2" t="s">
        <v>216</v>
      </c>
      <c r="C255" s="37">
        <v>0.1158</v>
      </c>
      <c r="D255" s="9">
        <v>1.3705000000000001</v>
      </c>
      <c r="E255" s="37">
        <v>0.23619999999999999</v>
      </c>
      <c r="F255" s="9">
        <v>0.37140000000000001</v>
      </c>
      <c r="G255" s="9">
        <v>-0.46898000000000001</v>
      </c>
      <c r="H255" s="9">
        <v>0.85399999999999998</v>
      </c>
      <c r="I255" s="9">
        <v>0.12720000000000001</v>
      </c>
      <c r="J255" s="57">
        <f t="shared" si="36"/>
        <v>-0.11111111111111105</v>
      </c>
      <c r="K255" s="9">
        <v>1.2867</v>
      </c>
      <c r="L255" s="57">
        <f t="shared" si="34"/>
        <v>-0.20036044994096081</v>
      </c>
      <c r="M255" s="25">
        <v>0.26700000000000002</v>
      </c>
      <c r="N255" s="57">
        <f t="shared" si="37"/>
        <v>-0.11530815109343939</v>
      </c>
      <c r="O255" s="9">
        <v>0.42959999999999998</v>
      </c>
      <c r="P255" s="57">
        <f t="shared" si="35"/>
        <v>-0.13959543360704996</v>
      </c>
      <c r="Q255" s="9" t="s">
        <v>218</v>
      </c>
    </row>
    <row r="256" spans="1:17" ht="42.75" customHeight="1" x14ac:dyDescent="0.25">
      <c r="A256" s="8">
        <v>7.2</v>
      </c>
      <c r="B256" s="2" t="s">
        <v>216</v>
      </c>
      <c r="C256" s="37">
        <v>0.1116</v>
      </c>
      <c r="D256" s="9">
        <v>1.3685</v>
      </c>
      <c r="E256" s="37">
        <v>0.21870000000000001</v>
      </c>
      <c r="F256" s="9">
        <v>0.35449999999999998</v>
      </c>
      <c r="G256" s="9">
        <v>-0.42049062500000001</v>
      </c>
      <c r="H256" s="9">
        <v>0.81100000000000005</v>
      </c>
      <c r="I256" s="9">
        <v>0.1273</v>
      </c>
      <c r="J256" s="57">
        <f t="shared" si="36"/>
        <v>-0.11041229909154437</v>
      </c>
      <c r="K256" s="9">
        <v>1.2927</v>
      </c>
      <c r="L256" s="57">
        <f t="shared" si="34"/>
        <v>-0.19663165744826305</v>
      </c>
      <c r="M256" s="25">
        <v>0.26219999999999999</v>
      </c>
      <c r="N256" s="57">
        <f t="shared" si="37"/>
        <v>-0.13121272365805181</v>
      </c>
      <c r="O256" s="25">
        <v>0.42220000000000002</v>
      </c>
      <c r="P256" s="57">
        <f t="shared" si="35"/>
        <v>-0.15441618265571799</v>
      </c>
      <c r="Q256" s="9" t="s">
        <v>217</v>
      </c>
    </row>
    <row r="257" spans="1:23" ht="42.75" customHeight="1" x14ac:dyDescent="0.25">
      <c r="A257" s="8">
        <v>7.2</v>
      </c>
      <c r="B257" s="9" t="s">
        <v>216</v>
      </c>
      <c r="C257" s="37">
        <v>0.1177</v>
      </c>
      <c r="D257" s="9">
        <v>1.3232999999999999</v>
      </c>
      <c r="E257" s="37">
        <v>0.23480000000000001</v>
      </c>
      <c r="F257" s="9">
        <v>0.37230000000000002</v>
      </c>
      <c r="G257" s="9">
        <v>-0.49591666666666662</v>
      </c>
      <c r="H257" s="9">
        <v>0.87350000000000005</v>
      </c>
      <c r="I257" s="9">
        <v>0.12720000000000001</v>
      </c>
      <c r="J257" s="57">
        <f t="shared" si="36"/>
        <v>-0.11111111111111105</v>
      </c>
      <c r="K257" s="9">
        <v>1.2757000000000001</v>
      </c>
      <c r="L257" s="57">
        <f t="shared" si="34"/>
        <v>-0.2071965695109067</v>
      </c>
      <c r="M257" s="25">
        <v>0.2576</v>
      </c>
      <c r="N257" s="57">
        <f t="shared" si="37"/>
        <v>-0.1464546056991386</v>
      </c>
      <c r="O257" s="9">
        <v>0.41610000000000003</v>
      </c>
      <c r="P257" s="57">
        <f t="shared" si="35"/>
        <v>-0.16663328660124177</v>
      </c>
      <c r="Q257" s="9" t="s">
        <v>2156</v>
      </c>
    </row>
    <row r="258" spans="1:23" ht="42.75" customHeight="1" x14ac:dyDescent="0.25">
      <c r="A258" s="8">
        <v>7.2</v>
      </c>
      <c r="B258" s="2" t="s">
        <v>216</v>
      </c>
      <c r="C258" s="37">
        <v>0.1242</v>
      </c>
      <c r="D258" s="9">
        <v>1.4818</v>
      </c>
      <c r="E258" s="37">
        <v>0.26369999999999999</v>
      </c>
      <c r="F258" s="9">
        <v>0.42380000000000001</v>
      </c>
      <c r="G258" s="9">
        <v>-0.3586474999999999</v>
      </c>
      <c r="H258" s="9">
        <v>0.84599999999999997</v>
      </c>
      <c r="I258" s="9">
        <v>0.12909999999999999</v>
      </c>
      <c r="J258" s="57">
        <f t="shared" si="36"/>
        <v>-9.7833682739343231E-2</v>
      </c>
      <c r="K258" s="9">
        <v>1.3109999999999999</v>
      </c>
      <c r="L258" s="57">
        <f t="shared" si="34"/>
        <v>-0.18525884034553475</v>
      </c>
      <c r="M258" s="25">
        <v>0.26679999999999998</v>
      </c>
      <c r="N258" s="57">
        <f t="shared" si="37"/>
        <v>-0.11597084161696503</v>
      </c>
      <c r="O258" s="9">
        <v>0.44130000000000003</v>
      </c>
      <c r="P258" s="57">
        <f t="shared" si="35"/>
        <v>-0.11616262767875019</v>
      </c>
      <c r="Q258" s="9" t="s">
        <v>220</v>
      </c>
    </row>
    <row r="259" spans="1:23" s="9" customFormat="1" ht="42.75" customHeight="1" x14ac:dyDescent="0.25">
      <c r="A259" s="8">
        <v>7.2</v>
      </c>
      <c r="B259" s="2" t="s">
        <v>216</v>
      </c>
      <c r="C259" s="37">
        <v>0.12139999999999999</v>
      </c>
      <c r="D259" s="9">
        <v>1.4105000000000001</v>
      </c>
      <c r="E259" s="37">
        <v>0.25879999999999997</v>
      </c>
      <c r="F259" s="9">
        <v>0.4199</v>
      </c>
      <c r="G259" s="9">
        <v>-0.36009687499999993</v>
      </c>
      <c r="H259" s="9">
        <v>0.83599999999999997</v>
      </c>
      <c r="I259" s="9">
        <v>0.12870000000000001</v>
      </c>
      <c r="J259" s="57">
        <f t="shared" si="36"/>
        <v>-0.10062893081761004</v>
      </c>
      <c r="K259" s="9">
        <v>1.3016000000000001</v>
      </c>
      <c r="L259" s="57">
        <f t="shared" si="34"/>
        <v>-0.19110061525076127</v>
      </c>
      <c r="M259" s="25">
        <v>0.26979999999999998</v>
      </c>
      <c r="N259" s="57">
        <f t="shared" si="37"/>
        <v>-0.10603048376408231</v>
      </c>
      <c r="O259" s="9">
        <v>0.44130000000000003</v>
      </c>
      <c r="P259" s="57">
        <f t="shared" si="35"/>
        <v>-0.11616262767875019</v>
      </c>
      <c r="Q259" s="9" t="s">
        <v>221</v>
      </c>
    </row>
    <row r="260" spans="1:23" ht="42.75" customHeight="1" x14ac:dyDescent="0.25">
      <c r="A260" s="8">
        <v>7.19</v>
      </c>
      <c r="B260" s="9" t="s">
        <v>163</v>
      </c>
      <c r="C260" s="37">
        <v>0.1331</v>
      </c>
      <c r="D260" s="9">
        <v>1.6212</v>
      </c>
      <c r="E260" s="37">
        <v>0.2321</v>
      </c>
      <c r="F260" s="9">
        <v>0.40539999999999998</v>
      </c>
      <c r="G260" s="9">
        <v>-0.25701249999999998</v>
      </c>
      <c r="H260" s="9">
        <v>0.7853</v>
      </c>
      <c r="I260" s="9">
        <v>0.14580000000000001</v>
      </c>
      <c r="J260" s="57">
        <f t="shared" si="36"/>
        <v>1.8867924528301883E-2</v>
      </c>
      <c r="K260" s="9">
        <v>1.7346999999999999</v>
      </c>
      <c r="L260" s="57">
        <f t="shared" si="34"/>
        <v>7.805605618047351E-2</v>
      </c>
      <c r="M260" s="25">
        <v>0.28110000000000002</v>
      </c>
      <c r="N260" s="57">
        <f t="shared" si="37"/>
        <v>-6.8588469184890588E-2</v>
      </c>
      <c r="O260" s="9">
        <v>0.51249999999999996</v>
      </c>
      <c r="P260" s="57">
        <f t="shared" si="35"/>
        <v>2.6437011816543121E-2</v>
      </c>
      <c r="Q260" s="9" t="s">
        <v>213</v>
      </c>
    </row>
    <row r="261" spans="1:23" ht="42.75" customHeight="1" x14ac:dyDescent="0.25">
      <c r="A261" s="8">
        <v>7.19</v>
      </c>
      <c r="B261" s="9" t="s">
        <v>163</v>
      </c>
      <c r="C261" s="37">
        <v>0.12720000000000001</v>
      </c>
      <c r="D261" s="9">
        <v>1.4789000000000001</v>
      </c>
      <c r="E261" s="37">
        <v>0.251</v>
      </c>
      <c r="F261" s="9">
        <v>0.4607</v>
      </c>
      <c r="G261" s="9">
        <v>-0.39075937499999996</v>
      </c>
      <c r="H261" s="9">
        <v>0.80110000000000003</v>
      </c>
      <c r="I261" s="9">
        <v>0.14410000000000001</v>
      </c>
      <c r="J261" s="57">
        <f t="shared" si="36"/>
        <v>6.9881201956674133E-3</v>
      </c>
      <c r="K261" s="9">
        <v>1.7101999999999999</v>
      </c>
      <c r="L261" s="57">
        <f t="shared" si="34"/>
        <v>6.2830153501957531E-2</v>
      </c>
      <c r="M261" s="25">
        <v>0.28060000000000002</v>
      </c>
      <c r="N261" s="57">
        <f t="shared" si="37"/>
        <v>-7.0245195493704449E-2</v>
      </c>
      <c r="O261" s="9">
        <v>0.52229999999999999</v>
      </c>
      <c r="P261" s="57">
        <f t="shared" si="35"/>
        <v>4.6064490286400916E-2</v>
      </c>
      <c r="Q261" s="9" t="s">
        <v>214</v>
      </c>
    </row>
    <row r="262" spans="1:23" s="9" customFormat="1" ht="42.75" customHeight="1" x14ac:dyDescent="0.25">
      <c r="A262" s="8">
        <v>7.18</v>
      </c>
      <c r="B262" s="9" t="s">
        <v>163</v>
      </c>
      <c r="C262" s="37">
        <v>0.1394</v>
      </c>
      <c r="D262" s="9">
        <v>1.6099000000000001</v>
      </c>
      <c r="E262" s="37">
        <v>0.2641</v>
      </c>
      <c r="F262" s="9">
        <v>0.46589999999999998</v>
      </c>
      <c r="G262" s="9">
        <v>-0.26190714285714284</v>
      </c>
      <c r="H262" s="9">
        <v>0.81299999999999994</v>
      </c>
      <c r="I262" s="9">
        <v>0.14799999999999999</v>
      </c>
      <c r="J262" s="57">
        <f t="shared" si="36"/>
        <v>3.4241788958770059E-2</v>
      </c>
      <c r="K262" s="9">
        <v>1.7092000000000001</v>
      </c>
      <c r="L262" s="57">
        <f t="shared" si="34"/>
        <v>6.2208688086508035E-2</v>
      </c>
      <c r="M262" s="25">
        <v>0.28549999999999998</v>
      </c>
      <c r="N262" s="57">
        <f t="shared" si="37"/>
        <v>-5.4009277667329436E-2</v>
      </c>
      <c r="O262" s="9">
        <v>0.50919999999999999</v>
      </c>
      <c r="P262" s="57">
        <f t="shared" si="35"/>
        <v>1.9827758862407396E-2</v>
      </c>
      <c r="Q262" s="9" t="s">
        <v>212</v>
      </c>
    </row>
    <row r="263" spans="1:23" s="9" customFormat="1" ht="42.75" customHeight="1" x14ac:dyDescent="0.25">
      <c r="A263" s="8">
        <v>7.18</v>
      </c>
      <c r="B263" s="9" t="s">
        <v>163</v>
      </c>
      <c r="C263" s="37">
        <v>0.13089999999999999</v>
      </c>
      <c r="D263" s="9">
        <v>1.5236000000000001</v>
      </c>
      <c r="E263" s="37">
        <v>0.25230000000000002</v>
      </c>
      <c r="F263" s="9">
        <v>0.44469999999999998</v>
      </c>
      <c r="G263" s="9">
        <v>-0.36900937499999997</v>
      </c>
      <c r="H263" s="9">
        <v>0.81879999999999997</v>
      </c>
      <c r="I263" s="9">
        <v>0.14460000000000001</v>
      </c>
      <c r="J263" s="57">
        <f t="shared" si="36"/>
        <v>1.048218029350112E-2</v>
      </c>
      <c r="K263" s="9">
        <v>1.7159</v>
      </c>
      <c r="L263" s="57">
        <f t="shared" si="34"/>
        <v>6.6372506370020457E-2</v>
      </c>
      <c r="M263" s="25">
        <v>0.28179999999999999</v>
      </c>
      <c r="N263" s="57">
        <f t="shared" si="37"/>
        <v>-6.6269052352551427E-2</v>
      </c>
      <c r="O263" s="9">
        <v>0.51390000000000002</v>
      </c>
      <c r="P263" s="57">
        <f t="shared" si="35"/>
        <v>2.9240937312237092E-2</v>
      </c>
      <c r="Q263" s="9" t="s">
        <v>215</v>
      </c>
    </row>
    <row r="264" spans="1:23" s="9" customFormat="1" ht="42.75" customHeight="1" x14ac:dyDescent="0.25">
      <c r="A264" s="8">
        <v>7.17</v>
      </c>
      <c r="B264" s="2" t="s">
        <v>137</v>
      </c>
      <c r="C264" s="37">
        <v>0.124036583900029</v>
      </c>
      <c r="E264" s="37">
        <v>0.22130429803838</v>
      </c>
      <c r="G264" s="9">
        <v>-0.43587272727272725</v>
      </c>
      <c r="J264" s="57">
        <f t="shared" si="36"/>
        <v>-1</v>
      </c>
      <c r="L264" s="57">
        <f t="shared" si="34"/>
        <v>-1</v>
      </c>
      <c r="M264" s="25"/>
      <c r="N264" s="57">
        <f t="shared" si="37"/>
        <v>-1</v>
      </c>
      <c r="P264" s="57">
        <f t="shared" si="35"/>
        <v>-1</v>
      </c>
      <c r="Q264" s="2" t="s">
        <v>138</v>
      </c>
    </row>
    <row r="265" spans="1:23" s="9" customFormat="1" ht="42.75" customHeight="1" x14ac:dyDescent="0.25">
      <c r="A265" s="8">
        <v>7.17</v>
      </c>
      <c r="B265" s="2" t="s">
        <v>155</v>
      </c>
      <c r="C265" s="37">
        <v>0.117436365000263</v>
      </c>
      <c r="E265" s="37">
        <v>0.252980803632956</v>
      </c>
      <c r="G265" s="9">
        <v>-0.34303703703703714</v>
      </c>
      <c r="J265" s="57">
        <f t="shared" si="36"/>
        <v>-1</v>
      </c>
      <c r="L265" s="57">
        <f t="shared" si="34"/>
        <v>-1</v>
      </c>
      <c r="M265" s="25"/>
      <c r="N265" s="57">
        <f t="shared" si="37"/>
        <v>-1</v>
      </c>
      <c r="P265" s="57">
        <f t="shared" si="35"/>
        <v>-1</v>
      </c>
      <c r="Q265" s="2" t="s">
        <v>156</v>
      </c>
    </row>
    <row r="266" spans="1:23" ht="42.75" customHeight="1" x14ac:dyDescent="0.25">
      <c r="A266" s="8">
        <v>7.16</v>
      </c>
      <c r="B266" s="2" t="s">
        <v>153</v>
      </c>
      <c r="C266" s="37">
        <v>0.121142511208589</v>
      </c>
      <c r="E266" s="37">
        <v>0.24556997986193699</v>
      </c>
      <c r="G266" s="9">
        <v>-0.3396538461538462</v>
      </c>
      <c r="J266" s="57">
        <f t="shared" si="36"/>
        <v>-1</v>
      </c>
      <c r="L266" s="57">
        <f t="shared" si="34"/>
        <v>-1</v>
      </c>
      <c r="N266" s="57">
        <f t="shared" si="37"/>
        <v>-1</v>
      </c>
      <c r="P266" s="57">
        <f t="shared" si="35"/>
        <v>-1</v>
      </c>
      <c r="Q266" s="2" t="s">
        <v>154</v>
      </c>
      <c r="R266" s="8"/>
      <c r="S266" s="2"/>
      <c r="T266" s="9"/>
      <c r="U266" s="9"/>
      <c r="V266" s="9"/>
      <c r="W266" s="2"/>
    </row>
    <row r="267" spans="1:23" ht="42.75" customHeight="1" x14ac:dyDescent="0.25">
      <c r="A267" s="8">
        <v>7.16</v>
      </c>
      <c r="B267" s="2" t="s">
        <v>151</v>
      </c>
      <c r="C267" s="37">
        <v>0.11831814628618501</v>
      </c>
      <c r="E267" s="37">
        <v>0.25141258479319201</v>
      </c>
      <c r="G267" s="9">
        <v>-0.46487812500000009</v>
      </c>
      <c r="J267" s="57">
        <f t="shared" si="36"/>
        <v>-1</v>
      </c>
      <c r="L267" s="57">
        <f t="shared" si="34"/>
        <v>-1</v>
      </c>
      <c r="N267" s="57">
        <f t="shared" si="37"/>
        <v>-1</v>
      </c>
      <c r="P267" s="57">
        <f t="shared" si="35"/>
        <v>-1</v>
      </c>
      <c r="Q267" s="2" t="s">
        <v>152</v>
      </c>
      <c r="R267" s="8"/>
      <c r="S267" s="2"/>
      <c r="T267" s="9"/>
      <c r="U267" s="9"/>
      <c r="V267" s="9"/>
      <c r="W267" s="2"/>
    </row>
    <row r="268" spans="1:23" ht="42.75" customHeight="1" x14ac:dyDescent="0.25">
      <c r="A268" s="8">
        <v>7.15</v>
      </c>
      <c r="B268" s="2" t="s">
        <v>199</v>
      </c>
      <c r="C268" s="37">
        <v>0.105</v>
      </c>
      <c r="D268" s="9">
        <v>1.1034999999999999</v>
      </c>
      <c r="E268" s="37">
        <v>0.1966</v>
      </c>
      <c r="F268" s="9">
        <v>0.313</v>
      </c>
      <c r="G268" s="9">
        <v>-0.39025641025641011</v>
      </c>
      <c r="H268" s="9">
        <v>0.77980000000000005</v>
      </c>
      <c r="I268" s="9">
        <v>0.12540000000000001</v>
      </c>
      <c r="J268" s="57">
        <f t="shared" si="36"/>
        <v>-0.1236897274633123</v>
      </c>
      <c r="K268" s="9">
        <v>1.2506999999999999</v>
      </c>
      <c r="L268" s="57">
        <f t="shared" si="34"/>
        <v>-0.22273320489714754</v>
      </c>
      <c r="M268" s="25">
        <v>0.2586</v>
      </c>
      <c r="N268" s="57">
        <f t="shared" si="37"/>
        <v>-0.14314115308151099</v>
      </c>
      <c r="O268" s="9">
        <v>0.40889999999999999</v>
      </c>
      <c r="P268" s="57">
        <f t="shared" si="35"/>
        <v>-0.18105347486481083</v>
      </c>
      <c r="Q268" s="9" t="s">
        <v>208</v>
      </c>
      <c r="R268" s="8"/>
      <c r="S268" s="2"/>
      <c r="T268" s="9"/>
      <c r="U268" s="9"/>
      <c r="V268" s="9"/>
      <c r="W268" s="2"/>
    </row>
    <row r="269" spans="1:23" ht="42.75" customHeight="1" x14ac:dyDescent="0.25">
      <c r="A269" s="8">
        <v>7.15</v>
      </c>
      <c r="B269" s="2" t="s">
        <v>199</v>
      </c>
      <c r="C269" s="37">
        <v>0.11119999999999999</v>
      </c>
      <c r="D269" s="9">
        <v>1.2150000000000001</v>
      </c>
      <c r="E269" s="37">
        <v>0.245</v>
      </c>
      <c r="F269" s="9">
        <v>0.40560000000000002</v>
      </c>
      <c r="G269" s="9">
        <v>-0.44599393939393944</v>
      </c>
      <c r="H269" s="9">
        <v>0.82799999999999996</v>
      </c>
      <c r="I269" s="9">
        <v>0.1242</v>
      </c>
      <c r="J269" s="57">
        <f t="shared" si="36"/>
        <v>-0.13207547169811318</v>
      </c>
      <c r="K269" s="9">
        <v>1.2703</v>
      </c>
      <c r="L269" s="57">
        <f t="shared" si="34"/>
        <v>-0.21055248275433469</v>
      </c>
      <c r="M269" s="25">
        <v>0.26479999999999998</v>
      </c>
      <c r="N269" s="57">
        <f t="shared" si="37"/>
        <v>-0.12259774685222014</v>
      </c>
      <c r="O269" s="9">
        <v>0.42849999999999999</v>
      </c>
      <c r="P269" s="57">
        <f t="shared" si="35"/>
        <v>-0.14179851792509524</v>
      </c>
      <c r="Q269" s="9" t="s">
        <v>209</v>
      </c>
      <c r="R269" s="8"/>
      <c r="S269" s="2"/>
      <c r="T269" s="9"/>
      <c r="U269" s="9"/>
      <c r="V269" s="9"/>
      <c r="W269" s="2"/>
    </row>
    <row r="270" spans="1:23" ht="42.75" customHeight="1" x14ac:dyDescent="0.25">
      <c r="A270" s="8">
        <v>7.15</v>
      </c>
      <c r="B270" s="2" t="s">
        <v>199</v>
      </c>
      <c r="C270" s="37">
        <v>0.1055</v>
      </c>
      <c r="D270" s="9">
        <v>1.0817000000000001</v>
      </c>
      <c r="E270" s="37">
        <v>0.23400000000000001</v>
      </c>
      <c r="F270" s="9">
        <v>0.37109999999999999</v>
      </c>
      <c r="G270" s="9">
        <v>-0.45288499999999993</v>
      </c>
      <c r="H270" s="9">
        <v>0.81630000000000003</v>
      </c>
      <c r="I270" s="9">
        <v>0.1245</v>
      </c>
      <c r="J270" s="57">
        <f t="shared" si="36"/>
        <v>-0.12997903563941304</v>
      </c>
      <c r="K270" s="9">
        <v>1.2249000000000001</v>
      </c>
      <c r="L270" s="57">
        <f t="shared" si="34"/>
        <v>-0.23876701261574784</v>
      </c>
      <c r="M270" s="25">
        <v>0.26179999999999998</v>
      </c>
      <c r="N270" s="57">
        <f t="shared" si="37"/>
        <v>-0.13253810470510285</v>
      </c>
      <c r="O270" s="9">
        <v>0.41649999999999998</v>
      </c>
      <c r="P270" s="57">
        <f t="shared" si="35"/>
        <v>-0.16583216503104359</v>
      </c>
      <c r="Q270" s="9" t="s">
        <v>206</v>
      </c>
      <c r="R270" s="8"/>
      <c r="S270" s="2"/>
      <c r="T270" s="9"/>
      <c r="U270" s="9"/>
      <c r="V270" s="9"/>
      <c r="W270" s="2"/>
    </row>
    <row r="271" spans="1:23" ht="42.75" customHeight="1" x14ac:dyDescent="0.25">
      <c r="A271" s="8">
        <v>7.15</v>
      </c>
      <c r="B271" s="2" t="s">
        <v>199</v>
      </c>
      <c r="C271" s="37">
        <v>0.108</v>
      </c>
      <c r="D271" s="9">
        <v>1.1960999999999999</v>
      </c>
      <c r="E271" s="37">
        <v>0.22900000000000001</v>
      </c>
      <c r="F271" s="9">
        <v>0.37459999999999999</v>
      </c>
      <c r="G271" s="9">
        <v>-0.45612820512820507</v>
      </c>
      <c r="H271" s="9">
        <v>0.82450000000000001</v>
      </c>
      <c r="I271" s="9">
        <v>0.12520000000000001</v>
      </c>
      <c r="J271" s="57">
        <f t="shared" si="36"/>
        <v>-0.12508735150244588</v>
      </c>
      <c r="K271" s="9">
        <v>1.2627999999999999</v>
      </c>
      <c r="L271" s="57">
        <f t="shared" si="34"/>
        <v>-0.21521347337020702</v>
      </c>
      <c r="M271" s="25">
        <v>0.2616</v>
      </c>
      <c r="N271" s="57">
        <f t="shared" si="37"/>
        <v>-0.13320079522862827</v>
      </c>
      <c r="O271" s="9">
        <v>0.41920000000000002</v>
      </c>
      <c r="P271" s="57">
        <f t="shared" si="35"/>
        <v>-0.16042459443220514</v>
      </c>
      <c r="Q271" s="9" t="s">
        <v>205</v>
      </c>
      <c r="R271" s="8"/>
      <c r="S271" s="2"/>
      <c r="T271" s="9"/>
      <c r="U271" s="9"/>
      <c r="V271" s="9"/>
      <c r="W271" s="2"/>
    </row>
    <row r="272" spans="1:23" ht="42.75" customHeight="1" x14ac:dyDescent="0.25">
      <c r="A272" s="8">
        <v>7.15</v>
      </c>
      <c r="B272" s="2" t="s">
        <v>199</v>
      </c>
      <c r="C272" s="37">
        <v>0.1137</v>
      </c>
      <c r="D272" s="9">
        <v>1.3769</v>
      </c>
      <c r="E272" s="37">
        <v>0.2437</v>
      </c>
      <c r="F272" s="9">
        <v>0.39989999999999998</v>
      </c>
      <c r="G272" s="9">
        <v>-0.327345</v>
      </c>
      <c r="H272" s="9">
        <v>0.79490000000000005</v>
      </c>
      <c r="I272" s="9">
        <v>0.12820000000000001</v>
      </c>
      <c r="J272" s="57">
        <f t="shared" si="36"/>
        <v>-0.10412299091544375</v>
      </c>
      <c r="K272" s="9">
        <v>1.3198000000000001</v>
      </c>
      <c r="L272" s="57">
        <f t="shared" si="34"/>
        <v>-0.17978994468957799</v>
      </c>
      <c r="M272" s="25">
        <v>0.26200000000000001</v>
      </c>
      <c r="N272" s="57">
        <f t="shared" si="37"/>
        <v>-0.13187541418157722</v>
      </c>
      <c r="O272" s="9">
        <v>0.42809999999999998</v>
      </c>
      <c r="P272" s="57">
        <f t="shared" si="35"/>
        <v>-0.14259963949529353</v>
      </c>
      <c r="Q272" s="9" t="s">
        <v>204</v>
      </c>
      <c r="R272" s="8"/>
      <c r="S272" s="2"/>
      <c r="T272" s="9"/>
      <c r="U272" s="9"/>
      <c r="V272" s="9"/>
      <c r="W272" s="2"/>
    </row>
    <row r="273" spans="1:23" ht="42.75" customHeight="1" x14ac:dyDescent="0.25">
      <c r="A273" s="8" t="s">
        <v>197</v>
      </c>
      <c r="B273" s="2" t="s">
        <v>195</v>
      </c>
      <c r="C273" s="37">
        <v>0.1079</v>
      </c>
      <c r="D273" s="9">
        <v>1.3398000000000001</v>
      </c>
      <c r="E273" s="37">
        <v>0.2029</v>
      </c>
      <c r="F273" s="9">
        <v>0.35699999999999998</v>
      </c>
      <c r="G273" s="9">
        <v>-0.25479375000000004</v>
      </c>
      <c r="H273" s="9">
        <v>0.76349999999999996</v>
      </c>
      <c r="I273" s="9">
        <v>0.127</v>
      </c>
      <c r="J273" s="57">
        <f t="shared" si="36"/>
        <v>-0.11250873515024462</v>
      </c>
      <c r="K273" s="9">
        <v>1.3190999999999999</v>
      </c>
      <c r="L273" s="57">
        <f t="shared" si="34"/>
        <v>-0.18022497048039277</v>
      </c>
      <c r="M273" s="25">
        <v>0.25900000000000001</v>
      </c>
      <c r="N273" s="57">
        <f t="shared" si="37"/>
        <v>-0.14181577203445994</v>
      </c>
      <c r="O273" s="9">
        <v>0.42680000000000001</v>
      </c>
      <c r="P273" s="57">
        <f t="shared" si="35"/>
        <v>-0.14520328459843779</v>
      </c>
      <c r="Q273" s="9" t="s">
        <v>192</v>
      </c>
      <c r="R273" s="8"/>
      <c r="S273" s="2"/>
      <c r="T273" s="9"/>
      <c r="U273" s="9"/>
      <c r="V273" s="9"/>
      <c r="W273" s="2"/>
    </row>
    <row r="274" spans="1:23" ht="42.75" customHeight="1" x14ac:dyDescent="0.25">
      <c r="A274" s="8" t="s">
        <v>197</v>
      </c>
      <c r="B274" s="2" t="s">
        <v>191</v>
      </c>
      <c r="C274" s="37">
        <v>0.1066</v>
      </c>
      <c r="D274" s="9">
        <v>1.3093999999999999</v>
      </c>
      <c r="E274" s="37">
        <v>0.22969999999999999</v>
      </c>
      <c r="F274" s="9">
        <v>0.37290000000000001</v>
      </c>
      <c r="G274" s="9">
        <v>-0.46599354838709672</v>
      </c>
      <c r="H274" s="9">
        <v>0.7611</v>
      </c>
      <c r="I274" s="9">
        <v>0.12670000000000001</v>
      </c>
      <c r="J274" s="57">
        <f t="shared" si="36"/>
        <v>-0.11460517120894476</v>
      </c>
      <c r="K274" s="9">
        <v>1.2970999999999999</v>
      </c>
      <c r="L274" s="57">
        <f t="shared" si="34"/>
        <v>-0.19389720962028467</v>
      </c>
      <c r="M274" s="25">
        <v>0.27060000000000001</v>
      </c>
      <c r="N274" s="57">
        <f t="shared" si="37"/>
        <v>-0.10337972166998011</v>
      </c>
      <c r="O274" s="9">
        <v>0.43680000000000002</v>
      </c>
      <c r="P274" s="57">
        <f t="shared" si="35"/>
        <v>-0.1251752453434809</v>
      </c>
      <c r="Q274" s="9" t="s">
        <v>186</v>
      </c>
      <c r="R274" s="8"/>
      <c r="S274" s="2"/>
      <c r="T274" s="9"/>
      <c r="U274" s="9"/>
      <c r="V274" s="9"/>
      <c r="W274" s="2"/>
    </row>
    <row r="275" spans="1:23" ht="42.75" customHeight="1" x14ac:dyDescent="0.25">
      <c r="A275" s="8" t="s">
        <v>197</v>
      </c>
      <c r="B275" s="9" t="s">
        <v>189</v>
      </c>
      <c r="C275" s="37">
        <v>0.1037</v>
      </c>
      <c r="D275" s="9">
        <v>1.3137000000000001</v>
      </c>
      <c r="E275" s="37">
        <v>0.1923</v>
      </c>
      <c r="F275" s="9">
        <v>0.35189999999999999</v>
      </c>
      <c r="G275" s="9">
        <v>-0.28349354838709678</v>
      </c>
      <c r="H275" s="9">
        <v>0.7349</v>
      </c>
      <c r="I275" s="9">
        <v>0.12640000000000001</v>
      </c>
      <c r="J275" s="57">
        <f t="shared" si="36"/>
        <v>-0.116701607267645</v>
      </c>
      <c r="K275" s="9">
        <v>1.3339000000000001</v>
      </c>
      <c r="L275" s="57">
        <f t="shared" ref="L275:L336" si="38">K275/1.6091 -1</f>
        <v>-0.17102728233173814</v>
      </c>
      <c r="M275" s="25">
        <v>0.2545</v>
      </c>
      <c r="N275" s="57">
        <f t="shared" si="37"/>
        <v>-0.15672630881378402</v>
      </c>
      <c r="O275" s="9">
        <v>0.42249999999999999</v>
      </c>
      <c r="P275" s="57">
        <f t="shared" ref="P275:P336" si="39">O275/0.4993 - 1</f>
        <v>-0.15381534147806941</v>
      </c>
      <c r="Q275" s="9" t="s">
        <v>190</v>
      </c>
    </row>
    <row r="276" spans="1:23" ht="42.75" customHeight="1" x14ac:dyDescent="0.25">
      <c r="A276" s="8" t="s">
        <v>197</v>
      </c>
      <c r="B276" s="2" t="s">
        <v>196</v>
      </c>
      <c r="C276" s="37">
        <v>0.1013</v>
      </c>
      <c r="D276" s="9">
        <v>1.4328000000000001</v>
      </c>
      <c r="E276" s="37">
        <v>0.21690000000000001</v>
      </c>
      <c r="F276" s="9">
        <v>0.36559999999999998</v>
      </c>
      <c r="G276" s="9">
        <v>-0.59530625000000004</v>
      </c>
      <c r="H276" s="9">
        <v>0.69489999999999996</v>
      </c>
      <c r="I276" s="9">
        <v>0.1268</v>
      </c>
      <c r="J276" s="57">
        <f t="shared" si="36"/>
        <v>-0.11390635918937808</v>
      </c>
      <c r="K276" s="9">
        <v>1.337</v>
      </c>
      <c r="L276" s="57">
        <f t="shared" si="38"/>
        <v>-0.16910073954384441</v>
      </c>
      <c r="M276" s="25">
        <v>0.25390000000000001</v>
      </c>
      <c r="N276" s="57">
        <f t="shared" si="37"/>
        <v>-0.15871438038436048</v>
      </c>
      <c r="O276" s="9">
        <v>0.41720000000000002</v>
      </c>
      <c r="P276" s="57">
        <f t="shared" si="39"/>
        <v>-0.16443020228319649</v>
      </c>
      <c r="Q276" s="9" t="s">
        <v>188</v>
      </c>
    </row>
    <row r="277" spans="1:23" ht="42.75" customHeight="1" x14ac:dyDescent="0.25">
      <c r="A277" s="8">
        <v>7.12</v>
      </c>
      <c r="B277" s="9" t="s">
        <v>159</v>
      </c>
      <c r="C277" s="37">
        <v>0.117049947051419</v>
      </c>
      <c r="D277" s="9">
        <v>1.3337000000000001</v>
      </c>
      <c r="E277" s="37">
        <v>0.24064355160175799</v>
      </c>
      <c r="F277" s="9">
        <v>0.3916</v>
      </c>
      <c r="G277" s="9">
        <v>-0.2835923076923077</v>
      </c>
      <c r="H277" s="9">
        <v>0.82799999999999996</v>
      </c>
      <c r="I277" s="9">
        <v>0.12820000000000001</v>
      </c>
      <c r="J277" s="57">
        <f t="shared" si="36"/>
        <v>-0.10412299091544375</v>
      </c>
      <c r="K277" s="9">
        <v>1.3105</v>
      </c>
      <c r="L277" s="57">
        <f t="shared" si="38"/>
        <v>-0.18556957305325961</v>
      </c>
      <c r="M277" s="25">
        <v>0.26740000000000003</v>
      </c>
      <c r="N277" s="57">
        <f t="shared" si="37"/>
        <v>-0.11398277004638824</v>
      </c>
      <c r="O277" s="9">
        <v>0.43730000000000002</v>
      </c>
      <c r="P277" s="57">
        <f t="shared" si="39"/>
        <v>-0.12417384338073301</v>
      </c>
      <c r="Q277" s="9" t="s">
        <v>160</v>
      </c>
    </row>
    <row r="278" spans="1:23" ht="42.75" customHeight="1" x14ac:dyDescent="0.25">
      <c r="A278" s="8">
        <v>7.12</v>
      </c>
      <c r="B278" s="9" t="s">
        <v>178</v>
      </c>
      <c r="C278" s="37">
        <v>0.1193</v>
      </c>
      <c r="D278" s="9">
        <v>1.3539000000000001</v>
      </c>
      <c r="E278" s="37">
        <v>0.2462</v>
      </c>
      <c r="F278" s="9">
        <v>0.4032</v>
      </c>
      <c r="G278" s="9">
        <v>-0.32125172413793107</v>
      </c>
      <c r="H278" s="9">
        <v>0.8417</v>
      </c>
      <c r="I278" s="9">
        <v>0.12790000000000001</v>
      </c>
      <c r="J278" s="57">
        <f t="shared" si="36"/>
        <v>-0.10621942697414388</v>
      </c>
      <c r="K278" s="9">
        <v>1.3438000000000001</v>
      </c>
      <c r="L278" s="57">
        <f t="shared" si="38"/>
        <v>-0.16487477471878687</v>
      </c>
      <c r="M278" s="25">
        <v>0.26889999999999997</v>
      </c>
      <c r="N278" s="57">
        <f t="shared" si="37"/>
        <v>-0.1090125911199471</v>
      </c>
      <c r="O278" s="9">
        <v>0.43940000000000001</v>
      </c>
      <c r="P278" s="57">
        <f t="shared" si="39"/>
        <v>-0.11996795513719205</v>
      </c>
      <c r="Q278" s="9" t="s">
        <v>177</v>
      </c>
    </row>
    <row r="279" spans="1:23" ht="42.75" customHeight="1" x14ac:dyDescent="0.25">
      <c r="A279" s="8">
        <v>7.1</v>
      </c>
      <c r="B279" s="2" t="s">
        <v>163</v>
      </c>
      <c r="C279" s="37">
        <v>0.11990000000000001</v>
      </c>
      <c r="D279" s="9">
        <v>1.3692</v>
      </c>
      <c r="E279" s="37">
        <v>0.25850000000000001</v>
      </c>
      <c r="F279" s="9">
        <v>0.40350000000000003</v>
      </c>
      <c r="G279" s="9">
        <v>-0.32624285714285722</v>
      </c>
      <c r="H279" s="9">
        <v>0.83020000000000005</v>
      </c>
      <c r="I279" s="9">
        <v>0.12859999999999999</v>
      </c>
      <c r="J279" s="57">
        <f t="shared" si="36"/>
        <v>-0.10132774283717694</v>
      </c>
      <c r="K279" s="9">
        <v>1.347</v>
      </c>
      <c r="L279" s="57">
        <f t="shared" si="38"/>
        <v>-0.16288608538934812</v>
      </c>
      <c r="M279" s="25">
        <v>0.2747</v>
      </c>
      <c r="N279" s="57">
        <f t="shared" si="37"/>
        <v>-8.9794565937707183E-2</v>
      </c>
      <c r="O279" s="9">
        <v>0.44340000000000002</v>
      </c>
      <c r="P279" s="57">
        <f t="shared" si="39"/>
        <v>-0.11195673943520934</v>
      </c>
      <c r="Q279" s="9" t="s">
        <v>207</v>
      </c>
    </row>
    <row r="280" spans="1:23" ht="42.75" customHeight="1" x14ac:dyDescent="0.25">
      <c r="A280" s="8">
        <v>7.1</v>
      </c>
      <c r="B280" s="9" t="s">
        <v>163</v>
      </c>
      <c r="C280" s="37">
        <v>0.118403375427892</v>
      </c>
      <c r="D280" s="9">
        <v>1.2999000000000001</v>
      </c>
      <c r="E280" s="37">
        <v>0.24759281425823601</v>
      </c>
      <c r="F280" s="9">
        <v>0.40089999999999998</v>
      </c>
      <c r="G280" s="9">
        <v>-0.44055312499999993</v>
      </c>
      <c r="H280" s="9">
        <v>0.87870000000000004</v>
      </c>
      <c r="I280" s="9">
        <v>0.12720000000000001</v>
      </c>
      <c r="J280" s="57">
        <f t="shared" si="36"/>
        <v>-0.11111111111111105</v>
      </c>
      <c r="K280" s="9">
        <v>1.2849999999999999</v>
      </c>
      <c r="L280" s="57">
        <f t="shared" si="38"/>
        <v>-0.20141694114722519</v>
      </c>
      <c r="M280" s="25">
        <v>0.2722</v>
      </c>
      <c r="N280" s="57">
        <f t="shared" si="37"/>
        <v>-9.8078197481776042E-2</v>
      </c>
      <c r="O280" s="9">
        <v>0.44240000000000002</v>
      </c>
      <c r="P280" s="57">
        <f t="shared" si="39"/>
        <v>-0.11395954336070502</v>
      </c>
      <c r="Q280" s="9" t="s">
        <v>176</v>
      </c>
    </row>
    <row r="281" spans="1:23" ht="42.75" customHeight="1" x14ac:dyDescent="0.25">
      <c r="A281" s="8">
        <v>7.1</v>
      </c>
      <c r="B281" s="9" t="s">
        <v>163</v>
      </c>
      <c r="C281" s="37">
        <v>0.114341656495316</v>
      </c>
      <c r="D281" s="9">
        <v>1.1697</v>
      </c>
      <c r="E281" s="37">
        <v>0.24482253281084501</v>
      </c>
      <c r="F281" s="9">
        <v>0.38179999999999997</v>
      </c>
      <c r="G281" s="9">
        <v>-0.46120000000000005</v>
      </c>
      <c r="H281" s="9">
        <v>0.87739999999999996</v>
      </c>
      <c r="I281" s="9">
        <v>0.1258</v>
      </c>
      <c r="J281" s="57">
        <f t="shared" si="36"/>
        <v>-0.12089447938504549</v>
      </c>
      <c r="K281" s="9">
        <v>1.2426999999999999</v>
      </c>
      <c r="L281" s="57">
        <f t="shared" si="38"/>
        <v>-0.22770492822074451</v>
      </c>
      <c r="M281" s="25">
        <v>0.2571</v>
      </c>
      <c r="N281" s="57">
        <f t="shared" si="37"/>
        <v>-0.14811133200795235</v>
      </c>
      <c r="O281" s="9">
        <v>0.41549999999999998</v>
      </c>
      <c r="P281" s="57">
        <f t="shared" si="39"/>
        <v>-0.16783496895653927</v>
      </c>
      <c r="Q281" s="2" t="s">
        <v>175</v>
      </c>
    </row>
    <row r="282" spans="1:23" ht="42.75" customHeight="1" x14ac:dyDescent="0.25">
      <c r="A282" s="8">
        <v>7.09</v>
      </c>
      <c r="B282" s="9" t="s">
        <v>163</v>
      </c>
      <c r="C282" s="37">
        <v>0.12130000000000001</v>
      </c>
      <c r="D282" s="9">
        <v>1.3532999999999999</v>
      </c>
      <c r="E282" s="37">
        <v>0.2545</v>
      </c>
      <c r="F282" s="9">
        <v>0.40960000000000002</v>
      </c>
      <c r="G282" s="9">
        <v>-0.22315384615384617</v>
      </c>
      <c r="H282" s="9">
        <v>0.84089999999999998</v>
      </c>
      <c r="I282" s="9">
        <v>0.129</v>
      </c>
      <c r="J282" s="57">
        <f t="shared" si="36"/>
        <v>-9.8532494758909905E-2</v>
      </c>
      <c r="K282" s="9">
        <v>1.3407</v>
      </c>
      <c r="L282" s="57">
        <f t="shared" si="38"/>
        <v>-0.1668013175066807</v>
      </c>
      <c r="M282" s="25">
        <v>0.26490000000000002</v>
      </c>
      <c r="N282" s="57">
        <f t="shared" si="37"/>
        <v>-0.12226640159045721</v>
      </c>
      <c r="O282" s="9">
        <v>0.43209999999999998</v>
      </c>
      <c r="P282" s="57">
        <f t="shared" si="39"/>
        <v>-0.13458842379331071</v>
      </c>
      <c r="Q282" s="9" t="s">
        <v>165</v>
      </c>
    </row>
    <row r="283" spans="1:23" ht="42.75" customHeight="1" x14ac:dyDescent="0.25">
      <c r="A283" s="8">
        <v>7.09</v>
      </c>
      <c r="B283" s="9" t="s">
        <v>163</v>
      </c>
      <c r="C283" s="37">
        <v>0.1206</v>
      </c>
      <c r="D283" s="9">
        <v>1.4036999999999999</v>
      </c>
      <c r="E283" s="37">
        <v>0.25019999999999998</v>
      </c>
      <c r="F283" s="9">
        <v>0.40949999999999998</v>
      </c>
      <c r="G283" s="9">
        <v>-0.3093749999999999</v>
      </c>
      <c r="H283" s="9">
        <v>0.81850000000000001</v>
      </c>
      <c r="I283" s="9">
        <v>0.12939999999999999</v>
      </c>
      <c r="J283" s="57">
        <f t="shared" si="36"/>
        <v>-9.5737246680642984E-2</v>
      </c>
      <c r="K283" s="9">
        <v>1.3645</v>
      </c>
      <c r="L283" s="57">
        <f t="shared" si="38"/>
        <v>-0.1520104406189795</v>
      </c>
      <c r="M283" s="25">
        <v>0.26700000000000002</v>
      </c>
      <c r="N283" s="57">
        <f t="shared" si="37"/>
        <v>-0.11530815109343939</v>
      </c>
      <c r="O283" s="9">
        <v>0.43519999999999998</v>
      </c>
      <c r="P283" s="57">
        <f t="shared" si="39"/>
        <v>-0.12837973162427407</v>
      </c>
      <c r="Q283" s="9" t="s">
        <v>164</v>
      </c>
    </row>
    <row r="284" spans="1:23" ht="42.75" customHeight="1" x14ac:dyDescent="0.25">
      <c r="A284" s="8">
        <v>7.08</v>
      </c>
      <c r="B284" s="9" t="s">
        <v>161</v>
      </c>
      <c r="C284" s="37">
        <v>0.11754843322927799</v>
      </c>
      <c r="D284" s="9">
        <v>1.3562000000000001</v>
      </c>
      <c r="E284" s="37">
        <v>0.232466582508219</v>
      </c>
      <c r="F284" s="9">
        <v>0.39129999999999998</v>
      </c>
      <c r="G284" s="9">
        <v>-0.35592999999999997</v>
      </c>
      <c r="H284" s="9">
        <v>0.82569999999999999</v>
      </c>
      <c r="I284" s="9">
        <v>0.12759999999999999</v>
      </c>
      <c r="J284" s="57">
        <f t="shared" si="36"/>
        <v>-0.10831586303284424</v>
      </c>
      <c r="K284" s="9">
        <v>1.3337000000000001</v>
      </c>
      <c r="L284" s="57">
        <f t="shared" si="38"/>
        <v>-0.17115157541482806</v>
      </c>
      <c r="M284" s="25">
        <v>0.26019999999999999</v>
      </c>
      <c r="N284" s="57">
        <f t="shared" si="37"/>
        <v>-0.13783962889330692</v>
      </c>
      <c r="O284" s="9">
        <v>0.4284</v>
      </c>
      <c r="P284" s="57">
        <f t="shared" si="39"/>
        <v>-0.14199879831764473</v>
      </c>
      <c r="Q284" s="9" t="s">
        <v>162</v>
      </c>
    </row>
    <row r="285" spans="1:23" ht="42.75" customHeight="1" x14ac:dyDescent="0.25">
      <c r="A285" s="8">
        <v>7.07</v>
      </c>
      <c r="B285" s="9" t="s">
        <v>157</v>
      </c>
      <c r="C285" s="37">
        <v>0.11650000000000001</v>
      </c>
      <c r="D285" s="9">
        <v>1.333</v>
      </c>
      <c r="E285" s="37">
        <v>0.255</v>
      </c>
      <c r="F285" s="9">
        <v>0.42499999999999999</v>
      </c>
      <c r="G285" s="9">
        <v>-0.32575714285714286</v>
      </c>
      <c r="H285" s="9">
        <v>0.82379999999999998</v>
      </c>
      <c r="I285" s="9">
        <v>0.12720000000000001</v>
      </c>
      <c r="J285" s="57">
        <f t="shared" si="36"/>
        <v>-0.11111111111111105</v>
      </c>
      <c r="K285" s="9">
        <v>1.3262</v>
      </c>
      <c r="L285" s="57">
        <f t="shared" si="38"/>
        <v>-0.17581256603070039</v>
      </c>
      <c r="M285" s="25">
        <v>0.27210000000000001</v>
      </c>
      <c r="N285" s="57">
        <f t="shared" si="37"/>
        <v>-9.8409542743538747E-2</v>
      </c>
      <c r="O285" s="9">
        <v>0.44869999999999999</v>
      </c>
      <c r="P285" s="57">
        <f t="shared" si="39"/>
        <v>-0.10134187863008215</v>
      </c>
      <c r="Q285" s="9" t="s">
        <v>158</v>
      </c>
    </row>
    <row r="286" spans="1:23" ht="42.75" customHeight="1" x14ac:dyDescent="0.25">
      <c r="A286" s="8">
        <v>7.05</v>
      </c>
      <c r="B286" s="2" t="s">
        <v>147</v>
      </c>
      <c r="C286" s="37">
        <v>6.7687156559557496E-2</v>
      </c>
      <c r="E286" s="37">
        <v>0.109059179358426</v>
      </c>
      <c r="G286" s="9">
        <v>-5.1421875000000006E-2</v>
      </c>
      <c r="J286" s="57">
        <f t="shared" si="36"/>
        <v>-1</v>
      </c>
      <c r="L286" s="57">
        <f t="shared" si="38"/>
        <v>-1</v>
      </c>
      <c r="N286" s="57">
        <f t="shared" si="37"/>
        <v>-1</v>
      </c>
      <c r="P286" s="57">
        <f t="shared" si="39"/>
        <v>-1</v>
      </c>
      <c r="Q286" s="2" t="s">
        <v>148</v>
      </c>
    </row>
    <row r="287" spans="1:23" s="9" customFormat="1" ht="42.75" customHeight="1" x14ac:dyDescent="0.25">
      <c r="A287" s="8">
        <v>7.05</v>
      </c>
      <c r="B287" s="2" t="s">
        <v>145</v>
      </c>
      <c r="C287" s="37">
        <v>9.9967758500327297E-2</v>
      </c>
      <c r="E287" s="37">
        <v>0.21724499346493201</v>
      </c>
      <c r="G287" s="9">
        <v>-0.54346874999999994</v>
      </c>
      <c r="J287" s="57">
        <f t="shared" si="36"/>
        <v>-1</v>
      </c>
      <c r="L287" s="57">
        <f t="shared" si="38"/>
        <v>-1</v>
      </c>
      <c r="M287" s="25"/>
      <c r="N287" s="57">
        <f t="shared" si="37"/>
        <v>-1</v>
      </c>
      <c r="P287" s="57">
        <f t="shared" si="39"/>
        <v>-1</v>
      </c>
      <c r="Q287" s="2" t="s">
        <v>146</v>
      </c>
    </row>
    <row r="288" spans="1:23" ht="42.75" customHeight="1" x14ac:dyDescent="0.25">
      <c r="A288" s="8" t="s">
        <v>143</v>
      </c>
      <c r="B288" s="2" t="s">
        <v>134</v>
      </c>
      <c r="C288" s="37">
        <v>0.104710141076893</v>
      </c>
      <c r="E288" s="37">
        <v>0.19402302766455401</v>
      </c>
      <c r="G288" s="9">
        <v>-0.49681249999999999</v>
      </c>
      <c r="J288" s="57">
        <f t="shared" si="36"/>
        <v>-1</v>
      </c>
      <c r="L288" s="57">
        <f t="shared" si="38"/>
        <v>-1</v>
      </c>
      <c r="N288" s="57">
        <f t="shared" si="37"/>
        <v>-1</v>
      </c>
      <c r="P288" s="57">
        <f t="shared" si="39"/>
        <v>-1</v>
      </c>
      <c r="Q288" s="2" t="s">
        <v>135</v>
      </c>
    </row>
    <row r="289" spans="1:17" ht="42.75" customHeight="1" x14ac:dyDescent="0.25">
      <c r="A289" s="8" t="s">
        <v>144</v>
      </c>
      <c r="B289" s="2" t="s">
        <v>133</v>
      </c>
      <c r="C289" s="37">
        <v>9.7793528846869704E-2</v>
      </c>
      <c r="E289" s="37">
        <v>0.222604545946923</v>
      </c>
      <c r="G289" s="9">
        <v>-0.70699374999999987</v>
      </c>
      <c r="J289" s="57">
        <f t="shared" si="36"/>
        <v>-1</v>
      </c>
      <c r="L289" s="57">
        <f t="shared" si="38"/>
        <v>-1</v>
      </c>
      <c r="N289" s="57">
        <f t="shared" si="37"/>
        <v>-1</v>
      </c>
      <c r="P289" s="57">
        <f t="shared" si="39"/>
        <v>-1</v>
      </c>
      <c r="Q289" s="2" t="s">
        <v>132</v>
      </c>
    </row>
    <row r="290" spans="1:17" ht="42.75" customHeight="1" x14ac:dyDescent="0.25">
      <c r="A290" s="8" t="s">
        <v>144</v>
      </c>
      <c r="B290" s="2" t="s">
        <v>128</v>
      </c>
      <c r="C290" s="37">
        <v>8.9526089089164304E-2</v>
      </c>
      <c r="E290" s="37">
        <v>0.148470796926265</v>
      </c>
      <c r="G290" s="9">
        <v>-0.85728124999999988</v>
      </c>
      <c r="J290" s="57">
        <f t="shared" si="36"/>
        <v>-1</v>
      </c>
      <c r="L290" s="57">
        <f t="shared" si="38"/>
        <v>-1</v>
      </c>
      <c r="N290" s="57">
        <f t="shared" si="37"/>
        <v>-1</v>
      </c>
      <c r="P290" s="57">
        <f t="shared" si="39"/>
        <v>-1</v>
      </c>
      <c r="Q290" s="2" t="s">
        <v>129</v>
      </c>
    </row>
    <row r="291" spans="1:17" ht="42.75" customHeight="1" x14ac:dyDescent="0.25">
      <c r="A291" s="8" t="s">
        <v>144</v>
      </c>
      <c r="B291" s="2" t="s">
        <v>130</v>
      </c>
      <c r="C291" s="37">
        <v>8.5129090557904102E-2</v>
      </c>
      <c r="E291" s="37">
        <v>0.13637813068897001</v>
      </c>
      <c r="G291" s="9">
        <v>-0.86020625000000006</v>
      </c>
      <c r="J291" s="57">
        <f t="shared" si="36"/>
        <v>-1</v>
      </c>
      <c r="L291" s="57">
        <f t="shared" si="38"/>
        <v>-1</v>
      </c>
      <c r="N291" s="57">
        <f t="shared" si="37"/>
        <v>-1</v>
      </c>
      <c r="P291" s="57">
        <f t="shared" si="39"/>
        <v>-1</v>
      </c>
      <c r="Q291" s="2" t="s">
        <v>131</v>
      </c>
    </row>
    <row r="292" spans="1:17" ht="42.75" customHeight="1" x14ac:dyDescent="0.25">
      <c r="A292" s="8">
        <v>7.04</v>
      </c>
      <c r="B292" s="2" t="s">
        <v>82</v>
      </c>
      <c r="C292" s="37">
        <v>0.123063315670341</v>
      </c>
      <c r="E292" s="37">
        <v>0.27000858637081399</v>
      </c>
      <c r="J292" s="57">
        <f t="shared" ref="J292:J336" si="40">I292/0.1431-1</f>
        <v>-1</v>
      </c>
      <c r="L292" s="57">
        <f t="shared" si="38"/>
        <v>-1</v>
      </c>
      <c r="N292" s="57">
        <f t="shared" ref="N292:N336" si="41">M292/0.3018-1</f>
        <v>-1</v>
      </c>
      <c r="P292" s="57">
        <f t="shared" si="39"/>
        <v>-1</v>
      </c>
      <c r="Q292" s="2" t="s">
        <v>139</v>
      </c>
    </row>
    <row r="293" spans="1:17" ht="42.75" customHeight="1" x14ac:dyDescent="0.25">
      <c r="A293" s="8">
        <v>7.03</v>
      </c>
      <c r="B293" s="2" t="s">
        <v>127</v>
      </c>
      <c r="C293" s="37">
        <v>8.7620124538355604E-2</v>
      </c>
      <c r="E293" s="37">
        <v>0.134881832075157</v>
      </c>
      <c r="G293" s="9">
        <v>-0.86020625000000006</v>
      </c>
      <c r="J293" s="57">
        <f t="shared" si="40"/>
        <v>-1</v>
      </c>
      <c r="L293" s="57">
        <f t="shared" si="38"/>
        <v>-1</v>
      </c>
      <c r="N293" s="57">
        <f t="shared" si="41"/>
        <v>-1</v>
      </c>
      <c r="P293" s="57">
        <f t="shared" si="39"/>
        <v>-1</v>
      </c>
      <c r="Q293" s="2" t="s">
        <v>136</v>
      </c>
    </row>
    <row r="294" spans="1:17" ht="42.75" customHeight="1" x14ac:dyDescent="0.25">
      <c r="A294" s="8">
        <v>7.02</v>
      </c>
      <c r="B294" s="23" t="s">
        <v>126</v>
      </c>
      <c r="C294" s="37">
        <v>0.121653599157607</v>
      </c>
      <c r="D294" s="15"/>
      <c r="E294" s="37">
        <v>0.258230107561226</v>
      </c>
      <c r="F294" s="15"/>
      <c r="G294" s="15">
        <v>-0.34261538461538465</v>
      </c>
      <c r="H294" s="15"/>
      <c r="I294" s="15"/>
      <c r="J294" s="57">
        <f t="shared" si="40"/>
        <v>-1</v>
      </c>
      <c r="K294" s="15"/>
      <c r="L294" s="57">
        <f t="shared" si="38"/>
        <v>-1</v>
      </c>
      <c r="N294" s="57">
        <f t="shared" si="41"/>
        <v>-1</v>
      </c>
      <c r="O294" s="15"/>
      <c r="P294" s="57">
        <f t="shared" si="39"/>
        <v>-1</v>
      </c>
      <c r="Q294" s="13" t="s">
        <v>125</v>
      </c>
    </row>
    <row r="295" spans="1:17" ht="42.75" customHeight="1" x14ac:dyDescent="0.25">
      <c r="A295" s="8">
        <v>7.02</v>
      </c>
      <c r="B295" s="9" t="s">
        <v>124</v>
      </c>
      <c r="C295" s="37">
        <v>0.12038297026593101</v>
      </c>
      <c r="E295" s="37">
        <v>0.248099045595958</v>
      </c>
      <c r="G295" s="9">
        <v>-0.31388437499999994</v>
      </c>
      <c r="J295" s="57">
        <f t="shared" si="40"/>
        <v>-1</v>
      </c>
      <c r="L295" s="57">
        <f t="shared" si="38"/>
        <v>-1</v>
      </c>
      <c r="N295" s="57">
        <f t="shared" si="41"/>
        <v>-1</v>
      </c>
      <c r="P295" s="57">
        <f t="shared" si="39"/>
        <v>-1</v>
      </c>
      <c r="Q295" s="2" t="s">
        <v>98</v>
      </c>
    </row>
    <row r="296" spans="1:17" ht="42.75" customHeight="1" x14ac:dyDescent="0.25">
      <c r="A296" s="8">
        <v>7.02</v>
      </c>
      <c r="B296" s="9" t="s">
        <v>116</v>
      </c>
      <c r="C296" s="37">
        <v>0.12069678969014901</v>
      </c>
      <c r="E296" s="37">
        <v>0.25458387638089403</v>
      </c>
      <c r="G296" s="9">
        <v>-0.31693793103448276</v>
      </c>
      <c r="J296" s="57">
        <f t="shared" si="40"/>
        <v>-1</v>
      </c>
      <c r="L296" s="57">
        <f t="shared" si="38"/>
        <v>-1</v>
      </c>
      <c r="N296" s="57">
        <f t="shared" si="41"/>
        <v>-1</v>
      </c>
      <c r="P296" s="57">
        <f t="shared" si="39"/>
        <v>-1</v>
      </c>
      <c r="Q296" s="2" t="s">
        <v>117</v>
      </c>
    </row>
    <row r="297" spans="1:17" ht="42.75" customHeight="1" x14ac:dyDescent="0.25">
      <c r="A297" s="8">
        <v>7.01</v>
      </c>
      <c r="B297" s="2" t="s">
        <v>114</v>
      </c>
      <c r="C297" s="37">
        <v>0.123503091946538</v>
      </c>
      <c r="E297" s="37">
        <v>0.259285162652863</v>
      </c>
      <c r="G297" s="9">
        <v>-0.33756799999999992</v>
      </c>
      <c r="J297" s="57">
        <f t="shared" si="40"/>
        <v>-1</v>
      </c>
      <c r="L297" s="57">
        <f t="shared" si="38"/>
        <v>-1</v>
      </c>
      <c r="N297" s="57">
        <f t="shared" si="41"/>
        <v>-1</v>
      </c>
      <c r="P297" s="57">
        <f t="shared" si="39"/>
        <v>-1</v>
      </c>
      <c r="Q297" s="2" t="s">
        <v>115</v>
      </c>
    </row>
    <row r="298" spans="1:17" ht="42.75" customHeight="1" x14ac:dyDescent="0.25">
      <c r="A298" s="8">
        <v>7.01</v>
      </c>
      <c r="B298" s="2" t="s">
        <v>112</v>
      </c>
      <c r="C298" s="37">
        <v>0.118674339777307</v>
      </c>
      <c r="E298" s="37">
        <v>0.249822967530544</v>
      </c>
      <c r="G298" s="9">
        <v>-0.38148076923076923</v>
      </c>
      <c r="J298" s="57">
        <f t="shared" si="40"/>
        <v>-1</v>
      </c>
      <c r="L298" s="57">
        <f t="shared" si="38"/>
        <v>-1</v>
      </c>
      <c r="N298" s="57">
        <f t="shared" si="41"/>
        <v>-1</v>
      </c>
      <c r="P298" s="57">
        <f t="shared" si="39"/>
        <v>-1</v>
      </c>
      <c r="Q298" s="2" t="s">
        <v>113</v>
      </c>
    </row>
    <row r="299" spans="1:17" ht="42.75" customHeight="1" x14ac:dyDescent="0.25">
      <c r="A299" s="8">
        <v>7.01</v>
      </c>
      <c r="B299" s="2" t="s">
        <v>110</v>
      </c>
      <c r="C299" s="37">
        <v>0.115806524822124</v>
      </c>
      <c r="E299" s="37">
        <v>0.23899126081043401</v>
      </c>
      <c r="G299" s="9">
        <v>-0.57316250000000002</v>
      </c>
      <c r="J299" s="57">
        <f t="shared" si="40"/>
        <v>-1</v>
      </c>
      <c r="L299" s="57">
        <f t="shared" si="38"/>
        <v>-1</v>
      </c>
      <c r="N299" s="57">
        <f t="shared" si="41"/>
        <v>-1</v>
      </c>
      <c r="P299" s="57">
        <f t="shared" si="39"/>
        <v>-1</v>
      </c>
      <c r="Q299" s="2" t="s">
        <v>111</v>
      </c>
    </row>
    <row r="300" spans="1:17" ht="42.75" customHeight="1" x14ac:dyDescent="0.25">
      <c r="A300" s="8">
        <v>7.01</v>
      </c>
      <c r="B300" s="20" t="s">
        <v>108</v>
      </c>
      <c r="C300" s="37">
        <v>0.13658764783350899</v>
      </c>
      <c r="D300" s="21"/>
      <c r="E300" s="37">
        <v>0.29235427086863303</v>
      </c>
      <c r="F300" s="21"/>
      <c r="G300" s="21">
        <v>-0.28305312499999996</v>
      </c>
      <c r="H300" s="21"/>
      <c r="I300" s="21"/>
      <c r="J300" s="57">
        <f t="shared" si="40"/>
        <v>-1</v>
      </c>
      <c r="K300" s="21"/>
      <c r="L300" s="57">
        <f t="shared" si="38"/>
        <v>-1</v>
      </c>
      <c r="N300" s="57">
        <f t="shared" si="41"/>
        <v>-1</v>
      </c>
      <c r="O300" s="21"/>
      <c r="P300" s="57">
        <f t="shared" si="39"/>
        <v>-1</v>
      </c>
      <c r="Q300" s="20" t="s">
        <v>109</v>
      </c>
    </row>
    <row r="301" spans="1:17" ht="42.75" customHeight="1" x14ac:dyDescent="0.25">
      <c r="A301" s="8">
        <v>7.01</v>
      </c>
      <c r="B301" s="2" t="s">
        <v>106</v>
      </c>
      <c r="C301" s="37">
        <v>0.119892912858805</v>
      </c>
      <c r="E301" s="37">
        <v>0.238961733685118</v>
      </c>
      <c r="G301" s="9">
        <v>-0.32078000000000001</v>
      </c>
      <c r="J301" s="57">
        <f t="shared" si="40"/>
        <v>-1</v>
      </c>
      <c r="L301" s="57">
        <f t="shared" si="38"/>
        <v>-1</v>
      </c>
      <c r="N301" s="57">
        <f t="shared" si="41"/>
        <v>-1</v>
      </c>
      <c r="P301" s="57">
        <f t="shared" si="39"/>
        <v>-1</v>
      </c>
      <c r="Q301" s="2" t="s">
        <v>107</v>
      </c>
    </row>
    <row r="302" spans="1:17" ht="42.75" customHeight="1" x14ac:dyDescent="0.25">
      <c r="A302" s="8">
        <v>6.3</v>
      </c>
      <c r="B302" s="2" t="s">
        <v>104</v>
      </c>
      <c r="C302" s="37">
        <v>0.121732144579346</v>
      </c>
      <c r="E302" s="37">
        <v>0.252392223559047</v>
      </c>
      <c r="G302" s="9">
        <v>-0.31693793103448276</v>
      </c>
      <c r="J302" s="57">
        <f t="shared" si="40"/>
        <v>-1</v>
      </c>
      <c r="L302" s="57">
        <f t="shared" si="38"/>
        <v>-1</v>
      </c>
      <c r="N302" s="57">
        <f t="shared" si="41"/>
        <v>-1</v>
      </c>
      <c r="P302" s="57">
        <f t="shared" si="39"/>
        <v>-1</v>
      </c>
      <c r="Q302" s="2" t="s">
        <v>105</v>
      </c>
    </row>
    <row r="303" spans="1:17" ht="42.75" customHeight="1" x14ac:dyDescent="0.25">
      <c r="A303" s="8">
        <v>6.3</v>
      </c>
      <c r="B303" s="20" t="s">
        <v>100</v>
      </c>
      <c r="C303" s="37">
        <v>0.13677592685904499</v>
      </c>
      <c r="D303" s="21"/>
      <c r="E303" s="37">
        <v>0.25097038164827801</v>
      </c>
      <c r="F303" s="21"/>
      <c r="G303" s="21">
        <v>-0.22755483870967741</v>
      </c>
      <c r="H303" s="21"/>
      <c r="I303" s="21"/>
      <c r="J303" s="57">
        <f t="shared" si="40"/>
        <v>-1</v>
      </c>
      <c r="K303" s="21"/>
      <c r="L303" s="57">
        <f t="shared" si="38"/>
        <v>-1</v>
      </c>
      <c r="N303" s="57">
        <f t="shared" si="41"/>
        <v>-1</v>
      </c>
      <c r="O303" s="21"/>
      <c r="P303" s="57">
        <f t="shared" si="39"/>
        <v>-1</v>
      </c>
      <c r="Q303" s="20" t="s">
        <v>103</v>
      </c>
    </row>
    <row r="304" spans="1:17" ht="42.75" customHeight="1" x14ac:dyDescent="0.25">
      <c r="A304" s="8">
        <v>6.3</v>
      </c>
      <c r="B304" s="20" t="s">
        <v>101</v>
      </c>
      <c r="C304" s="37">
        <v>0.137357201656789</v>
      </c>
      <c r="D304" s="21"/>
      <c r="E304" s="37">
        <v>0.29718351689636802</v>
      </c>
      <c r="F304" s="21"/>
      <c r="G304" s="21">
        <v>-0.24362758620689659</v>
      </c>
      <c r="H304" s="21"/>
      <c r="I304" s="21"/>
      <c r="J304" s="57">
        <f t="shared" si="40"/>
        <v>-1</v>
      </c>
      <c r="K304" s="21"/>
      <c r="L304" s="57">
        <f t="shared" si="38"/>
        <v>-1</v>
      </c>
      <c r="N304" s="57">
        <f t="shared" si="41"/>
        <v>-1</v>
      </c>
      <c r="O304" s="21"/>
      <c r="P304" s="57">
        <f t="shared" si="39"/>
        <v>-1</v>
      </c>
      <c r="Q304" s="20" t="s">
        <v>99</v>
      </c>
    </row>
    <row r="305" spans="1:27" ht="42.75" customHeight="1" x14ac:dyDescent="0.25">
      <c r="A305" s="8">
        <v>6.3</v>
      </c>
      <c r="B305" s="9" t="s">
        <v>102</v>
      </c>
      <c r="C305" s="37">
        <v>0.121847026446033</v>
      </c>
      <c r="E305" s="37">
        <v>0.24114755177052499</v>
      </c>
      <c r="G305" s="9">
        <v>-0.30600370370370372</v>
      </c>
      <c r="J305" s="57">
        <f t="shared" si="40"/>
        <v>-1</v>
      </c>
      <c r="L305" s="57">
        <f t="shared" si="38"/>
        <v>-1</v>
      </c>
      <c r="N305" s="57">
        <f t="shared" si="41"/>
        <v>-1</v>
      </c>
      <c r="P305" s="57">
        <f t="shared" si="39"/>
        <v>-1</v>
      </c>
      <c r="Q305" s="9" t="s">
        <v>98</v>
      </c>
    </row>
    <row r="306" spans="1:27" ht="42.75" customHeight="1" x14ac:dyDescent="0.25">
      <c r="A306" s="8">
        <v>6.3</v>
      </c>
      <c r="B306" s="9" t="s">
        <v>140</v>
      </c>
      <c r="C306" s="37">
        <v>0.114752065356508</v>
      </c>
      <c r="E306" s="37">
        <v>0.242679541932283</v>
      </c>
      <c r="G306" s="9">
        <v>-0.68103437499999997</v>
      </c>
      <c r="J306" s="57">
        <f t="shared" si="40"/>
        <v>-1</v>
      </c>
      <c r="L306" s="57">
        <f t="shared" si="38"/>
        <v>-1</v>
      </c>
      <c r="N306" s="57">
        <f t="shared" si="41"/>
        <v>-1</v>
      </c>
      <c r="P306" s="57">
        <f t="shared" si="39"/>
        <v>-1</v>
      </c>
      <c r="Q306" s="9" t="s">
        <v>98</v>
      </c>
      <c r="V306" s="8"/>
      <c r="W306" s="2"/>
      <c r="X306" s="9"/>
      <c r="Y306" s="9"/>
      <c r="Z306" s="9"/>
      <c r="AA306" s="2"/>
    </row>
    <row r="307" spans="1:27" ht="42.75" customHeight="1" x14ac:dyDescent="0.25">
      <c r="A307" s="8">
        <v>6.3</v>
      </c>
      <c r="B307" s="22" t="s">
        <v>94</v>
      </c>
      <c r="C307" s="37">
        <v>0.125680183895651</v>
      </c>
      <c r="D307" s="15"/>
      <c r="E307" s="37">
        <v>0.26399264387851901</v>
      </c>
      <c r="F307" s="15"/>
      <c r="G307" s="15"/>
      <c r="H307" s="15"/>
      <c r="I307" s="15"/>
      <c r="J307" s="57">
        <f t="shared" si="40"/>
        <v>-1</v>
      </c>
      <c r="K307" s="15"/>
      <c r="L307" s="57">
        <f t="shared" si="38"/>
        <v>-1</v>
      </c>
      <c r="N307" s="57">
        <f t="shared" si="41"/>
        <v>-1</v>
      </c>
      <c r="O307" s="15"/>
      <c r="P307" s="57">
        <f t="shared" si="39"/>
        <v>-1</v>
      </c>
      <c r="Q307" s="13" t="s">
        <v>96</v>
      </c>
      <c r="V307" s="8"/>
      <c r="W307" s="5"/>
      <c r="X307" s="9"/>
      <c r="Y307" s="9"/>
      <c r="Z307" s="9"/>
      <c r="AA307" s="2"/>
    </row>
    <row r="308" spans="1:27" ht="42.75" customHeight="1" x14ac:dyDescent="0.25">
      <c r="A308" s="8">
        <v>6.3</v>
      </c>
      <c r="B308" s="13" t="s">
        <v>95</v>
      </c>
      <c r="C308" s="37">
        <v>0.13935231855826</v>
      </c>
      <c r="D308" s="15"/>
      <c r="E308" s="37">
        <v>0.27484750236452798</v>
      </c>
      <c r="F308" s="15"/>
      <c r="G308" s="15"/>
      <c r="H308" s="15"/>
      <c r="I308" s="15"/>
      <c r="J308" s="57">
        <f t="shared" si="40"/>
        <v>-1</v>
      </c>
      <c r="K308" s="15"/>
      <c r="L308" s="57">
        <f t="shared" si="38"/>
        <v>-1</v>
      </c>
      <c r="N308" s="57">
        <f t="shared" si="41"/>
        <v>-1</v>
      </c>
      <c r="O308" s="15"/>
      <c r="P308" s="57">
        <f t="shared" si="39"/>
        <v>-1</v>
      </c>
      <c r="Q308" s="13" t="s">
        <v>97</v>
      </c>
      <c r="V308" s="8"/>
      <c r="W308" s="5"/>
      <c r="X308" s="9"/>
      <c r="Y308" s="9"/>
      <c r="Z308" s="9"/>
      <c r="AA308" s="2"/>
    </row>
    <row r="309" spans="1:27" ht="42.75" customHeight="1" x14ac:dyDescent="0.25">
      <c r="A309" s="8">
        <v>6.29</v>
      </c>
      <c r="B309" s="2" t="s">
        <v>90</v>
      </c>
      <c r="C309" s="37">
        <v>0.13979105659684099</v>
      </c>
      <c r="E309" s="37">
        <v>0.32389937409268299</v>
      </c>
      <c r="G309" s="9" t="s">
        <v>91</v>
      </c>
      <c r="J309" s="57">
        <f t="shared" si="40"/>
        <v>-1</v>
      </c>
      <c r="L309" s="57">
        <f t="shared" si="38"/>
        <v>-1</v>
      </c>
      <c r="N309" s="57">
        <f t="shared" si="41"/>
        <v>-1</v>
      </c>
      <c r="P309" s="57">
        <f t="shared" si="39"/>
        <v>-1</v>
      </c>
      <c r="Q309" s="2" t="s">
        <v>83</v>
      </c>
    </row>
    <row r="310" spans="1:27" ht="42.75" customHeight="1" x14ac:dyDescent="0.25">
      <c r="A310" s="8">
        <v>6.29</v>
      </c>
      <c r="B310" s="2" t="s">
        <v>81</v>
      </c>
      <c r="C310" s="37">
        <v>0.137615099312661</v>
      </c>
      <c r="E310" s="37">
        <v>0.29662857987206398</v>
      </c>
      <c r="G310" s="9">
        <v>-0.27618124999999999</v>
      </c>
      <c r="J310" s="57">
        <f t="shared" si="40"/>
        <v>-1</v>
      </c>
      <c r="L310" s="57">
        <f t="shared" si="38"/>
        <v>-1</v>
      </c>
      <c r="N310" s="57">
        <f t="shared" si="41"/>
        <v>-1</v>
      </c>
      <c r="P310" s="57">
        <f t="shared" si="39"/>
        <v>-1</v>
      </c>
      <c r="Q310" s="2" t="s">
        <v>92</v>
      </c>
    </row>
    <row r="311" spans="1:27" ht="42.75" customHeight="1" x14ac:dyDescent="0.25">
      <c r="A311" s="8">
        <v>6.29</v>
      </c>
      <c r="B311" s="2" t="s">
        <v>79</v>
      </c>
      <c r="C311" s="37">
        <v>0.138665280386324</v>
      </c>
      <c r="E311" s="37">
        <v>0.305725408943407</v>
      </c>
      <c r="G311" s="9">
        <v>-0.27139999999999997</v>
      </c>
      <c r="J311" s="57">
        <f t="shared" si="40"/>
        <v>-1</v>
      </c>
      <c r="L311" s="57">
        <f t="shared" si="38"/>
        <v>-1</v>
      </c>
      <c r="N311" s="57">
        <f t="shared" si="41"/>
        <v>-1</v>
      </c>
      <c r="P311" s="57">
        <f t="shared" si="39"/>
        <v>-1</v>
      </c>
      <c r="Q311" s="2" t="s">
        <v>93</v>
      </c>
      <c r="R311" s="58" t="s">
        <v>142</v>
      </c>
    </row>
    <row r="312" spans="1:27" ht="42.75" customHeight="1" x14ac:dyDescent="0.25">
      <c r="A312" s="8">
        <v>6.29</v>
      </c>
      <c r="B312" s="2" t="s">
        <v>77</v>
      </c>
      <c r="C312" s="37">
        <v>0.139399413208704</v>
      </c>
      <c r="E312" s="37">
        <v>0.23849009011672101</v>
      </c>
      <c r="G312" s="9">
        <v>-0.5849375</v>
      </c>
      <c r="J312" s="57">
        <f t="shared" si="40"/>
        <v>-1</v>
      </c>
      <c r="L312" s="57">
        <f t="shared" si="38"/>
        <v>-1</v>
      </c>
      <c r="N312" s="57">
        <f t="shared" si="41"/>
        <v>-1</v>
      </c>
      <c r="P312" s="57">
        <f t="shared" si="39"/>
        <v>-1</v>
      </c>
      <c r="Q312" s="2" t="s">
        <v>92</v>
      </c>
      <c r="R312" s="58"/>
    </row>
    <row r="313" spans="1:27" ht="42.75" customHeight="1" x14ac:dyDescent="0.25">
      <c r="A313" s="8">
        <v>6.29</v>
      </c>
      <c r="B313" s="2" t="s">
        <v>76</v>
      </c>
      <c r="C313" s="37">
        <v>0.13566439357903401</v>
      </c>
      <c r="E313" s="37">
        <v>0.229311476549384</v>
      </c>
      <c r="G313" s="9">
        <v>-0.52735937499999996</v>
      </c>
      <c r="J313" s="57">
        <f t="shared" si="40"/>
        <v>-1</v>
      </c>
      <c r="L313" s="57">
        <f t="shared" si="38"/>
        <v>-1</v>
      </c>
      <c r="N313" s="57">
        <f t="shared" si="41"/>
        <v>-1</v>
      </c>
      <c r="P313" s="57">
        <f t="shared" si="39"/>
        <v>-1</v>
      </c>
      <c r="Q313" s="2" t="s">
        <v>93</v>
      </c>
      <c r="R313" s="58"/>
    </row>
    <row r="314" spans="1:27" ht="42.75" customHeight="1" x14ac:dyDescent="0.25">
      <c r="A314" s="8">
        <v>6.29</v>
      </c>
      <c r="B314" s="2" t="s">
        <v>74</v>
      </c>
      <c r="C314" s="37">
        <v>0.136589782615084</v>
      </c>
      <c r="E314" s="37">
        <v>0.28417961720455498</v>
      </c>
      <c r="G314" s="9">
        <v>-0.52960937500000005</v>
      </c>
      <c r="J314" s="57">
        <f t="shared" si="40"/>
        <v>-1</v>
      </c>
      <c r="L314" s="57">
        <f t="shared" si="38"/>
        <v>-1</v>
      </c>
      <c r="N314" s="57">
        <f t="shared" si="41"/>
        <v>-1</v>
      </c>
      <c r="P314" s="57">
        <f t="shared" si="39"/>
        <v>-1</v>
      </c>
      <c r="Q314" s="2" t="s">
        <v>80</v>
      </c>
      <c r="R314" s="58"/>
    </row>
    <row r="315" spans="1:27" ht="42.75" customHeight="1" x14ac:dyDescent="0.25">
      <c r="A315" s="8">
        <v>6.28</v>
      </c>
      <c r="B315" s="2" t="s">
        <v>78</v>
      </c>
      <c r="C315" s="37">
        <v>0.131511976516374</v>
      </c>
      <c r="E315" s="37">
        <v>0.26172614129574101</v>
      </c>
      <c r="F315" s="18"/>
      <c r="G315" s="9">
        <v>-0.51811249999999998</v>
      </c>
      <c r="J315" s="57">
        <f t="shared" si="40"/>
        <v>-1</v>
      </c>
      <c r="L315" s="57">
        <f t="shared" si="38"/>
        <v>-1</v>
      </c>
      <c r="N315" s="57">
        <f t="shared" si="41"/>
        <v>-1</v>
      </c>
      <c r="P315" s="57">
        <f t="shared" si="39"/>
        <v>-1</v>
      </c>
      <c r="Q315" s="24" t="s">
        <v>141</v>
      </c>
      <c r="R315" s="58"/>
    </row>
    <row r="316" spans="1:27" ht="42.75" customHeight="1" x14ac:dyDescent="0.25">
      <c r="A316" s="8">
        <v>6.27</v>
      </c>
      <c r="B316" s="5" t="s">
        <v>72</v>
      </c>
      <c r="C316" s="37">
        <v>9.9067173833470801E-2</v>
      </c>
      <c r="E316" s="37">
        <v>0.171418440087692</v>
      </c>
      <c r="G316" s="9">
        <v>-7.3848612499999994E-2</v>
      </c>
      <c r="J316" s="57">
        <f t="shared" si="40"/>
        <v>-1</v>
      </c>
      <c r="L316" s="57">
        <f t="shared" si="38"/>
        <v>-1</v>
      </c>
      <c r="N316" s="57">
        <f t="shared" si="41"/>
        <v>-1</v>
      </c>
      <c r="P316" s="57">
        <f t="shared" si="39"/>
        <v>-1</v>
      </c>
      <c r="Q316" s="2" t="s">
        <v>73</v>
      </c>
      <c r="R316" s="58"/>
    </row>
    <row r="317" spans="1:27" ht="42.75" customHeight="1" x14ac:dyDescent="0.25">
      <c r="A317" s="8">
        <v>6.2</v>
      </c>
      <c r="B317" s="2" t="s">
        <v>60</v>
      </c>
      <c r="C317" s="37">
        <v>0.12538972270253701</v>
      </c>
      <c r="E317" s="37">
        <v>0.275085476633044</v>
      </c>
      <c r="G317" s="9">
        <v>-0.23842916666666666</v>
      </c>
      <c r="J317" s="57">
        <f t="shared" si="40"/>
        <v>-1</v>
      </c>
      <c r="L317" s="57">
        <f t="shared" si="38"/>
        <v>-1</v>
      </c>
      <c r="N317" s="57">
        <f t="shared" si="41"/>
        <v>-1</v>
      </c>
      <c r="P317" s="57">
        <f t="shared" si="39"/>
        <v>-1</v>
      </c>
      <c r="Q317" s="2" t="s">
        <v>61</v>
      </c>
      <c r="R317" s="58"/>
      <c r="S317" s="17"/>
    </row>
    <row r="318" spans="1:27" ht="42.75" customHeight="1" x14ac:dyDescent="0.25">
      <c r="A318" s="8">
        <v>6.19</v>
      </c>
      <c r="B318" s="2" t="s">
        <v>38</v>
      </c>
      <c r="C318" s="37">
        <v>0.11942087092628299</v>
      </c>
      <c r="E318" s="37">
        <v>0.21883415452675201</v>
      </c>
      <c r="G318" s="9">
        <v>-0.65186250000000001</v>
      </c>
      <c r="J318" s="57">
        <f t="shared" si="40"/>
        <v>-1</v>
      </c>
      <c r="L318" s="57">
        <f t="shared" si="38"/>
        <v>-1</v>
      </c>
      <c r="N318" s="57">
        <f t="shared" si="41"/>
        <v>-1</v>
      </c>
      <c r="P318" s="57">
        <f t="shared" si="39"/>
        <v>-1</v>
      </c>
      <c r="Q318" s="2" t="s">
        <v>39</v>
      </c>
      <c r="S318" s="17"/>
    </row>
    <row r="319" spans="1:27" ht="42.75" customHeight="1" x14ac:dyDescent="0.25">
      <c r="A319" s="8">
        <v>6.18</v>
      </c>
      <c r="B319" s="5" t="s">
        <v>36</v>
      </c>
      <c r="C319" s="37">
        <v>0.10690680838165099</v>
      </c>
      <c r="E319" s="37">
        <v>0.150835194131829</v>
      </c>
      <c r="G319" s="9">
        <v>-0.13469583333333332</v>
      </c>
      <c r="J319" s="57">
        <f t="shared" si="40"/>
        <v>-1</v>
      </c>
      <c r="L319" s="57">
        <f t="shared" si="38"/>
        <v>-1</v>
      </c>
      <c r="N319" s="57">
        <f t="shared" si="41"/>
        <v>-1</v>
      </c>
      <c r="P319" s="57">
        <f t="shared" si="39"/>
        <v>-1</v>
      </c>
      <c r="Q319" s="2" t="s">
        <v>37</v>
      </c>
    </row>
    <row r="320" spans="1:27" ht="42.75" customHeight="1" x14ac:dyDescent="0.25">
      <c r="A320" s="8">
        <v>6.18</v>
      </c>
      <c r="B320" s="5" t="s">
        <v>35</v>
      </c>
      <c r="C320" s="37">
        <v>0.103438176541786</v>
      </c>
      <c r="E320" s="37">
        <v>0.17521578041319599</v>
      </c>
      <c r="G320" s="9">
        <v>-0.14817500000000003</v>
      </c>
      <c r="J320" s="57">
        <f t="shared" si="40"/>
        <v>-1</v>
      </c>
      <c r="L320" s="57">
        <f t="shared" si="38"/>
        <v>-1</v>
      </c>
      <c r="N320" s="57">
        <f t="shared" si="41"/>
        <v>-1</v>
      </c>
      <c r="P320" s="57">
        <f t="shared" si="39"/>
        <v>-1</v>
      </c>
      <c r="Q320" s="2" t="s">
        <v>32</v>
      </c>
    </row>
    <row r="321" spans="1:17" ht="42.75" customHeight="1" x14ac:dyDescent="0.25">
      <c r="A321" s="8">
        <v>6.17</v>
      </c>
      <c r="B321" s="5" t="s">
        <v>33</v>
      </c>
      <c r="C321" s="37">
        <v>0.11327266451326699</v>
      </c>
      <c r="E321" s="37">
        <v>0.208754739295992</v>
      </c>
      <c r="G321" s="9">
        <v>-0.13656666666666667</v>
      </c>
      <c r="J321" s="57">
        <f t="shared" si="40"/>
        <v>-1</v>
      </c>
      <c r="L321" s="57">
        <f t="shared" si="38"/>
        <v>-1</v>
      </c>
      <c r="N321" s="57">
        <f t="shared" si="41"/>
        <v>-1</v>
      </c>
      <c r="P321" s="57">
        <f t="shared" si="39"/>
        <v>-1</v>
      </c>
      <c r="Q321" s="2" t="s">
        <v>34</v>
      </c>
    </row>
    <row r="322" spans="1:17" ht="42.75" customHeight="1" x14ac:dyDescent="0.25">
      <c r="A322" s="8">
        <v>6.17</v>
      </c>
      <c r="B322" s="2" t="s">
        <v>31</v>
      </c>
      <c r="C322" s="37">
        <v>0.102099608565195</v>
      </c>
      <c r="E322" s="37">
        <v>0.17754411811079401</v>
      </c>
      <c r="G322" s="9">
        <v>-0.12833750000000002</v>
      </c>
      <c r="J322" s="57">
        <f t="shared" si="40"/>
        <v>-1</v>
      </c>
      <c r="L322" s="57">
        <f t="shared" si="38"/>
        <v>-1</v>
      </c>
      <c r="N322" s="57">
        <f t="shared" si="41"/>
        <v>-1</v>
      </c>
      <c r="P322" s="57">
        <f t="shared" si="39"/>
        <v>-1</v>
      </c>
      <c r="Q322" s="2" t="s">
        <v>32</v>
      </c>
    </row>
    <row r="323" spans="1:17" ht="42.75" customHeight="1" x14ac:dyDescent="0.25">
      <c r="A323" s="8">
        <v>6.16</v>
      </c>
      <c r="B323" s="5" t="s">
        <v>26</v>
      </c>
      <c r="C323" s="37">
        <v>0.10726620061118999</v>
      </c>
      <c r="E323" s="37">
        <v>0.20493757726585499</v>
      </c>
      <c r="G323" s="19">
        <v>-0.14844166666666667</v>
      </c>
      <c r="H323" s="19"/>
      <c r="I323" s="19"/>
      <c r="J323" s="57">
        <f t="shared" si="40"/>
        <v>-1</v>
      </c>
      <c r="K323" s="19"/>
      <c r="L323" s="57">
        <f t="shared" si="38"/>
        <v>-1</v>
      </c>
      <c r="N323" s="57">
        <f t="shared" si="41"/>
        <v>-1</v>
      </c>
      <c r="O323" s="19"/>
      <c r="P323" s="57">
        <f t="shared" si="39"/>
        <v>-1</v>
      </c>
      <c r="Q323" s="5" t="s">
        <v>25</v>
      </c>
    </row>
    <row r="324" spans="1:17" ht="42.75" customHeight="1" x14ac:dyDescent="0.25">
      <c r="A324" s="8">
        <v>6.16</v>
      </c>
      <c r="B324" s="2" t="s">
        <v>28</v>
      </c>
      <c r="C324" s="37">
        <v>0.10521079161977</v>
      </c>
      <c r="E324" s="37">
        <v>0.19675457365669699</v>
      </c>
      <c r="G324" s="9">
        <v>-0.14553333333333332</v>
      </c>
      <c r="J324" s="57">
        <f t="shared" si="40"/>
        <v>-1</v>
      </c>
      <c r="L324" s="57">
        <f t="shared" si="38"/>
        <v>-1</v>
      </c>
      <c r="N324" s="57">
        <f t="shared" si="41"/>
        <v>-1</v>
      </c>
      <c r="P324" s="57">
        <f t="shared" si="39"/>
        <v>-1</v>
      </c>
      <c r="Q324" s="2" t="s">
        <v>25</v>
      </c>
    </row>
    <row r="325" spans="1:17" ht="42.75" customHeight="1" x14ac:dyDescent="0.25">
      <c r="A325" s="8">
        <v>6.16</v>
      </c>
      <c r="B325" s="2" t="s">
        <v>29</v>
      </c>
      <c r="C325" s="37">
        <v>9.25699479193728E-2</v>
      </c>
      <c r="E325" s="37">
        <v>0.179994153291542</v>
      </c>
      <c r="G325" s="9">
        <v>-0.13257083333333336</v>
      </c>
      <c r="J325" s="57">
        <f t="shared" si="40"/>
        <v>-1</v>
      </c>
      <c r="L325" s="57">
        <f t="shared" si="38"/>
        <v>-1</v>
      </c>
      <c r="N325" s="57">
        <f t="shared" si="41"/>
        <v>-1</v>
      </c>
      <c r="P325" s="57">
        <f t="shared" si="39"/>
        <v>-1</v>
      </c>
      <c r="Q325" s="2" t="s">
        <v>30</v>
      </c>
    </row>
    <row r="326" spans="1:17" ht="42.75" customHeight="1" x14ac:dyDescent="0.25">
      <c r="A326" s="8">
        <v>6.15</v>
      </c>
      <c r="B326" s="2" t="s">
        <v>27</v>
      </c>
      <c r="C326" s="37">
        <v>9.7811358849822505E-2</v>
      </c>
      <c r="E326" s="37">
        <v>0.16756922494447499</v>
      </c>
      <c r="G326" s="9">
        <v>-0.13793750000000002</v>
      </c>
      <c r="J326" s="57">
        <f t="shared" si="40"/>
        <v>-1</v>
      </c>
      <c r="L326" s="57">
        <f t="shared" si="38"/>
        <v>-1</v>
      </c>
      <c r="N326" s="57">
        <f t="shared" si="41"/>
        <v>-1</v>
      </c>
      <c r="P326" s="57">
        <f t="shared" si="39"/>
        <v>-1</v>
      </c>
      <c r="Q326" s="2" t="s">
        <v>23</v>
      </c>
    </row>
    <row r="327" spans="1:17" ht="42.75" customHeight="1" x14ac:dyDescent="0.25">
      <c r="A327" s="8">
        <v>6.15</v>
      </c>
      <c r="B327" s="2" t="s">
        <v>24</v>
      </c>
      <c r="C327" s="37">
        <v>0.104788893991552</v>
      </c>
      <c r="E327" s="37">
        <v>0.20935437148398101</v>
      </c>
      <c r="G327" s="9">
        <v>-0.13145833333333334</v>
      </c>
      <c r="J327" s="57">
        <f t="shared" si="40"/>
        <v>-1</v>
      </c>
      <c r="L327" s="57">
        <f t="shared" si="38"/>
        <v>-1</v>
      </c>
      <c r="N327" s="57">
        <f t="shared" si="41"/>
        <v>-1</v>
      </c>
      <c r="P327" s="57">
        <f t="shared" si="39"/>
        <v>-1</v>
      </c>
      <c r="Q327" s="2" t="s">
        <v>25</v>
      </c>
    </row>
    <row r="328" spans="1:17" ht="42.75" customHeight="1" x14ac:dyDescent="0.25">
      <c r="A328" s="8">
        <v>6.13</v>
      </c>
      <c r="B328" s="5" t="s">
        <v>19</v>
      </c>
      <c r="C328" s="37">
        <v>9.9304503715167497E-2</v>
      </c>
      <c r="E328" s="37">
        <v>0.17889374678525699</v>
      </c>
      <c r="G328" s="19">
        <v>-0.14309583333333334</v>
      </c>
      <c r="H328" s="19"/>
      <c r="I328" s="19"/>
      <c r="J328" s="57">
        <f t="shared" si="40"/>
        <v>-1</v>
      </c>
      <c r="K328" s="19"/>
      <c r="L328" s="57">
        <f t="shared" si="38"/>
        <v>-1</v>
      </c>
      <c r="N328" s="57">
        <f t="shared" si="41"/>
        <v>-1</v>
      </c>
      <c r="O328" s="19"/>
      <c r="P328" s="57">
        <f t="shared" si="39"/>
        <v>-1</v>
      </c>
      <c r="Q328" s="5" t="s">
        <v>22</v>
      </c>
    </row>
    <row r="329" spans="1:17" ht="42.75" customHeight="1" x14ac:dyDescent="0.25">
      <c r="A329" s="8">
        <v>6.12</v>
      </c>
      <c r="B329" s="2" t="s">
        <v>15</v>
      </c>
      <c r="C329" s="37">
        <v>-2.0576026594210401E-4</v>
      </c>
      <c r="E329" s="37">
        <v>9.9100472740379798E-3</v>
      </c>
      <c r="G329" s="9">
        <v>-5.7847083333333327E-2</v>
      </c>
      <c r="J329" s="57">
        <f t="shared" si="40"/>
        <v>-1</v>
      </c>
      <c r="L329" s="57">
        <f t="shared" si="38"/>
        <v>-1</v>
      </c>
      <c r="N329" s="57">
        <f t="shared" si="41"/>
        <v>-1</v>
      </c>
      <c r="P329" s="57">
        <f t="shared" si="39"/>
        <v>-1</v>
      </c>
      <c r="Q329" s="2" t="s">
        <v>16</v>
      </c>
    </row>
    <row r="330" spans="1:17" ht="42.75" customHeight="1" x14ac:dyDescent="0.25">
      <c r="A330" s="8">
        <v>6.12</v>
      </c>
      <c r="B330" s="2" t="s">
        <v>17</v>
      </c>
      <c r="C330" s="37">
        <v>-8.7550195765261004E-5</v>
      </c>
      <c r="E330" s="37">
        <v>2.9132792512268701E-2</v>
      </c>
      <c r="G330" s="9">
        <v>-5.2269166666666672E-2</v>
      </c>
      <c r="J330" s="57">
        <f t="shared" si="40"/>
        <v>-1</v>
      </c>
      <c r="L330" s="57">
        <f t="shared" si="38"/>
        <v>-1</v>
      </c>
      <c r="N330" s="57">
        <f t="shared" si="41"/>
        <v>-1</v>
      </c>
      <c r="P330" s="57">
        <f t="shared" si="39"/>
        <v>-1</v>
      </c>
      <c r="Q330" s="2" t="s">
        <v>18</v>
      </c>
    </row>
    <row r="331" spans="1:17" ht="42.75" customHeight="1" x14ac:dyDescent="0.25">
      <c r="A331" s="8">
        <v>6.11</v>
      </c>
      <c r="B331" s="5" t="s">
        <v>12</v>
      </c>
      <c r="C331" s="37">
        <v>9.0073457826074593E-2</v>
      </c>
      <c r="E331" s="37">
        <v>0.17841773684454401</v>
      </c>
      <c r="G331" s="19">
        <v>-0.12081249999999998</v>
      </c>
      <c r="H331" s="19"/>
      <c r="I331" s="19"/>
      <c r="J331" s="57">
        <f t="shared" si="40"/>
        <v>-1</v>
      </c>
      <c r="K331" s="19"/>
      <c r="L331" s="57">
        <f t="shared" si="38"/>
        <v>-1</v>
      </c>
      <c r="N331" s="57">
        <f t="shared" si="41"/>
        <v>-1</v>
      </c>
      <c r="O331" s="19"/>
      <c r="P331" s="57">
        <f t="shared" si="39"/>
        <v>-1</v>
      </c>
      <c r="Q331" s="5" t="s">
        <v>21</v>
      </c>
    </row>
    <row r="332" spans="1:17" ht="42.75" customHeight="1" x14ac:dyDescent="0.25">
      <c r="A332" s="8">
        <v>6.11</v>
      </c>
      <c r="B332" s="2" t="s">
        <v>13</v>
      </c>
      <c r="C332" s="37">
        <v>2.1851590877714099E-4</v>
      </c>
      <c r="E332" s="37">
        <v>3.3955620932524203E-2</v>
      </c>
      <c r="G332" s="9">
        <v>-3.9126666666666664E-2</v>
      </c>
      <c r="J332" s="57">
        <f t="shared" si="40"/>
        <v>-1</v>
      </c>
      <c r="L332" s="57">
        <f t="shared" si="38"/>
        <v>-1</v>
      </c>
      <c r="N332" s="57">
        <f t="shared" si="41"/>
        <v>-1</v>
      </c>
      <c r="P332" s="57">
        <f t="shared" si="39"/>
        <v>-1</v>
      </c>
      <c r="Q332" s="2" t="s">
        <v>14</v>
      </c>
    </row>
    <row r="333" spans="1:17" ht="42.75" customHeight="1" x14ac:dyDescent="0.25">
      <c r="A333" s="8">
        <v>6.1</v>
      </c>
      <c r="B333" s="2" t="s">
        <v>8</v>
      </c>
      <c r="C333" s="37">
        <v>9.6768519997739597E-2</v>
      </c>
      <c r="E333" s="37">
        <v>0.162317821734035</v>
      </c>
      <c r="G333" s="9">
        <v>-0.13992499999999999</v>
      </c>
      <c r="J333" s="57">
        <f t="shared" si="40"/>
        <v>-1</v>
      </c>
      <c r="L333" s="57">
        <f t="shared" si="38"/>
        <v>-1</v>
      </c>
      <c r="N333" s="57">
        <f t="shared" si="41"/>
        <v>-1</v>
      </c>
      <c r="P333" s="57">
        <f t="shared" si="39"/>
        <v>-1</v>
      </c>
      <c r="Q333" s="2" t="s">
        <v>9</v>
      </c>
    </row>
    <row r="334" spans="1:17" ht="42.75" customHeight="1" x14ac:dyDescent="0.25">
      <c r="A334" s="8">
        <v>6.1</v>
      </c>
      <c r="B334" s="2" t="s">
        <v>10</v>
      </c>
      <c r="C334" s="37">
        <v>8.3262898729433099E-2</v>
      </c>
      <c r="E334" s="37">
        <v>0.13036789018814901</v>
      </c>
      <c r="G334" s="9">
        <v>-0.12379999999999999</v>
      </c>
      <c r="J334" s="57">
        <f t="shared" si="40"/>
        <v>-1</v>
      </c>
      <c r="L334" s="57">
        <f t="shared" si="38"/>
        <v>-1</v>
      </c>
      <c r="N334" s="57">
        <f t="shared" si="41"/>
        <v>-1</v>
      </c>
      <c r="P334" s="57">
        <f t="shared" si="39"/>
        <v>-1</v>
      </c>
      <c r="Q334" s="2" t="s">
        <v>11</v>
      </c>
    </row>
    <row r="335" spans="1:17" ht="42.75" customHeight="1" x14ac:dyDescent="0.25">
      <c r="A335" s="8">
        <v>6.1</v>
      </c>
      <c r="B335" s="5" t="s">
        <v>5</v>
      </c>
      <c r="C335" s="37">
        <v>9.8187303850598498E-2</v>
      </c>
      <c r="E335" s="37">
        <v>0.17255631261416801</v>
      </c>
      <c r="G335" s="19">
        <v>-0.1198625</v>
      </c>
      <c r="H335" s="19"/>
      <c r="I335" s="19"/>
      <c r="J335" s="57">
        <f t="shared" si="40"/>
        <v>-1</v>
      </c>
      <c r="K335" s="19"/>
      <c r="L335" s="57">
        <f t="shared" si="38"/>
        <v>-1</v>
      </c>
      <c r="N335" s="57">
        <f t="shared" si="41"/>
        <v>-1</v>
      </c>
      <c r="O335" s="19"/>
      <c r="P335" s="57">
        <f t="shared" si="39"/>
        <v>-1</v>
      </c>
      <c r="Q335" s="5" t="s">
        <v>20</v>
      </c>
    </row>
    <row r="336" spans="1:17" ht="42.75" customHeight="1" x14ac:dyDescent="0.25">
      <c r="A336" s="8">
        <v>6.05</v>
      </c>
      <c r="B336" s="22" t="s">
        <v>82</v>
      </c>
      <c r="C336" s="37">
        <v>0.11143025682260101</v>
      </c>
      <c r="D336" s="15"/>
      <c r="E336" s="37">
        <v>0.23380887597691599</v>
      </c>
      <c r="F336" s="15"/>
      <c r="G336" s="15"/>
      <c r="H336" s="15"/>
      <c r="I336" s="15"/>
      <c r="J336" s="57">
        <f t="shared" si="40"/>
        <v>-1</v>
      </c>
      <c r="K336" s="15"/>
      <c r="L336" s="57">
        <f t="shared" si="38"/>
        <v>-1</v>
      </c>
      <c r="N336" s="57">
        <f t="shared" si="41"/>
        <v>-1</v>
      </c>
      <c r="O336" s="15"/>
      <c r="P336" s="57">
        <f t="shared" si="39"/>
        <v>-1</v>
      </c>
      <c r="Q336" s="13" t="s">
        <v>7</v>
      </c>
    </row>
    <row r="337" ht="42.75" customHeight="1" x14ac:dyDescent="0.25"/>
    <row r="338" ht="42.75" customHeight="1" x14ac:dyDescent="0.25"/>
    <row r="339" ht="42.75" customHeight="1" x14ac:dyDescent="0.25"/>
    <row r="340" ht="42.75" customHeight="1" x14ac:dyDescent="0.25"/>
    <row r="341" ht="42.75" customHeight="1" x14ac:dyDescent="0.25"/>
    <row r="342" ht="21.75" customHeight="1" x14ac:dyDescent="0.25"/>
    <row r="343" ht="21.75" customHeight="1" x14ac:dyDescent="0.25"/>
    <row r="344" ht="21.75" customHeight="1" x14ac:dyDescent="0.25"/>
    <row r="345" ht="21.75" customHeight="1" x14ac:dyDescent="0.25"/>
    <row r="346" ht="21.75" customHeight="1" x14ac:dyDescent="0.25"/>
    <row r="347" ht="21.75" customHeight="1" x14ac:dyDescent="0.25"/>
    <row r="348" ht="21.75" customHeight="1" x14ac:dyDescent="0.25"/>
    <row r="349" ht="21.75" customHeight="1" x14ac:dyDescent="0.25"/>
    <row r="350" ht="21.75" customHeight="1" x14ac:dyDescent="0.25"/>
    <row r="351" ht="21.75" customHeight="1" x14ac:dyDescent="0.25"/>
    <row r="352" ht="21.75" customHeight="1" x14ac:dyDescent="0.25"/>
    <row r="353" ht="21.75" customHeight="1" x14ac:dyDescent="0.25"/>
    <row r="354" ht="21.75" customHeight="1" x14ac:dyDescent="0.25"/>
    <row r="355" ht="21.75" customHeight="1" x14ac:dyDescent="0.25"/>
    <row r="356" ht="21.75" customHeight="1" x14ac:dyDescent="0.25"/>
    <row r="357" ht="21.75" customHeight="1" x14ac:dyDescent="0.25"/>
    <row r="358" ht="21.75" customHeight="1" x14ac:dyDescent="0.25"/>
    <row r="359" ht="21.75" customHeight="1" x14ac:dyDescent="0.25"/>
    <row r="360" ht="21.75" customHeight="1" x14ac:dyDescent="0.25"/>
    <row r="361" ht="21.75" customHeight="1" x14ac:dyDescent="0.25"/>
    <row r="362" ht="21.75" customHeight="1" x14ac:dyDescent="0.25"/>
    <row r="363" ht="21.75" customHeight="1" x14ac:dyDescent="0.25"/>
    <row r="364" ht="21.75" customHeight="1" x14ac:dyDescent="0.25"/>
    <row r="365" ht="21.75" customHeight="1" x14ac:dyDescent="0.25"/>
    <row r="366" ht="21.75" customHeight="1" x14ac:dyDescent="0.25"/>
  </sheetData>
  <sortState xmlns:xlrd2="http://schemas.microsoft.com/office/spreadsheetml/2017/richdata2" ref="A82:R366">
    <sortCondition descending="1" ref="A1:A369"/>
  </sortState>
  <mergeCells count="1">
    <mergeCell ref="R311:R31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7D300-D228-428C-8221-11D18966EB03}">
  <dimension ref="A1:O359"/>
  <sheetViews>
    <sheetView zoomScale="85" zoomScaleNormal="85" workbookViewId="0">
      <selection sqref="A1:E6"/>
    </sheetView>
  </sheetViews>
  <sheetFormatPr defaultRowHeight="13.8" x14ac:dyDescent="0.25"/>
  <cols>
    <col min="1" max="1" width="26.6640625" style="2" customWidth="1"/>
    <col min="2" max="3" width="14.88671875" style="37" customWidth="1"/>
    <col min="4" max="5" width="14.88671875" style="57" customWidth="1"/>
    <col min="6" max="6" width="14" customWidth="1"/>
    <col min="11" max="11" width="15.21875" customWidth="1"/>
    <col min="15" max="15" width="18.6640625" customWidth="1"/>
  </cols>
  <sheetData>
    <row r="1" spans="1:5" ht="42.75" customHeight="1" x14ac:dyDescent="0.25">
      <c r="A1" s="2" t="s">
        <v>4</v>
      </c>
      <c r="B1" s="37" t="s">
        <v>2</v>
      </c>
      <c r="C1" s="37" t="s">
        <v>3</v>
      </c>
      <c r="D1" s="57" t="s">
        <v>3581</v>
      </c>
      <c r="E1" s="57" t="s">
        <v>3582</v>
      </c>
    </row>
    <row r="2" spans="1:5" ht="42.75" customHeight="1" x14ac:dyDescent="0.25">
      <c r="A2" s="9" t="s">
        <v>3625</v>
      </c>
      <c r="B2" s="37">
        <v>0.1123</v>
      </c>
      <c r="C2" s="37">
        <v>0.2646</v>
      </c>
      <c r="D2" s="57">
        <v>2.7952480782669209E-3</v>
      </c>
      <c r="E2" s="57">
        <v>2.3194168323392939E-2</v>
      </c>
    </row>
    <row r="3" spans="1:5" ht="42.75" customHeight="1" x14ac:dyDescent="0.25">
      <c r="A3" s="9" t="s">
        <v>3626</v>
      </c>
      <c r="B3" s="37">
        <v>0.1132</v>
      </c>
      <c r="C3" s="37">
        <v>0.27610000000000001</v>
      </c>
      <c r="D3" s="57">
        <v>3.4940600978337066E-3</v>
      </c>
      <c r="E3" s="57">
        <v>3.5122597746852113E-2</v>
      </c>
    </row>
    <row r="4" spans="1:5" ht="42.75" customHeight="1" x14ac:dyDescent="0.25">
      <c r="A4" s="2" t="s">
        <v>3620</v>
      </c>
      <c r="B4" s="37">
        <v>0.1145</v>
      </c>
      <c r="C4" s="37">
        <v>0.28299999999999997</v>
      </c>
      <c r="D4" s="57">
        <v>4.8916841369672781E-3</v>
      </c>
      <c r="E4" s="57">
        <v>4.0755467196819106E-2</v>
      </c>
    </row>
    <row r="5" spans="1:5" ht="42.75" customHeight="1" x14ac:dyDescent="0.25">
      <c r="A5" s="2" t="s">
        <v>3623</v>
      </c>
      <c r="B5" s="37">
        <v>0.1143</v>
      </c>
      <c r="C5" s="37">
        <v>0.27389999999999998</v>
      </c>
      <c r="D5" s="57">
        <v>2.7952480782669209E-3</v>
      </c>
      <c r="E5" s="57">
        <v>3.1146454605698981E-2</v>
      </c>
    </row>
    <row r="6" spans="1:5" ht="42.75" customHeight="1" x14ac:dyDescent="0.25">
      <c r="A6" s="2" t="s">
        <v>3624</v>
      </c>
      <c r="B6" s="37">
        <v>0.12909999999999999</v>
      </c>
      <c r="C6" s="37">
        <v>0.27579999999999999</v>
      </c>
      <c r="D6" s="57">
        <v>7.686932215233977E-3</v>
      </c>
      <c r="E6" s="57">
        <v>-3.3134526176270551E-4</v>
      </c>
    </row>
    <row r="7" spans="1:5" ht="42.75" customHeight="1" x14ac:dyDescent="0.25"/>
    <row r="8" spans="1:5" ht="42.75" customHeight="1" x14ac:dyDescent="0.25"/>
    <row r="9" spans="1:5" ht="42.75" customHeight="1" x14ac:dyDescent="0.25"/>
    <row r="10" spans="1:5" ht="42.75" customHeight="1" x14ac:dyDescent="0.25"/>
    <row r="11" spans="1:5" ht="42.75" customHeight="1" x14ac:dyDescent="0.25"/>
    <row r="12" spans="1:5" ht="42.75" customHeight="1" x14ac:dyDescent="0.25"/>
    <row r="13" spans="1:5" ht="42.75" customHeight="1" x14ac:dyDescent="0.25"/>
    <row r="14" spans="1:5" ht="42.75" customHeight="1" x14ac:dyDescent="0.25"/>
    <row r="15" spans="1:5" ht="42.75" customHeight="1" x14ac:dyDescent="0.25"/>
    <row r="16" spans="1:5" ht="42.75" customHeight="1" x14ac:dyDescent="0.25"/>
    <row r="17" ht="42.75" customHeight="1" x14ac:dyDescent="0.25"/>
    <row r="18" ht="42.75" customHeight="1" x14ac:dyDescent="0.25"/>
    <row r="19" ht="42.75" customHeight="1" x14ac:dyDescent="0.25"/>
    <row r="20" ht="42.75" customHeight="1" x14ac:dyDescent="0.25"/>
    <row r="21" ht="42.75" customHeight="1" x14ac:dyDescent="0.25"/>
    <row r="22" ht="42.75" customHeight="1" x14ac:dyDescent="0.25"/>
    <row r="23" ht="42.75" customHeight="1" x14ac:dyDescent="0.25"/>
    <row r="24" ht="42.75" customHeight="1" x14ac:dyDescent="0.25"/>
    <row r="25" ht="42.75" customHeight="1" x14ac:dyDescent="0.25"/>
    <row r="26" ht="42.75" customHeight="1" x14ac:dyDescent="0.25"/>
    <row r="27" ht="42.75" customHeight="1" x14ac:dyDescent="0.25"/>
    <row r="28" ht="42.75" customHeight="1" x14ac:dyDescent="0.25"/>
    <row r="29" ht="42.75" customHeight="1" x14ac:dyDescent="0.25"/>
    <row r="30" ht="42.75" customHeight="1" x14ac:dyDescent="0.25"/>
    <row r="31" ht="42.75" customHeight="1" x14ac:dyDescent="0.25"/>
    <row r="32" ht="42.75" customHeight="1" x14ac:dyDescent="0.25"/>
    <row r="33" ht="42.75" customHeight="1" x14ac:dyDescent="0.25"/>
    <row r="34" ht="42.75" customHeight="1" x14ac:dyDescent="0.25"/>
    <row r="35" ht="42.75" customHeight="1" x14ac:dyDescent="0.25"/>
    <row r="36" ht="42.75" customHeight="1" x14ac:dyDescent="0.25"/>
    <row r="37" ht="42.75" customHeight="1" x14ac:dyDescent="0.25"/>
    <row r="38" ht="42.75" customHeight="1" x14ac:dyDescent="0.25"/>
    <row r="39" ht="42.75" customHeight="1" x14ac:dyDescent="0.25"/>
    <row r="40" ht="42.75" customHeight="1" x14ac:dyDescent="0.25"/>
    <row r="41" ht="42.75" customHeight="1" x14ac:dyDescent="0.25"/>
    <row r="42" ht="42.75" customHeight="1" x14ac:dyDescent="0.25"/>
    <row r="43" ht="42.75" customHeight="1" x14ac:dyDescent="0.25"/>
    <row r="44" ht="42.75" customHeight="1" x14ac:dyDescent="0.25"/>
    <row r="45" ht="42.75" customHeight="1" x14ac:dyDescent="0.25"/>
    <row r="46" ht="42.75" customHeight="1" x14ac:dyDescent="0.25"/>
    <row r="47" ht="42.75" customHeight="1" x14ac:dyDescent="0.25"/>
    <row r="48" ht="42.75" customHeight="1" x14ac:dyDescent="0.25"/>
    <row r="49" ht="42.75" customHeight="1" x14ac:dyDescent="0.25"/>
    <row r="50" ht="42.75" customHeight="1" x14ac:dyDescent="0.25"/>
    <row r="51" ht="42.75" customHeight="1" x14ac:dyDescent="0.25"/>
    <row r="52" ht="42.75" customHeight="1" x14ac:dyDescent="0.25"/>
    <row r="53" ht="42.75" customHeight="1" x14ac:dyDescent="0.25"/>
    <row r="54" ht="42.75" customHeight="1" x14ac:dyDescent="0.25"/>
    <row r="55" ht="42.75" customHeight="1" x14ac:dyDescent="0.25"/>
    <row r="56" ht="42.75" customHeight="1" x14ac:dyDescent="0.25"/>
    <row r="57" ht="42.75" customHeight="1" x14ac:dyDescent="0.25"/>
    <row r="58" ht="42.75" customHeight="1" x14ac:dyDescent="0.25"/>
    <row r="59" ht="42.75" customHeight="1" x14ac:dyDescent="0.25"/>
    <row r="60" ht="42.75" customHeight="1" x14ac:dyDescent="0.25"/>
    <row r="61" ht="42.75" customHeight="1" x14ac:dyDescent="0.25"/>
    <row r="62" ht="42.75" customHeight="1" x14ac:dyDescent="0.25"/>
    <row r="63" ht="42.75" customHeight="1" x14ac:dyDescent="0.25"/>
    <row r="64" ht="42.75" customHeight="1" x14ac:dyDescent="0.25"/>
    <row r="65" ht="42.75" customHeight="1" x14ac:dyDescent="0.25"/>
    <row r="66" ht="42.75" customHeight="1" x14ac:dyDescent="0.25"/>
    <row r="67" ht="42.75" customHeight="1" x14ac:dyDescent="0.25"/>
    <row r="68" ht="42.75" customHeight="1" x14ac:dyDescent="0.25"/>
    <row r="69" ht="42.75" customHeight="1" x14ac:dyDescent="0.25"/>
    <row r="70" ht="42.75" customHeight="1" x14ac:dyDescent="0.25"/>
    <row r="71" ht="42.75" customHeight="1" x14ac:dyDescent="0.25"/>
    <row r="72" ht="42.75" customHeight="1" x14ac:dyDescent="0.25"/>
    <row r="73" ht="42.75" customHeight="1" x14ac:dyDescent="0.25"/>
    <row r="74" ht="42.75" customHeight="1" x14ac:dyDescent="0.25"/>
    <row r="75" ht="42.75" customHeight="1" x14ac:dyDescent="0.25"/>
    <row r="76" ht="42.75" customHeight="1" x14ac:dyDescent="0.25"/>
    <row r="77" ht="42.75" customHeight="1" x14ac:dyDescent="0.25"/>
    <row r="78" ht="42.75" customHeight="1" x14ac:dyDescent="0.25"/>
    <row r="79" ht="42.75" customHeight="1" x14ac:dyDescent="0.25"/>
    <row r="80" ht="42.75" customHeight="1" x14ac:dyDescent="0.25"/>
    <row r="81" ht="42.75" customHeight="1" x14ac:dyDescent="0.25"/>
    <row r="82" ht="42.75" customHeight="1" x14ac:dyDescent="0.25"/>
    <row r="83" ht="42.75" customHeight="1" x14ac:dyDescent="0.25"/>
    <row r="84" ht="42.75" customHeight="1" x14ac:dyDescent="0.25"/>
    <row r="85" ht="42.75" customHeight="1" x14ac:dyDescent="0.25"/>
    <row r="86" ht="42.75" customHeight="1" x14ac:dyDescent="0.25"/>
    <row r="87" ht="42.75" customHeight="1" x14ac:dyDescent="0.25"/>
    <row r="88" ht="42.75" customHeight="1" x14ac:dyDescent="0.25"/>
    <row r="89" ht="42.75" customHeight="1" x14ac:dyDescent="0.25"/>
    <row r="90" ht="42.75" customHeight="1" x14ac:dyDescent="0.25"/>
    <row r="91" ht="42.75" customHeight="1" x14ac:dyDescent="0.25"/>
    <row r="92" ht="42.75" customHeight="1" x14ac:dyDescent="0.25"/>
    <row r="93" ht="42.75" customHeight="1" x14ac:dyDescent="0.25"/>
    <row r="94" ht="42.75" customHeight="1" x14ac:dyDescent="0.25"/>
    <row r="95" ht="42.75" customHeight="1" x14ac:dyDescent="0.25"/>
    <row r="96" ht="42.75" customHeight="1" x14ac:dyDescent="0.25"/>
    <row r="97" ht="42.75" customHeight="1" x14ac:dyDescent="0.25"/>
    <row r="98" ht="42.75" customHeight="1" x14ac:dyDescent="0.25"/>
    <row r="99" ht="42.75" customHeight="1" x14ac:dyDescent="0.25"/>
    <row r="100" ht="42.75" customHeight="1" x14ac:dyDescent="0.25"/>
    <row r="101" ht="42.75" customHeight="1" x14ac:dyDescent="0.25"/>
    <row r="102" ht="42.75" customHeight="1" x14ac:dyDescent="0.25"/>
    <row r="103" ht="42.75" customHeight="1" x14ac:dyDescent="0.25"/>
    <row r="104" ht="42.75" customHeight="1" x14ac:dyDescent="0.25"/>
    <row r="105" ht="42.75" customHeight="1" x14ac:dyDescent="0.25"/>
    <row r="106" ht="42.75" customHeight="1" x14ac:dyDescent="0.25"/>
    <row r="107" ht="42.75" customHeight="1" x14ac:dyDescent="0.25"/>
    <row r="108" ht="42.75" customHeight="1" x14ac:dyDescent="0.25"/>
    <row r="109" ht="42.75" customHeight="1" x14ac:dyDescent="0.25"/>
    <row r="110" ht="42.75" customHeight="1" x14ac:dyDescent="0.25"/>
    <row r="111" ht="42.75" customHeight="1" x14ac:dyDescent="0.25"/>
    <row r="112" ht="42.75" customHeight="1" x14ac:dyDescent="0.25"/>
    <row r="113" ht="42.75" customHeight="1" x14ac:dyDescent="0.25"/>
    <row r="114" ht="42.75" customHeight="1" x14ac:dyDescent="0.25"/>
    <row r="115" ht="42.75" customHeight="1" x14ac:dyDescent="0.25"/>
    <row r="116" ht="42.75" customHeight="1" x14ac:dyDescent="0.25"/>
    <row r="117" ht="42.75" customHeight="1" x14ac:dyDescent="0.25"/>
    <row r="118" ht="42.75" customHeight="1" x14ac:dyDescent="0.25"/>
    <row r="119" ht="42.75" customHeight="1" x14ac:dyDescent="0.25"/>
    <row r="120" ht="42.75" customHeight="1" x14ac:dyDescent="0.25"/>
    <row r="121" ht="42.75" customHeight="1" x14ac:dyDescent="0.25"/>
    <row r="122" ht="42.75" customHeight="1" x14ac:dyDescent="0.25"/>
    <row r="123" ht="42.75" customHeight="1" x14ac:dyDescent="0.25"/>
    <row r="124" ht="42.75" customHeight="1" x14ac:dyDescent="0.25"/>
    <row r="125" ht="42.75" customHeight="1" x14ac:dyDescent="0.25"/>
    <row r="126" ht="42.75" customHeight="1" x14ac:dyDescent="0.25"/>
    <row r="127" ht="42.75" customHeight="1" x14ac:dyDescent="0.25"/>
    <row r="128" ht="42.75" customHeight="1" x14ac:dyDescent="0.25"/>
    <row r="129" ht="42.75" customHeight="1" x14ac:dyDescent="0.25"/>
    <row r="130" ht="42.75" customHeight="1" x14ac:dyDescent="0.25"/>
    <row r="131" ht="42.75" customHeight="1" x14ac:dyDescent="0.25"/>
    <row r="132" ht="42.75" customHeight="1" x14ac:dyDescent="0.25"/>
    <row r="133" ht="42.75" customHeight="1" x14ac:dyDescent="0.25"/>
    <row r="134" ht="42.75" customHeight="1" x14ac:dyDescent="0.25"/>
    <row r="135" ht="42.75" customHeight="1" x14ac:dyDescent="0.25"/>
    <row r="136" ht="42.75" customHeight="1" x14ac:dyDescent="0.25"/>
    <row r="137" ht="42.75" customHeight="1" x14ac:dyDescent="0.25"/>
    <row r="138" ht="42.75" customHeight="1" x14ac:dyDescent="0.25"/>
    <row r="139" ht="42.75" customHeight="1" x14ac:dyDescent="0.25"/>
    <row r="140" ht="42.75" customHeight="1" x14ac:dyDescent="0.25"/>
    <row r="141" ht="42.75" customHeight="1" x14ac:dyDescent="0.25"/>
    <row r="142" ht="42.75" customHeight="1" x14ac:dyDescent="0.25"/>
    <row r="143" ht="42.75" customHeight="1" x14ac:dyDescent="0.25"/>
    <row r="144" ht="42.75" customHeight="1" x14ac:dyDescent="0.25"/>
    <row r="145" ht="42.75" customHeight="1" x14ac:dyDescent="0.25"/>
    <row r="146" ht="42.75" customHeight="1" x14ac:dyDescent="0.25"/>
    <row r="147" ht="42.75" customHeight="1" x14ac:dyDescent="0.25"/>
    <row r="148" ht="42.75" customHeight="1" x14ac:dyDescent="0.25"/>
    <row r="149" ht="42.75" customHeight="1" x14ac:dyDescent="0.25"/>
    <row r="150" ht="42.75" customHeight="1" x14ac:dyDescent="0.25"/>
    <row r="151" ht="42.75" customHeight="1" x14ac:dyDescent="0.25"/>
    <row r="152" ht="42.75" customHeight="1" x14ac:dyDescent="0.25"/>
    <row r="153" ht="42.75" customHeight="1" x14ac:dyDescent="0.25"/>
    <row r="154" ht="42.75" customHeight="1" x14ac:dyDescent="0.25"/>
    <row r="155" ht="42.75" customHeight="1" x14ac:dyDescent="0.25"/>
    <row r="156" ht="42.75" customHeight="1" x14ac:dyDescent="0.25"/>
    <row r="157" ht="42.75" customHeight="1" x14ac:dyDescent="0.25"/>
    <row r="158" ht="42.75" customHeight="1" x14ac:dyDescent="0.25"/>
    <row r="159" ht="42.75" customHeight="1" x14ac:dyDescent="0.25"/>
    <row r="160" ht="42.75" customHeight="1" x14ac:dyDescent="0.25"/>
    <row r="161" ht="42.75" customHeight="1" x14ac:dyDescent="0.25"/>
    <row r="162" ht="42.75" customHeight="1" x14ac:dyDescent="0.25"/>
    <row r="163" ht="42.75" customHeight="1" x14ac:dyDescent="0.25"/>
    <row r="164" ht="42.75" customHeight="1" x14ac:dyDescent="0.25"/>
    <row r="165" ht="42.75" customHeight="1" x14ac:dyDescent="0.25"/>
    <row r="166" ht="42.75" customHeight="1" x14ac:dyDescent="0.25"/>
    <row r="167" ht="42.75" customHeight="1" x14ac:dyDescent="0.25"/>
    <row r="168" ht="42.75" customHeight="1" x14ac:dyDescent="0.25"/>
    <row r="169" ht="42.75" customHeight="1" x14ac:dyDescent="0.25"/>
    <row r="170" ht="42.75" customHeight="1" x14ac:dyDescent="0.25"/>
    <row r="171" ht="42.75" customHeight="1" x14ac:dyDescent="0.25"/>
    <row r="172" ht="42.75" customHeight="1" x14ac:dyDescent="0.25"/>
    <row r="173" ht="42.75" customHeight="1" x14ac:dyDescent="0.25"/>
    <row r="174" ht="42.75" customHeight="1" x14ac:dyDescent="0.25"/>
    <row r="175" ht="42.75" customHeight="1" x14ac:dyDescent="0.25"/>
    <row r="176" ht="42.75" customHeight="1" x14ac:dyDescent="0.25"/>
    <row r="177" ht="42.75" customHeight="1" x14ac:dyDescent="0.25"/>
    <row r="178" ht="42.75" customHeight="1" x14ac:dyDescent="0.25"/>
    <row r="179" ht="42.75" customHeight="1" x14ac:dyDescent="0.25"/>
    <row r="180" ht="42.75" customHeight="1" x14ac:dyDescent="0.25"/>
    <row r="181" ht="42.75" customHeight="1" x14ac:dyDescent="0.25"/>
    <row r="182" ht="42.75" customHeight="1" x14ac:dyDescent="0.25"/>
    <row r="183" ht="42.75" customHeight="1" x14ac:dyDescent="0.25"/>
    <row r="184" ht="42.75" customHeight="1" x14ac:dyDescent="0.25"/>
    <row r="185" ht="42.75" customHeight="1" x14ac:dyDescent="0.25"/>
    <row r="186" ht="42.75" customHeight="1" x14ac:dyDescent="0.25"/>
    <row r="187" ht="42.75" customHeight="1" x14ac:dyDescent="0.25"/>
    <row r="188" ht="42.75" customHeight="1" x14ac:dyDescent="0.25"/>
    <row r="189" ht="42.75" customHeight="1" x14ac:dyDescent="0.25"/>
    <row r="190" ht="42.75" customHeight="1" x14ac:dyDescent="0.25"/>
    <row r="191" ht="42.75" customHeight="1" x14ac:dyDescent="0.25"/>
    <row r="192" ht="42.75" customHeight="1" x14ac:dyDescent="0.25"/>
    <row r="193" ht="42.75" customHeight="1" x14ac:dyDescent="0.25"/>
    <row r="194" ht="42.75" customHeight="1" x14ac:dyDescent="0.25"/>
    <row r="195" ht="42.75" customHeight="1" x14ac:dyDescent="0.25"/>
    <row r="196" ht="42.75" customHeight="1" x14ac:dyDescent="0.25"/>
    <row r="197" ht="42.75" customHeight="1" x14ac:dyDescent="0.25"/>
    <row r="198" ht="42.75" customHeight="1" x14ac:dyDescent="0.25"/>
    <row r="199" ht="42.75" customHeight="1" x14ac:dyDescent="0.25"/>
    <row r="200" ht="42.75" customHeight="1" x14ac:dyDescent="0.25"/>
    <row r="201" ht="42.75" customHeight="1" x14ac:dyDescent="0.25"/>
    <row r="202" ht="42.75" customHeight="1" x14ac:dyDescent="0.25"/>
    <row r="203" ht="42.75" customHeight="1" x14ac:dyDescent="0.25"/>
    <row r="204" ht="42.75" customHeight="1" x14ac:dyDescent="0.25"/>
    <row r="205" ht="42.75" customHeight="1" x14ac:dyDescent="0.25"/>
    <row r="206" ht="42.75" customHeight="1" x14ac:dyDescent="0.25"/>
    <row r="207" ht="42.75" customHeight="1" x14ac:dyDescent="0.25"/>
    <row r="208" ht="42.75" customHeight="1" x14ac:dyDescent="0.25"/>
    <row r="209" ht="42.75" customHeight="1" x14ac:dyDescent="0.25"/>
    <row r="210" ht="42.75" customHeight="1" x14ac:dyDescent="0.25"/>
    <row r="211" ht="42.75" customHeight="1" x14ac:dyDescent="0.25"/>
    <row r="212" ht="42.75" customHeight="1" x14ac:dyDescent="0.25"/>
    <row r="213" ht="42.75" customHeight="1" x14ac:dyDescent="0.25"/>
    <row r="214" ht="42.75" customHeight="1" x14ac:dyDescent="0.25"/>
    <row r="215" ht="42.75" customHeight="1" x14ac:dyDescent="0.25"/>
    <row r="216" ht="42.75" customHeight="1" x14ac:dyDescent="0.25"/>
    <row r="217" ht="42.75" customHeight="1" x14ac:dyDescent="0.25"/>
    <row r="218" ht="42.75" customHeight="1" x14ac:dyDescent="0.25"/>
    <row r="219" ht="42.75" customHeight="1" x14ac:dyDescent="0.25"/>
    <row r="220" ht="42.75" customHeight="1" x14ac:dyDescent="0.25"/>
    <row r="221" ht="42.75" customHeight="1" x14ac:dyDescent="0.25"/>
    <row r="222" ht="42.75" customHeight="1" x14ac:dyDescent="0.25"/>
    <row r="223" ht="42.75" customHeight="1" x14ac:dyDescent="0.25"/>
    <row r="224" ht="42.75" customHeight="1" x14ac:dyDescent="0.25"/>
    <row r="225" spans="1:5" ht="42.75" customHeight="1" x14ac:dyDescent="0.25"/>
    <row r="226" spans="1:5" ht="42.75" customHeight="1" x14ac:dyDescent="0.25"/>
    <row r="227" spans="1:5" ht="42.75" customHeight="1" x14ac:dyDescent="0.25"/>
    <row r="228" spans="1:5" ht="42.75" customHeight="1" x14ac:dyDescent="0.25"/>
    <row r="229" spans="1:5" ht="42.75" customHeight="1" x14ac:dyDescent="0.25"/>
    <row r="230" spans="1:5" ht="42.75" customHeight="1" x14ac:dyDescent="0.25"/>
    <row r="231" spans="1:5" s="9" customFormat="1" ht="42.75" customHeight="1" x14ac:dyDescent="0.25">
      <c r="A231" s="2"/>
      <c r="B231" s="37"/>
      <c r="C231" s="37"/>
      <c r="D231" s="57"/>
      <c r="E231" s="57"/>
    </row>
    <row r="232" spans="1:5" s="9" customFormat="1" ht="42.75" customHeight="1" x14ac:dyDescent="0.25">
      <c r="A232" s="2"/>
      <c r="B232" s="37"/>
      <c r="C232" s="37"/>
      <c r="D232" s="57"/>
      <c r="E232" s="57"/>
    </row>
    <row r="233" spans="1:5" s="9" customFormat="1" ht="42.75" customHeight="1" x14ac:dyDescent="0.25">
      <c r="A233" s="2"/>
      <c r="B233" s="37"/>
      <c r="C233" s="37"/>
      <c r="D233" s="57"/>
      <c r="E233" s="57"/>
    </row>
    <row r="234" spans="1:5" s="9" customFormat="1" ht="42.75" customHeight="1" x14ac:dyDescent="0.25">
      <c r="A234" s="2"/>
      <c r="B234" s="37"/>
      <c r="C234" s="37"/>
      <c r="D234" s="57"/>
      <c r="E234" s="57"/>
    </row>
    <row r="235" spans="1:5" s="9" customFormat="1" ht="42.75" customHeight="1" x14ac:dyDescent="0.25">
      <c r="A235" s="2"/>
      <c r="B235" s="37"/>
      <c r="C235" s="37"/>
      <c r="D235" s="57"/>
      <c r="E235" s="57"/>
    </row>
    <row r="236" spans="1:5" s="9" customFormat="1" ht="42.75" customHeight="1" x14ac:dyDescent="0.25">
      <c r="A236" s="2"/>
      <c r="B236" s="37"/>
      <c r="C236" s="37"/>
      <c r="D236" s="57"/>
      <c r="E236" s="57"/>
    </row>
    <row r="237" spans="1:5" s="9" customFormat="1" ht="42.6" customHeight="1" x14ac:dyDescent="0.25">
      <c r="A237" s="2"/>
      <c r="B237" s="37"/>
      <c r="C237" s="37"/>
      <c r="D237" s="57"/>
      <c r="E237" s="57"/>
    </row>
    <row r="238" spans="1:5" s="9" customFormat="1" ht="42.75" customHeight="1" x14ac:dyDescent="0.25">
      <c r="A238" s="2"/>
      <c r="B238" s="37"/>
      <c r="C238" s="37"/>
      <c r="D238" s="57"/>
      <c r="E238" s="57"/>
    </row>
    <row r="239" spans="1:5" s="9" customFormat="1" ht="42.75" customHeight="1" x14ac:dyDescent="0.25">
      <c r="A239" s="2"/>
      <c r="B239" s="37"/>
      <c r="C239" s="37"/>
      <c r="D239" s="57"/>
      <c r="E239" s="57"/>
    </row>
    <row r="240" spans="1:5" s="9" customFormat="1" ht="42.75" customHeight="1" x14ac:dyDescent="0.25">
      <c r="A240" s="2"/>
      <c r="B240" s="37"/>
      <c r="C240" s="37"/>
      <c r="D240" s="57"/>
      <c r="E240" s="57"/>
    </row>
    <row r="241" spans="1:5" s="9" customFormat="1" ht="42.75" customHeight="1" x14ac:dyDescent="0.25">
      <c r="A241" s="2"/>
      <c r="B241" s="37"/>
      <c r="C241" s="37"/>
      <c r="D241" s="57"/>
      <c r="E241" s="57"/>
    </row>
    <row r="242" spans="1:5" s="9" customFormat="1" ht="42.75" customHeight="1" x14ac:dyDescent="0.25">
      <c r="A242" s="2"/>
      <c r="B242" s="37"/>
      <c r="C242" s="37"/>
      <c r="D242" s="57"/>
      <c r="E242" s="57"/>
    </row>
    <row r="243" spans="1:5" s="9" customFormat="1" ht="42.75" customHeight="1" x14ac:dyDescent="0.25">
      <c r="A243" s="2"/>
      <c r="B243" s="37"/>
      <c r="C243" s="37"/>
      <c r="D243" s="57"/>
      <c r="E243" s="57"/>
    </row>
    <row r="244" spans="1:5" s="9" customFormat="1" ht="42.75" customHeight="1" x14ac:dyDescent="0.25">
      <c r="A244" s="2"/>
      <c r="B244" s="37"/>
      <c r="C244" s="37"/>
      <c r="D244" s="57"/>
      <c r="E244" s="57"/>
    </row>
    <row r="245" spans="1:5" s="9" customFormat="1" ht="42.75" customHeight="1" x14ac:dyDescent="0.25">
      <c r="A245" s="2"/>
      <c r="B245" s="37"/>
      <c r="C245" s="37"/>
      <c r="D245" s="57"/>
      <c r="E245" s="57"/>
    </row>
    <row r="246" spans="1:5" ht="42.75" customHeight="1" x14ac:dyDescent="0.25"/>
    <row r="247" spans="1:5" ht="42.75" customHeight="1" x14ac:dyDescent="0.25"/>
    <row r="248" spans="1:5" ht="42.75" customHeight="1" x14ac:dyDescent="0.25"/>
    <row r="249" spans="1:5" ht="42.75" customHeight="1" x14ac:dyDescent="0.25"/>
    <row r="250" spans="1:5" ht="42.75" customHeight="1" x14ac:dyDescent="0.25"/>
    <row r="251" spans="1:5" ht="42.75" customHeight="1" x14ac:dyDescent="0.25"/>
    <row r="252" spans="1:5" s="9" customFormat="1" ht="42.75" customHeight="1" x14ac:dyDescent="0.25">
      <c r="A252" s="2"/>
      <c r="B252" s="37"/>
      <c r="C252" s="37"/>
      <c r="D252" s="57"/>
      <c r="E252" s="57"/>
    </row>
    <row r="253" spans="1:5" ht="42.75" customHeight="1" x14ac:dyDescent="0.25"/>
    <row r="254" spans="1:5" ht="42.75" customHeight="1" x14ac:dyDescent="0.25"/>
    <row r="255" spans="1:5" s="9" customFormat="1" ht="42.75" customHeight="1" x14ac:dyDescent="0.25">
      <c r="A255" s="2"/>
      <c r="B255" s="37"/>
      <c r="C255" s="37"/>
      <c r="D255" s="57"/>
      <c r="E255" s="57"/>
    </row>
    <row r="256" spans="1:5" s="9" customFormat="1" ht="42.75" customHeight="1" x14ac:dyDescent="0.25">
      <c r="A256" s="2"/>
      <c r="B256" s="37"/>
      <c r="C256" s="37"/>
      <c r="D256" s="57"/>
      <c r="E256" s="57"/>
    </row>
    <row r="257" spans="1:11" s="9" customFormat="1" ht="42.75" customHeight="1" x14ac:dyDescent="0.25">
      <c r="A257" s="2"/>
      <c r="B257" s="37"/>
      <c r="C257" s="37"/>
      <c r="D257" s="57"/>
      <c r="E257" s="57"/>
    </row>
    <row r="258" spans="1:11" s="9" customFormat="1" ht="42.75" customHeight="1" x14ac:dyDescent="0.25">
      <c r="A258" s="2"/>
      <c r="B258" s="37"/>
      <c r="C258" s="37"/>
      <c r="D258" s="57"/>
      <c r="E258" s="57"/>
    </row>
    <row r="259" spans="1:11" ht="42.75" customHeight="1" x14ac:dyDescent="0.25">
      <c r="F259" s="8"/>
      <c r="G259" s="2"/>
      <c r="H259" s="9"/>
      <c r="I259" s="9"/>
      <c r="J259" s="9"/>
      <c r="K259" s="2"/>
    </row>
    <row r="260" spans="1:11" ht="42.75" customHeight="1" x14ac:dyDescent="0.25">
      <c r="F260" s="8"/>
      <c r="G260" s="2"/>
      <c r="H260" s="9"/>
      <c r="I260" s="9"/>
      <c r="J260" s="9"/>
      <c r="K260" s="2"/>
    </row>
    <row r="261" spans="1:11" ht="42.75" customHeight="1" x14ac:dyDescent="0.25">
      <c r="F261" s="8"/>
      <c r="G261" s="2"/>
      <c r="H261" s="9"/>
      <c r="I261" s="9"/>
      <c r="J261" s="9"/>
      <c r="K261" s="2"/>
    </row>
    <row r="262" spans="1:11" ht="42.75" customHeight="1" x14ac:dyDescent="0.25">
      <c r="F262" s="8"/>
      <c r="G262" s="2"/>
      <c r="H262" s="9"/>
      <c r="I262" s="9"/>
      <c r="J262" s="9"/>
      <c r="K262" s="2"/>
    </row>
    <row r="263" spans="1:11" ht="42.75" customHeight="1" x14ac:dyDescent="0.25">
      <c r="F263" s="8"/>
      <c r="G263" s="2"/>
      <c r="H263" s="9"/>
      <c r="I263" s="9"/>
      <c r="J263" s="9"/>
      <c r="K263" s="2"/>
    </row>
    <row r="264" spans="1:11" ht="42.75" customHeight="1" x14ac:dyDescent="0.25">
      <c r="F264" s="8"/>
      <c r="G264" s="2"/>
      <c r="H264" s="9"/>
      <c r="I264" s="9"/>
      <c r="J264" s="9"/>
      <c r="K264" s="2"/>
    </row>
    <row r="265" spans="1:11" ht="42.75" customHeight="1" x14ac:dyDescent="0.25">
      <c r="F265" s="8"/>
      <c r="G265" s="2"/>
      <c r="H265" s="9"/>
      <c r="I265" s="9"/>
      <c r="J265" s="9"/>
      <c r="K265" s="2"/>
    </row>
    <row r="266" spans="1:11" ht="42.75" customHeight="1" x14ac:dyDescent="0.25">
      <c r="F266" s="8"/>
      <c r="G266" s="2"/>
      <c r="H266" s="9"/>
      <c r="I266" s="9"/>
      <c r="J266" s="9"/>
      <c r="K266" s="2"/>
    </row>
    <row r="267" spans="1:11" ht="42.75" customHeight="1" x14ac:dyDescent="0.25">
      <c r="F267" s="8"/>
      <c r="G267" s="2"/>
      <c r="H267" s="9"/>
      <c r="I267" s="9"/>
      <c r="J267" s="9"/>
      <c r="K267" s="2"/>
    </row>
    <row r="268" spans="1:11" ht="42.75" customHeight="1" x14ac:dyDescent="0.25"/>
    <row r="269" spans="1:11" ht="42.75" customHeight="1" x14ac:dyDescent="0.25"/>
    <row r="270" spans="1:11" ht="42.75" customHeight="1" x14ac:dyDescent="0.25"/>
    <row r="271" spans="1:11" ht="42.75" customHeight="1" x14ac:dyDescent="0.25"/>
    <row r="272" spans="1:11" ht="42.75" customHeight="1" x14ac:dyDescent="0.25"/>
    <row r="273" spans="1:5" ht="42.75" customHeight="1" x14ac:dyDescent="0.25"/>
    <row r="274" spans="1:5" ht="42.75" customHeight="1" x14ac:dyDescent="0.25"/>
    <row r="275" spans="1:5" ht="42.75" customHeight="1" x14ac:dyDescent="0.25"/>
    <row r="276" spans="1:5" ht="42.75" customHeight="1" x14ac:dyDescent="0.25"/>
    <row r="277" spans="1:5" ht="42.75" customHeight="1" x14ac:dyDescent="0.25"/>
    <row r="278" spans="1:5" ht="42.75" customHeight="1" x14ac:dyDescent="0.25"/>
    <row r="279" spans="1:5" ht="42.75" customHeight="1" x14ac:dyDescent="0.25"/>
    <row r="280" spans="1:5" s="9" customFormat="1" ht="42.75" customHeight="1" x14ac:dyDescent="0.25">
      <c r="A280" s="2"/>
      <c r="B280" s="37"/>
      <c r="C280" s="37"/>
      <c r="D280" s="57"/>
      <c r="E280" s="57"/>
    </row>
    <row r="281" spans="1:5" ht="42.75" customHeight="1" x14ac:dyDescent="0.25"/>
    <row r="282" spans="1:5" ht="42.75" customHeight="1" x14ac:dyDescent="0.25"/>
    <row r="283" spans="1:5" ht="42.75" customHeight="1" x14ac:dyDescent="0.25"/>
    <row r="284" spans="1:5" ht="42.75" customHeight="1" x14ac:dyDescent="0.25"/>
    <row r="285" spans="1:5" ht="42.75" customHeight="1" x14ac:dyDescent="0.25"/>
    <row r="286" spans="1:5" ht="42.75" customHeight="1" x14ac:dyDescent="0.25"/>
    <row r="287" spans="1:5" ht="42.75" customHeight="1" x14ac:dyDescent="0.25"/>
    <row r="288" spans="1:5" ht="42.75" customHeight="1" x14ac:dyDescent="0.25"/>
    <row r="289" spans="6:15" ht="42.75" customHeight="1" x14ac:dyDescent="0.25"/>
    <row r="290" spans="6:15" ht="42.75" customHeight="1" x14ac:dyDescent="0.25"/>
    <row r="291" spans="6:15" ht="42.75" customHeight="1" x14ac:dyDescent="0.25"/>
    <row r="292" spans="6:15" ht="42.75" customHeight="1" x14ac:dyDescent="0.25"/>
    <row r="293" spans="6:15" ht="42.75" customHeight="1" x14ac:dyDescent="0.25"/>
    <row r="294" spans="6:15" ht="42.75" customHeight="1" x14ac:dyDescent="0.25"/>
    <row r="295" spans="6:15" ht="42.75" customHeight="1" x14ac:dyDescent="0.25"/>
    <row r="296" spans="6:15" ht="42.75" customHeight="1" x14ac:dyDescent="0.25"/>
    <row r="297" spans="6:15" ht="42.75" customHeight="1" x14ac:dyDescent="0.25"/>
    <row r="298" spans="6:15" ht="42.75" customHeight="1" x14ac:dyDescent="0.25"/>
    <row r="299" spans="6:15" ht="42.75" customHeight="1" x14ac:dyDescent="0.25">
      <c r="J299" s="8"/>
      <c r="K299" s="2"/>
      <c r="L299" s="9"/>
      <c r="M299" s="9"/>
      <c r="N299" s="9"/>
      <c r="O299" s="2"/>
    </row>
    <row r="300" spans="6:15" ht="42.75" customHeight="1" x14ac:dyDescent="0.25">
      <c r="J300" s="8"/>
      <c r="K300" s="5"/>
      <c r="L300" s="9"/>
      <c r="M300" s="9"/>
      <c r="N300" s="9"/>
      <c r="O300" s="2"/>
    </row>
    <row r="301" spans="6:15" ht="42.75" customHeight="1" x14ac:dyDescent="0.25">
      <c r="J301" s="8"/>
      <c r="K301" s="5"/>
      <c r="L301" s="9"/>
      <c r="M301" s="9"/>
      <c r="N301" s="9"/>
      <c r="O301" s="2"/>
    </row>
    <row r="302" spans="6:15" ht="42.75" customHeight="1" x14ac:dyDescent="0.25"/>
    <row r="303" spans="6:15" ht="42.75" customHeight="1" x14ac:dyDescent="0.25"/>
    <row r="304" spans="6:15" ht="42.75" customHeight="1" x14ac:dyDescent="0.25">
      <c r="F304" s="58" t="s">
        <v>142</v>
      </c>
    </row>
    <row r="305" spans="6:7" ht="42.75" customHeight="1" x14ac:dyDescent="0.25">
      <c r="F305" s="58"/>
    </row>
    <row r="306" spans="6:7" ht="42.75" customHeight="1" x14ac:dyDescent="0.25">
      <c r="F306" s="58"/>
    </row>
    <row r="307" spans="6:7" ht="42.75" customHeight="1" x14ac:dyDescent="0.25">
      <c r="F307" s="58"/>
    </row>
    <row r="308" spans="6:7" ht="42.75" customHeight="1" x14ac:dyDescent="0.25">
      <c r="F308" s="58"/>
    </row>
    <row r="309" spans="6:7" ht="42.75" customHeight="1" x14ac:dyDescent="0.25">
      <c r="F309" s="58"/>
    </row>
    <row r="310" spans="6:7" ht="42.75" customHeight="1" x14ac:dyDescent="0.25">
      <c r="F310" s="58"/>
      <c r="G310" s="17"/>
    </row>
    <row r="311" spans="6:7" ht="42.75" customHeight="1" x14ac:dyDescent="0.25">
      <c r="G311" s="17"/>
    </row>
    <row r="312" spans="6:7" ht="42.75" customHeight="1" x14ac:dyDescent="0.25"/>
    <row r="313" spans="6:7" ht="42.75" customHeight="1" x14ac:dyDescent="0.25"/>
    <row r="314" spans="6:7" ht="42.75" customHeight="1" x14ac:dyDescent="0.25"/>
    <row r="315" spans="6:7" ht="42.75" customHeight="1" x14ac:dyDescent="0.25"/>
    <row r="316" spans="6:7" ht="42.75" customHeight="1" x14ac:dyDescent="0.25"/>
    <row r="317" spans="6:7" ht="42.75" customHeight="1" x14ac:dyDescent="0.25"/>
    <row r="318" spans="6:7" ht="42.75" customHeight="1" x14ac:dyDescent="0.25"/>
    <row r="319" spans="6:7" ht="42.75" customHeight="1" x14ac:dyDescent="0.25"/>
    <row r="320" spans="6:7" ht="42.75" customHeight="1" x14ac:dyDescent="0.25"/>
    <row r="321" spans="1:15" ht="42.75" customHeight="1" x14ac:dyDescent="0.25"/>
    <row r="322" spans="1:15" ht="42.75" customHeight="1" x14ac:dyDescent="0.25"/>
    <row r="323" spans="1:15" ht="42.75" customHeight="1" x14ac:dyDescent="0.25"/>
    <row r="324" spans="1:15" ht="42.75" customHeight="1" x14ac:dyDescent="0.25"/>
    <row r="325" spans="1:15" ht="42.75" customHeight="1" x14ac:dyDescent="0.25"/>
    <row r="326" spans="1:15" ht="42.75" customHeight="1" x14ac:dyDescent="0.25"/>
    <row r="327" spans="1:15" ht="42.75" customHeight="1" x14ac:dyDescent="0.25"/>
    <row r="328" spans="1:15" ht="42.75" customHeight="1" x14ac:dyDescent="0.25"/>
    <row r="329" spans="1:15" ht="42.75" customHeight="1" x14ac:dyDescent="0.25"/>
    <row r="330" spans="1:15" s="8" customFormat="1" ht="42.75" customHeight="1" x14ac:dyDescent="0.25">
      <c r="A330" s="2"/>
      <c r="B330" s="37"/>
      <c r="C330" s="37"/>
      <c r="D330" s="57"/>
      <c r="E330" s="57"/>
      <c r="F330"/>
      <c r="G330"/>
      <c r="H330"/>
      <c r="I330"/>
      <c r="J330"/>
      <c r="K330"/>
      <c r="L330"/>
      <c r="M330"/>
      <c r="N330"/>
      <c r="O330"/>
    </row>
    <row r="331" spans="1:15" s="8" customFormat="1" ht="42.75" customHeight="1" x14ac:dyDescent="0.25">
      <c r="A331" s="2"/>
      <c r="B331" s="37"/>
      <c r="C331" s="37"/>
      <c r="D331" s="57"/>
      <c r="E331" s="57"/>
      <c r="F331"/>
      <c r="G331"/>
      <c r="H331"/>
      <c r="I331"/>
      <c r="J331"/>
      <c r="K331"/>
      <c r="L331"/>
      <c r="M331"/>
      <c r="N331"/>
      <c r="O331"/>
    </row>
    <row r="332" spans="1:15" s="8" customFormat="1" ht="42.75" customHeight="1" x14ac:dyDescent="0.25">
      <c r="A332" s="2"/>
      <c r="B332" s="37"/>
      <c r="C332" s="37"/>
      <c r="D332" s="57"/>
      <c r="E332" s="57"/>
      <c r="F332"/>
      <c r="G332"/>
      <c r="H332"/>
      <c r="I332"/>
      <c r="J332"/>
      <c r="K332"/>
      <c r="L332"/>
      <c r="M332"/>
      <c r="N332"/>
      <c r="O332"/>
    </row>
    <row r="333" spans="1:15" s="8" customFormat="1" ht="42.75" customHeight="1" x14ac:dyDescent="0.25">
      <c r="A333" s="2"/>
      <c r="B333" s="37"/>
      <c r="C333" s="37"/>
      <c r="D333" s="57"/>
      <c r="E333" s="57"/>
      <c r="F333"/>
      <c r="G333"/>
      <c r="H333"/>
      <c r="I333"/>
      <c r="J333"/>
      <c r="K333"/>
      <c r="L333"/>
      <c r="M333"/>
      <c r="N333"/>
      <c r="O333"/>
    </row>
    <row r="334" spans="1:15" s="8" customFormat="1" ht="42.75" customHeight="1" x14ac:dyDescent="0.25">
      <c r="A334" s="2"/>
      <c r="B334" s="37"/>
      <c r="C334" s="37"/>
      <c r="D334" s="57"/>
      <c r="E334" s="57"/>
      <c r="F334"/>
      <c r="G334"/>
      <c r="H334"/>
      <c r="I334"/>
      <c r="J334"/>
      <c r="K334"/>
      <c r="L334"/>
      <c r="M334"/>
      <c r="N334"/>
      <c r="O334"/>
    </row>
    <row r="335" spans="1:15" s="8" customFormat="1" ht="21.75" customHeight="1" x14ac:dyDescent="0.25">
      <c r="A335" s="2"/>
      <c r="B335" s="37"/>
      <c r="C335" s="37"/>
      <c r="D335" s="57"/>
      <c r="E335" s="57"/>
      <c r="F335"/>
      <c r="G335"/>
      <c r="H335"/>
      <c r="I335"/>
      <c r="J335"/>
      <c r="K335"/>
      <c r="L335"/>
      <c r="M335"/>
      <c r="N335"/>
      <c r="O335"/>
    </row>
    <row r="336" spans="1:15" s="8" customFormat="1" ht="21.75" customHeight="1" x14ac:dyDescent="0.25">
      <c r="A336" s="2"/>
      <c r="B336" s="37"/>
      <c r="C336" s="37"/>
      <c r="D336" s="57"/>
      <c r="E336" s="57"/>
      <c r="F336"/>
      <c r="G336"/>
      <c r="H336"/>
      <c r="I336"/>
      <c r="J336"/>
      <c r="K336"/>
      <c r="L336"/>
      <c r="M336"/>
      <c r="N336"/>
      <c r="O336"/>
    </row>
    <row r="337" spans="1:15" s="8" customFormat="1" ht="21.75" customHeight="1" x14ac:dyDescent="0.25">
      <c r="A337" s="2"/>
      <c r="B337" s="37"/>
      <c r="C337" s="37"/>
      <c r="D337" s="57"/>
      <c r="E337" s="57"/>
      <c r="F337"/>
      <c r="G337"/>
      <c r="H337"/>
      <c r="I337"/>
      <c r="J337"/>
      <c r="K337"/>
      <c r="L337"/>
      <c r="M337"/>
      <c r="N337"/>
      <c r="O337"/>
    </row>
    <row r="338" spans="1:15" s="8" customFormat="1" ht="21.75" customHeight="1" x14ac:dyDescent="0.25">
      <c r="A338" s="2"/>
      <c r="B338" s="37"/>
      <c r="C338" s="37"/>
      <c r="D338" s="57"/>
      <c r="E338" s="57"/>
      <c r="F338"/>
      <c r="G338"/>
      <c r="H338"/>
      <c r="I338"/>
      <c r="J338"/>
      <c r="K338"/>
      <c r="L338"/>
      <c r="M338"/>
      <c r="N338"/>
      <c r="O338"/>
    </row>
    <row r="339" spans="1:15" s="8" customFormat="1" ht="21.75" customHeight="1" x14ac:dyDescent="0.25">
      <c r="A339" s="2"/>
      <c r="B339" s="37"/>
      <c r="C339" s="37"/>
      <c r="D339" s="57"/>
      <c r="E339" s="57"/>
      <c r="F339"/>
      <c r="G339"/>
      <c r="H339"/>
      <c r="I339"/>
      <c r="J339"/>
      <c r="K339"/>
      <c r="L339"/>
      <c r="M339"/>
      <c r="N339"/>
      <c r="O339"/>
    </row>
    <row r="340" spans="1:15" s="8" customFormat="1" ht="21.75" customHeight="1" x14ac:dyDescent="0.25">
      <c r="A340" s="2"/>
      <c r="B340" s="37"/>
      <c r="C340" s="37"/>
      <c r="D340" s="57"/>
      <c r="E340" s="57"/>
      <c r="F340"/>
      <c r="G340"/>
      <c r="H340"/>
      <c r="I340"/>
      <c r="J340"/>
      <c r="K340"/>
      <c r="L340"/>
      <c r="M340"/>
      <c r="N340"/>
      <c r="O340"/>
    </row>
    <row r="341" spans="1:15" s="8" customFormat="1" ht="21.75" customHeight="1" x14ac:dyDescent="0.25">
      <c r="A341" s="2"/>
      <c r="B341" s="37"/>
      <c r="C341" s="37"/>
      <c r="D341" s="57"/>
      <c r="E341" s="57"/>
      <c r="F341"/>
      <c r="G341"/>
      <c r="H341"/>
      <c r="I341"/>
      <c r="J341"/>
      <c r="K341"/>
      <c r="L341"/>
      <c r="M341"/>
      <c r="N341"/>
      <c r="O341"/>
    </row>
    <row r="342" spans="1:15" s="8" customFormat="1" ht="21.75" customHeight="1" x14ac:dyDescent="0.25">
      <c r="A342" s="2"/>
      <c r="B342" s="37"/>
      <c r="C342" s="37"/>
      <c r="D342" s="57"/>
      <c r="E342" s="57"/>
      <c r="F342"/>
      <c r="G342"/>
      <c r="H342"/>
      <c r="I342"/>
      <c r="J342"/>
      <c r="K342"/>
      <c r="L342"/>
      <c r="M342"/>
      <c r="N342"/>
      <c r="O342"/>
    </row>
    <row r="343" spans="1:15" s="8" customFormat="1" ht="21.75" customHeight="1" x14ac:dyDescent="0.25">
      <c r="A343" s="2"/>
      <c r="B343" s="37"/>
      <c r="C343" s="37"/>
      <c r="D343" s="57"/>
      <c r="E343" s="57"/>
      <c r="F343"/>
      <c r="G343"/>
      <c r="H343"/>
      <c r="I343"/>
      <c r="J343"/>
      <c r="K343"/>
      <c r="L343"/>
      <c r="M343"/>
      <c r="N343"/>
      <c r="O343"/>
    </row>
    <row r="344" spans="1:15" s="8" customFormat="1" ht="21.75" customHeight="1" x14ac:dyDescent="0.25">
      <c r="A344" s="2"/>
      <c r="B344" s="37"/>
      <c r="C344" s="37"/>
      <c r="D344" s="57"/>
      <c r="E344" s="57"/>
      <c r="F344"/>
      <c r="G344"/>
      <c r="H344"/>
      <c r="I344"/>
      <c r="J344"/>
      <c r="K344"/>
      <c r="L344"/>
      <c r="M344"/>
      <c r="N344"/>
      <c r="O344"/>
    </row>
    <row r="345" spans="1:15" s="8" customFormat="1" ht="21.75" customHeight="1" x14ac:dyDescent="0.25">
      <c r="A345" s="2"/>
      <c r="B345" s="37"/>
      <c r="C345" s="37"/>
      <c r="D345" s="57"/>
      <c r="E345" s="57"/>
      <c r="F345"/>
      <c r="G345"/>
      <c r="H345"/>
      <c r="I345"/>
      <c r="J345"/>
      <c r="K345"/>
      <c r="L345"/>
      <c r="M345"/>
      <c r="N345"/>
      <c r="O345"/>
    </row>
    <row r="346" spans="1:15" s="8" customFormat="1" ht="21.75" customHeight="1" x14ac:dyDescent="0.25">
      <c r="A346" s="2"/>
      <c r="B346" s="37"/>
      <c r="C346" s="37"/>
      <c r="D346" s="57"/>
      <c r="E346" s="57"/>
      <c r="F346"/>
      <c r="G346"/>
      <c r="H346"/>
      <c r="I346"/>
      <c r="J346"/>
      <c r="K346"/>
      <c r="L346"/>
      <c r="M346"/>
      <c r="N346"/>
      <c r="O346"/>
    </row>
    <row r="347" spans="1:15" s="8" customFormat="1" ht="21.75" customHeight="1" x14ac:dyDescent="0.25">
      <c r="A347" s="2"/>
      <c r="B347" s="37"/>
      <c r="C347" s="37"/>
      <c r="D347" s="57"/>
      <c r="E347" s="57"/>
      <c r="F347"/>
      <c r="G347"/>
      <c r="H347"/>
      <c r="I347"/>
      <c r="J347"/>
      <c r="K347"/>
      <c r="L347"/>
      <c r="M347"/>
      <c r="N347"/>
      <c r="O347"/>
    </row>
    <row r="348" spans="1:15" s="8" customFormat="1" ht="21.75" customHeight="1" x14ac:dyDescent="0.25">
      <c r="A348" s="2"/>
      <c r="B348" s="37"/>
      <c r="C348" s="37"/>
      <c r="D348" s="57"/>
      <c r="E348" s="57"/>
      <c r="F348"/>
      <c r="G348"/>
      <c r="H348"/>
      <c r="I348"/>
      <c r="J348"/>
      <c r="K348"/>
      <c r="L348"/>
      <c r="M348"/>
      <c r="N348"/>
      <c r="O348"/>
    </row>
    <row r="349" spans="1:15" s="8" customFormat="1" ht="21.75" customHeight="1" x14ac:dyDescent="0.25">
      <c r="A349" s="2"/>
      <c r="B349" s="37"/>
      <c r="C349" s="37"/>
      <c r="D349" s="57"/>
      <c r="E349" s="57"/>
      <c r="F349"/>
      <c r="G349"/>
      <c r="H349"/>
      <c r="I349"/>
      <c r="J349"/>
      <c r="K349"/>
      <c r="L349"/>
      <c r="M349"/>
      <c r="N349"/>
      <c r="O349"/>
    </row>
    <row r="350" spans="1:15" s="8" customFormat="1" ht="21.75" customHeight="1" x14ac:dyDescent="0.25">
      <c r="A350" s="2"/>
      <c r="B350" s="37"/>
      <c r="C350" s="37"/>
      <c r="D350" s="57"/>
      <c r="E350" s="57"/>
      <c r="F350"/>
      <c r="G350"/>
      <c r="H350"/>
      <c r="I350"/>
      <c r="J350"/>
      <c r="K350"/>
      <c r="L350"/>
      <c r="M350"/>
      <c r="N350"/>
      <c r="O350"/>
    </row>
    <row r="351" spans="1:15" s="8" customFormat="1" ht="21.75" customHeight="1" x14ac:dyDescent="0.25">
      <c r="A351" s="2"/>
      <c r="B351" s="37"/>
      <c r="C351" s="37"/>
      <c r="D351" s="57"/>
      <c r="E351" s="57"/>
      <c r="F351"/>
      <c r="G351"/>
      <c r="H351"/>
      <c r="I351"/>
      <c r="J351"/>
      <c r="K351"/>
      <c r="L351"/>
      <c r="M351"/>
      <c r="N351"/>
      <c r="O351"/>
    </row>
    <row r="352" spans="1:15" s="8" customFormat="1" ht="21.75" customHeight="1" x14ac:dyDescent="0.25">
      <c r="A352" s="2"/>
      <c r="B352" s="37"/>
      <c r="C352" s="37"/>
      <c r="D352" s="57"/>
      <c r="E352" s="57"/>
      <c r="F352"/>
      <c r="G352"/>
      <c r="H352"/>
      <c r="I352"/>
      <c r="J352"/>
      <c r="K352"/>
      <c r="L352"/>
      <c r="M352"/>
      <c r="N352"/>
      <c r="O352"/>
    </row>
    <row r="353" spans="1:15" s="8" customFormat="1" ht="21.75" customHeight="1" x14ac:dyDescent="0.25">
      <c r="A353" s="2"/>
      <c r="B353" s="37"/>
      <c r="C353" s="37"/>
      <c r="D353" s="57"/>
      <c r="E353" s="57"/>
      <c r="F353"/>
      <c r="G353"/>
      <c r="H353"/>
      <c r="I353"/>
      <c r="J353"/>
      <c r="K353"/>
      <c r="L353"/>
      <c r="M353"/>
      <c r="N353"/>
      <c r="O353"/>
    </row>
    <row r="354" spans="1:15" s="8" customFormat="1" ht="21.75" customHeight="1" x14ac:dyDescent="0.25">
      <c r="A354" s="2"/>
      <c r="B354" s="37"/>
      <c r="C354" s="37"/>
      <c r="D354" s="57"/>
      <c r="E354" s="57"/>
      <c r="F354"/>
      <c r="G354"/>
      <c r="H354"/>
      <c r="I354"/>
      <c r="J354"/>
      <c r="K354"/>
      <c r="L354"/>
      <c r="M354"/>
      <c r="N354"/>
      <c r="O354"/>
    </row>
    <row r="355" spans="1:15" s="8" customFormat="1" ht="21.75" customHeight="1" x14ac:dyDescent="0.25">
      <c r="A355" s="2"/>
      <c r="B355" s="37"/>
      <c r="C355" s="37"/>
      <c r="D355" s="57"/>
      <c r="E355" s="57"/>
      <c r="F355"/>
      <c r="G355"/>
      <c r="H355"/>
      <c r="I355"/>
      <c r="J355"/>
      <c r="K355"/>
      <c r="L355"/>
      <c r="M355"/>
      <c r="N355"/>
      <c r="O355"/>
    </row>
    <row r="356" spans="1:15" s="8" customFormat="1" ht="21.75" customHeight="1" x14ac:dyDescent="0.25">
      <c r="A356" s="2"/>
      <c r="B356" s="37"/>
      <c r="C356" s="37"/>
      <c r="D356" s="57"/>
      <c r="E356" s="57"/>
      <c r="F356"/>
      <c r="G356"/>
      <c r="H356"/>
      <c r="I356"/>
      <c r="J356"/>
      <c r="K356"/>
      <c r="L356"/>
      <c r="M356"/>
      <c r="N356"/>
      <c r="O356"/>
    </row>
    <row r="357" spans="1:15" s="8" customFormat="1" ht="21.75" customHeight="1" x14ac:dyDescent="0.25">
      <c r="A357" s="2"/>
      <c r="B357" s="37"/>
      <c r="C357" s="37"/>
      <c r="D357" s="57"/>
      <c r="E357" s="57"/>
      <c r="F357"/>
      <c r="G357"/>
      <c r="H357"/>
      <c r="I357"/>
      <c r="J357"/>
      <c r="K357"/>
      <c r="L357"/>
      <c r="M357"/>
      <c r="N357"/>
      <c r="O357"/>
    </row>
    <row r="358" spans="1:15" s="8" customFormat="1" ht="21.75" customHeight="1" x14ac:dyDescent="0.25">
      <c r="A358" s="2"/>
      <c r="B358" s="37"/>
      <c r="C358" s="37"/>
      <c r="D358" s="57"/>
      <c r="E358" s="57"/>
      <c r="F358"/>
      <c r="G358"/>
      <c r="H358"/>
      <c r="I358"/>
      <c r="J358"/>
      <c r="K358"/>
      <c r="L358"/>
      <c r="M358"/>
      <c r="N358"/>
      <c r="O358"/>
    </row>
    <row r="359" spans="1:15" s="8" customFormat="1" ht="21.75" customHeight="1" x14ac:dyDescent="0.25">
      <c r="A359" s="2"/>
      <c r="B359" s="37"/>
      <c r="C359" s="37"/>
      <c r="D359" s="57"/>
      <c r="E359" s="57"/>
      <c r="F359"/>
      <c r="G359"/>
      <c r="H359"/>
      <c r="I359"/>
      <c r="J359"/>
      <c r="K359"/>
      <c r="L359"/>
      <c r="M359"/>
      <c r="N359"/>
      <c r="O359"/>
    </row>
  </sheetData>
  <mergeCells count="1">
    <mergeCell ref="F304:F310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991D4-29E1-47E0-B528-217A031433AD}">
  <dimension ref="A1:W55"/>
  <sheetViews>
    <sheetView workbookViewId="0">
      <selection activeCell="C1" sqref="C1"/>
    </sheetView>
  </sheetViews>
  <sheetFormatPr defaultRowHeight="13.8" x14ac:dyDescent="0.25"/>
  <cols>
    <col min="2" max="2" width="12.44140625" customWidth="1"/>
    <col min="3" max="3" width="12.6640625" customWidth="1"/>
    <col min="11" max="14" width="10.44140625" customWidth="1"/>
    <col min="15" max="15" width="14.21875" customWidth="1"/>
    <col min="16" max="16" width="12.44140625" customWidth="1"/>
    <col min="17" max="17" width="13" customWidth="1"/>
    <col min="18" max="20" width="10.44140625" customWidth="1"/>
    <col min="21" max="21" width="12.44140625" customWidth="1"/>
    <col min="22" max="22" width="15.33203125" customWidth="1"/>
    <col min="23" max="23" width="11" customWidth="1"/>
  </cols>
  <sheetData>
    <row r="1" spans="1:23" x14ac:dyDescent="0.25">
      <c r="A1">
        <v>1</v>
      </c>
      <c r="B1">
        <v>-0.3871</v>
      </c>
      <c r="C1" s="7">
        <f>AVERAGE(B:B)</f>
        <v>-0.34294642857142854</v>
      </c>
    </row>
    <row r="2" spans="1:23" x14ac:dyDescent="0.25">
      <c r="A2">
        <v>2</v>
      </c>
      <c r="B2">
        <v>-0.39029999999999998</v>
      </c>
      <c r="C2" s="7"/>
    </row>
    <row r="3" spans="1:23" x14ac:dyDescent="0.25">
      <c r="A3">
        <v>3</v>
      </c>
      <c r="B3">
        <v>-0.32869999999999999</v>
      </c>
    </row>
    <row r="4" spans="1:23" x14ac:dyDescent="0.25">
      <c r="A4">
        <v>4</v>
      </c>
      <c r="B4">
        <v>-0.35709999999999997</v>
      </c>
    </row>
    <row r="5" spans="1:23" ht="27.6" x14ac:dyDescent="0.25">
      <c r="A5">
        <v>5</v>
      </c>
      <c r="B5">
        <v>-0.36330000000000001</v>
      </c>
      <c r="M5" s="53" t="s">
        <v>3399</v>
      </c>
      <c r="N5" s="53" t="s">
        <v>3400</v>
      </c>
      <c r="O5" s="53" t="s">
        <v>3411</v>
      </c>
      <c r="P5" s="53" t="s">
        <v>3401</v>
      </c>
      <c r="Q5" s="53" t="s">
        <v>3402</v>
      </c>
      <c r="R5" s="51"/>
      <c r="S5" s="53" t="s">
        <v>3399</v>
      </c>
      <c r="T5" s="53" t="s">
        <v>3400</v>
      </c>
      <c r="U5" s="53" t="s">
        <v>3411</v>
      </c>
      <c r="V5" s="53" t="s">
        <v>3401</v>
      </c>
      <c r="W5" s="53" t="s">
        <v>3402</v>
      </c>
    </row>
    <row r="6" spans="1:23" x14ac:dyDescent="0.25">
      <c r="A6">
        <v>6</v>
      </c>
      <c r="B6">
        <v>-0.39629999999999999</v>
      </c>
      <c r="C6" s="9"/>
      <c r="M6" s="42" t="s">
        <v>3403</v>
      </c>
      <c r="N6" s="54">
        <v>0.1484</v>
      </c>
      <c r="O6" s="54">
        <v>0.3967</v>
      </c>
      <c r="P6" s="55">
        <v>55643</v>
      </c>
      <c r="Q6" s="55">
        <v>375003</v>
      </c>
      <c r="R6" s="52"/>
      <c r="S6" s="54" t="s">
        <v>3403</v>
      </c>
      <c r="T6" s="54">
        <v>0.19670000000000001</v>
      </c>
      <c r="U6" s="54">
        <v>0.32819999999999999</v>
      </c>
      <c r="V6" s="55">
        <v>46032</v>
      </c>
      <c r="W6" s="55">
        <v>233981</v>
      </c>
    </row>
    <row r="7" spans="1:23" x14ac:dyDescent="0.25">
      <c r="A7">
        <v>7</v>
      </c>
      <c r="B7">
        <v>-0.38669999999999999</v>
      </c>
      <c r="M7" s="42" t="s">
        <v>3404</v>
      </c>
      <c r="N7" s="54">
        <v>0.16439999999999999</v>
      </c>
      <c r="O7" s="54">
        <v>0.43319999999999997</v>
      </c>
      <c r="P7" s="55">
        <v>60761</v>
      </c>
      <c r="Q7" s="55">
        <v>369573</v>
      </c>
      <c r="R7" s="52"/>
      <c r="S7" s="54" t="s">
        <v>3404</v>
      </c>
      <c r="T7" s="54">
        <v>0.23080000000000001</v>
      </c>
      <c r="U7" s="54">
        <v>0.35899999999999999</v>
      </c>
      <c r="V7" s="55">
        <v>50355</v>
      </c>
      <c r="W7" s="55">
        <v>218164</v>
      </c>
    </row>
    <row r="8" spans="1:23" x14ac:dyDescent="0.25">
      <c r="A8">
        <v>8</v>
      </c>
      <c r="B8">
        <v>-0.37880000000000003</v>
      </c>
      <c r="C8" s="7"/>
      <c r="M8" s="42" t="s">
        <v>3405</v>
      </c>
      <c r="N8" s="54">
        <v>0.18920000000000001</v>
      </c>
      <c r="O8" s="54">
        <v>0.48659999999999998</v>
      </c>
      <c r="P8" s="55">
        <v>68260</v>
      </c>
      <c r="Q8" s="55">
        <v>360824</v>
      </c>
      <c r="R8" s="52"/>
      <c r="S8" s="54" t="s">
        <v>3405</v>
      </c>
      <c r="T8" s="54">
        <v>0.27460000000000001</v>
      </c>
      <c r="U8" s="54">
        <v>0.41599999999999998</v>
      </c>
      <c r="V8" s="55">
        <v>58350</v>
      </c>
      <c r="W8" s="55">
        <v>212489</v>
      </c>
    </row>
    <row r="9" spans="1:23" x14ac:dyDescent="0.25">
      <c r="A9">
        <v>9</v>
      </c>
      <c r="B9" s="56">
        <v>-0.3473</v>
      </c>
      <c r="M9" s="42" t="s">
        <v>3406</v>
      </c>
      <c r="N9" s="54">
        <v>0.2203</v>
      </c>
      <c r="O9" s="54">
        <v>0.5504</v>
      </c>
      <c r="P9" s="55">
        <v>77202</v>
      </c>
      <c r="Q9" s="55">
        <v>350362</v>
      </c>
      <c r="R9" s="52"/>
      <c r="S9" s="54" t="s">
        <v>3406</v>
      </c>
      <c r="T9" s="54">
        <v>0.33229999999999998</v>
      </c>
      <c r="U9" s="54">
        <v>0.48180000000000001</v>
      </c>
      <c r="V9" s="55">
        <v>67575</v>
      </c>
      <c r="W9" s="55">
        <v>203356</v>
      </c>
    </row>
    <row r="10" spans="1:23" x14ac:dyDescent="0.25">
      <c r="A10">
        <v>10</v>
      </c>
      <c r="B10">
        <v>-0.35239999999999999</v>
      </c>
      <c r="M10" s="42" t="s">
        <v>3407</v>
      </c>
      <c r="N10" s="54">
        <v>0.23649999999999999</v>
      </c>
      <c r="O10" s="54">
        <v>0.58399999999999996</v>
      </c>
      <c r="P10" s="55">
        <v>81922</v>
      </c>
      <c r="Q10" s="55">
        <v>346377</v>
      </c>
      <c r="R10" s="52"/>
      <c r="S10" s="54" t="s">
        <v>3407</v>
      </c>
      <c r="T10" s="54">
        <v>0.373</v>
      </c>
      <c r="U10" s="54">
        <v>0.5151</v>
      </c>
      <c r="V10" s="55">
        <v>72258</v>
      </c>
      <c r="W10" s="55">
        <v>193736</v>
      </c>
    </row>
    <row r="11" spans="1:23" x14ac:dyDescent="0.25">
      <c r="A11">
        <v>11</v>
      </c>
      <c r="B11">
        <v>-0.34379999999999999</v>
      </c>
      <c r="M11" s="42" t="s">
        <v>3408</v>
      </c>
      <c r="N11" s="54">
        <v>0.23630000000000001</v>
      </c>
      <c r="O11" s="54">
        <v>0.59840000000000004</v>
      </c>
      <c r="P11" s="55">
        <v>83941</v>
      </c>
      <c r="Q11" s="55">
        <v>355280</v>
      </c>
      <c r="R11" s="52"/>
      <c r="S11" s="54" t="s">
        <v>3408</v>
      </c>
      <c r="T11" s="54">
        <v>0.40489999999999998</v>
      </c>
      <c r="U11" s="54">
        <v>0.5353</v>
      </c>
      <c r="V11" s="55">
        <v>75087</v>
      </c>
      <c r="W11" s="55">
        <v>185460</v>
      </c>
    </row>
    <row r="12" spans="1:23" x14ac:dyDescent="0.25">
      <c r="A12">
        <v>12</v>
      </c>
      <c r="B12">
        <v>-0.35510000000000003</v>
      </c>
      <c r="M12" s="42" t="s">
        <v>3409</v>
      </c>
      <c r="N12" s="54">
        <v>0.25490000000000002</v>
      </c>
      <c r="O12" s="54">
        <v>0.63680000000000003</v>
      </c>
      <c r="P12" s="55">
        <v>89318</v>
      </c>
      <c r="Q12" s="55">
        <v>350394</v>
      </c>
      <c r="R12" s="52"/>
      <c r="S12" s="54" t="s">
        <v>3409</v>
      </c>
      <c r="T12" s="54">
        <v>0.46079999999999999</v>
      </c>
      <c r="U12" s="54">
        <v>0.56710000000000005</v>
      </c>
      <c r="V12" s="55">
        <v>79552</v>
      </c>
      <c r="W12" s="55">
        <v>172650</v>
      </c>
    </row>
    <row r="13" spans="1:23" x14ac:dyDescent="0.25">
      <c r="A13">
        <v>13</v>
      </c>
      <c r="B13">
        <v>-0.32219999999999999</v>
      </c>
      <c r="M13" s="42" t="s">
        <v>3410</v>
      </c>
      <c r="N13" s="54">
        <v>0.32019999999999998</v>
      </c>
      <c r="O13" s="54">
        <v>0.75800000000000001</v>
      </c>
      <c r="P13" s="55">
        <v>106323</v>
      </c>
      <c r="Q13" s="55">
        <v>332097</v>
      </c>
      <c r="R13" s="52"/>
      <c r="S13" s="54" t="s">
        <v>3410</v>
      </c>
      <c r="T13" s="54">
        <v>0.50219999999999998</v>
      </c>
      <c r="U13" s="54">
        <v>0.59279999999999999</v>
      </c>
      <c r="V13" s="55">
        <v>83147</v>
      </c>
      <c r="W13" s="55">
        <v>165557</v>
      </c>
    </row>
    <row r="14" spans="1:23" x14ac:dyDescent="0.25">
      <c r="A14">
        <v>14</v>
      </c>
      <c r="B14">
        <v>-0.35</v>
      </c>
      <c r="M14" s="54" t="s">
        <v>3416</v>
      </c>
      <c r="N14" s="54">
        <v>0.46949999999999997</v>
      </c>
      <c r="O14" s="54">
        <v>1</v>
      </c>
      <c r="P14" s="55">
        <v>140269</v>
      </c>
      <c r="Q14" s="55">
        <v>298780</v>
      </c>
      <c r="S14" s="54" t="s">
        <v>3416</v>
      </c>
      <c r="T14" s="54">
        <v>0.99150000000000005</v>
      </c>
      <c r="U14" s="54">
        <v>1</v>
      </c>
      <c r="V14" s="55">
        <v>140269</v>
      </c>
      <c r="W14" s="55">
        <v>141469</v>
      </c>
    </row>
    <row r="15" spans="1:23" x14ac:dyDescent="0.25">
      <c r="A15">
        <v>15</v>
      </c>
      <c r="B15">
        <v>-0.30719999999999997</v>
      </c>
    </row>
    <row r="16" spans="1:23" x14ac:dyDescent="0.25">
      <c r="A16">
        <v>16</v>
      </c>
      <c r="B16">
        <v>-0.29830000000000001</v>
      </c>
    </row>
    <row r="17" spans="1:2" x14ac:dyDescent="0.25">
      <c r="A17">
        <v>17</v>
      </c>
      <c r="B17">
        <v>-0.33289999999999997</v>
      </c>
    </row>
    <row r="18" spans="1:2" x14ac:dyDescent="0.25">
      <c r="A18">
        <v>18</v>
      </c>
      <c r="B18">
        <v>-0.3201</v>
      </c>
    </row>
    <row r="19" spans="1:2" x14ac:dyDescent="0.25">
      <c r="A19">
        <v>19</v>
      </c>
      <c r="B19">
        <v>-0.3649</v>
      </c>
    </row>
    <row r="20" spans="1:2" x14ac:dyDescent="0.25">
      <c r="A20">
        <v>20</v>
      </c>
      <c r="B20">
        <v>-0.3488</v>
      </c>
    </row>
    <row r="21" spans="1:2" x14ac:dyDescent="0.25">
      <c r="A21">
        <v>21</v>
      </c>
      <c r="B21">
        <v>-0.31929999999999997</v>
      </c>
    </row>
    <row r="22" spans="1:2" x14ac:dyDescent="0.25">
      <c r="A22">
        <v>22</v>
      </c>
      <c r="B22">
        <v>-0.36080000000000001</v>
      </c>
    </row>
    <row r="23" spans="1:2" x14ac:dyDescent="0.25">
      <c r="A23">
        <v>23</v>
      </c>
      <c r="B23">
        <v>-0.31469999999999998</v>
      </c>
    </row>
    <row r="24" spans="1:2" x14ac:dyDescent="0.25">
      <c r="A24">
        <v>24</v>
      </c>
      <c r="B24">
        <v>-0.35220000000000001</v>
      </c>
    </row>
    <row r="25" spans="1:2" x14ac:dyDescent="0.25">
      <c r="A25">
        <v>25</v>
      </c>
      <c r="B25">
        <v>-0.318</v>
      </c>
    </row>
    <row r="26" spans="1:2" x14ac:dyDescent="0.25">
      <c r="A26">
        <v>26</v>
      </c>
      <c r="B26">
        <v>-0.30919999999999997</v>
      </c>
    </row>
    <row r="27" spans="1:2" x14ac:dyDescent="0.25">
      <c r="A27">
        <v>27</v>
      </c>
      <c r="B27">
        <v>-0.29870000000000002</v>
      </c>
    </row>
    <row r="28" spans="1:2" x14ac:dyDescent="0.25">
      <c r="A28">
        <v>28</v>
      </c>
      <c r="B28">
        <v>-0.29830000000000001</v>
      </c>
    </row>
    <row r="35" spans="5:21" ht="18.600000000000001" customHeight="1" x14ac:dyDescent="0.25">
      <c r="K35" s="41" t="s">
        <v>4</v>
      </c>
      <c r="L35" s="41" t="s">
        <v>1</v>
      </c>
      <c r="M35" s="40" t="s">
        <v>2</v>
      </c>
      <c r="N35" s="40" t="s">
        <v>200</v>
      </c>
      <c r="O35" s="43" t="s">
        <v>3</v>
      </c>
      <c r="P35" s="40" t="s">
        <v>201</v>
      </c>
      <c r="Q35" s="40" t="s">
        <v>198</v>
      </c>
      <c r="R35" s="40" t="s">
        <v>194</v>
      </c>
      <c r="S35" s="40" t="s">
        <v>202</v>
      </c>
      <c r="T35" s="43" t="s">
        <v>3389</v>
      </c>
      <c r="U35" s="40" t="s">
        <v>203</v>
      </c>
    </row>
    <row r="36" spans="5:21" ht="18.600000000000001" customHeight="1" x14ac:dyDescent="0.25">
      <c r="K36" s="49" t="s">
        <v>3387</v>
      </c>
      <c r="L36" s="44" t="s">
        <v>127</v>
      </c>
      <c r="M36" s="45">
        <v>0.121</v>
      </c>
      <c r="N36" s="45">
        <v>1.5871999999999999</v>
      </c>
      <c r="O36" s="47">
        <v>0.25340000000000001</v>
      </c>
      <c r="P36" s="45">
        <v>0.42070000000000002</v>
      </c>
      <c r="Q36" s="45">
        <v>0.76819999999999999</v>
      </c>
      <c r="R36" s="45">
        <v>0.13020000000000001</v>
      </c>
      <c r="S36" s="45">
        <v>1.331</v>
      </c>
      <c r="T36" s="47">
        <v>0.27650000000000002</v>
      </c>
      <c r="U36" s="45">
        <v>0.4556</v>
      </c>
    </row>
    <row r="37" spans="5:21" ht="18.600000000000001" customHeight="1" x14ac:dyDescent="0.25">
      <c r="K37" s="41" t="s">
        <v>3388</v>
      </c>
      <c r="L37" s="41" t="s">
        <v>127</v>
      </c>
      <c r="M37" s="40">
        <v>0.1128</v>
      </c>
      <c r="N37" s="40">
        <v>1.2659</v>
      </c>
      <c r="O37" s="43">
        <v>0.24160000000000001</v>
      </c>
      <c r="P37" s="40">
        <v>0.40629999999999999</v>
      </c>
      <c r="Q37" s="40">
        <v>0.80349999999999999</v>
      </c>
      <c r="R37" s="40">
        <v>0.12770000000000001</v>
      </c>
      <c r="S37" s="40">
        <v>1.2781</v>
      </c>
      <c r="T37" s="43">
        <v>0.26960000000000001</v>
      </c>
      <c r="U37" s="40">
        <v>0.44529999999999997</v>
      </c>
    </row>
    <row r="38" spans="5:21" ht="18.600000000000001" customHeight="1" x14ac:dyDescent="0.25">
      <c r="K38" s="49" t="s">
        <v>3387</v>
      </c>
      <c r="L38" s="45" t="s">
        <v>5</v>
      </c>
      <c r="M38" s="45">
        <v>0.1275</v>
      </c>
      <c r="N38" s="45">
        <v>1.5777000000000001</v>
      </c>
      <c r="O38" s="47">
        <v>0.27050000000000002</v>
      </c>
      <c r="P38" s="45">
        <v>0.44600000000000001</v>
      </c>
      <c r="Q38" s="45">
        <v>0.79320000000000002</v>
      </c>
      <c r="R38" s="45">
        <v>0.13089999999999999</v>
      </c>
      <c r="S38" s="45">
        <v>1.3341000000000001</v>
      </c>
      <c r="T38" s="47">
        <v>0.2762</v>
      </c>
      <c r="U38" s="45">
        <v>0.45300000000000001</v>
      </c>
    </row>
    <row r="39" spans="5:21" ht="18.600000000000001" customHeight="1" x14ac:dyDescent="0.25">
      <c r="E39" s="39"/>
      <c r="K39" s="41" t="s">
        <v>3388</v>
      </c>
      <c r="L39" s="40" t="s">
        <v>5</v>
      </c>
      <c r="M39" s="40">
        <v>0.12180000000000001</v>
      </c>
      <c r="N39" s="40">
        <v>1.3405</v>
      </c>
      <c r="O39" s="43">
        <v>0.25940000000000002</v>
      </c>
      <c r="P39" s="40">
        <v>0.42270000000000002</v>
      </c>
      <c r="Q39" s="40">
        <v>0.83860000000000001</v>
      </c>
      <c r="R39" s="40">
        <v>0.12870000000000001</v>
      </c>
      <c r="S39" s="40">
        <v>1.2891999999999999</v>
      </c>
      <c r="T39" s="43">
        <v>0.26860000000000001</v>
      </c>
      <c r="U39" s="40">
        <v>0.44240000000000002</v>
      </c>
    </row>
    <row r="40" spans="5:21" ht="18.600000000000001" customHeight="1" x14ac:dyDescent="0.25">
      <c r="E40" s="39"/>
      <c r="K40" s="44" t="s">
        <v>3387</v>
      </c>
      <c r="L40" s="45" t="s">
        <v>8</v>
      </c>
      <c r="M40" s="45">
        <v>0.1298</v>
      </c>
      <c r="N40" s="45">
        <v>1.8546</v>
      </c>
      <c r="O40" s="46">
        <v>0.24959999999999999</v>
      </c>
      <c r="P40" s="45">
        <v>0.40389999999999998</v>
      </c>
      <c r="Q40" s="45">
        <v>0.80110000000000003</v>
      </c>
      <c r="R40" s="45">
        <v>0.13120000000000001</v>
      </c>
      <c r="S40" s="45">
        <v>1.3797999999999999</v>
      </c>
      <c r="T40" s="46">
        <v>0.27210000000000001</v>
      </c>
      <c r="U40" s="45">
        <v>0.44879999999999998</v>
      </c>
    </row>
    <row r="41" spans="5:21" ht="18.600000000000001" customHeight="1" x14ac:dyDescent="0.25">
      <c r="E41" s="39"/>
      <c r="K41" s="50" t="s">
        <v>3388</v>
      </c>
      <c r="L41" s="40" t="s">
        <v>8</v>
      </c>
      <c r="M41" s="40">
        <v>0.1232</v>
      </c>
      <c r="N41" s="40">
        <v>1.4365000000000001</v>
      </c>
      <c r="O41" s="48">
        <v>0.25969999999999999</v>
      </c>
      <c r="P41" s="40">
        <v>0.41620000000000001</v>
      </c>
      <c r="Q41" s="40">
        <v>0.82669999999999999</v>
      </c>
      <c r="R41" s="40">
        <v>0.1293</v>
      </c>
      <c r="S41" s="40">
        <v>0.13056000000000001</v>
      </c>
      <c r="T41" s="48">
        <v>0.27339999999999998</v>
      </c>
      <c r="U41" s="40">
        <v>0.44700000000000001</v>
      </c>
    </row>
    <row r="42" spans="5:21" x14ac:dyDescent="0.25">
      <c r="E42" s="39"/>
    </row>
    <row r="43" spans="5:21" x14ac:dyDescent="0.25">
      <c r="E43" s="39"/>
    </row>
    <row r="44" spans="5:21" x14ac:dyDescent="0.25">
      <c r="E44" s="39"/>
    </row>
    <row r="45" spans="5:21" x14ac:dyDescent="0.25">
      <c r="E45" s="39"/>
    </row>
    <row r="46" spans="5:21" x14ac:dyDescent="0.25">
      <c r="E46" s="39"/>
    </row>
    <row r="47" spans="5:21" x14ac:dyDescent="0.25">
      <c r="L47" s="42" t="s">
        <v>3444</v>
      </c>
      <c r="M47" s="42" t="s">
        <v>3445</v>
      </c>
    </row>
    <row r="48" spans="5:21" x14ac:dyDescent="0.25">
      <c r="L48" s="42" t="s">
        <v>3438</v>
      </c>
      <c r="M48" s="42">
        <v>2462</v>
      </c>
    </row>
    <row r="49" spans="12:13" x14ac:dyDescent="0.25">
      <c r="L49" s="42" t="s">
        <v>3439</v>
      </c>
      <c r="M49" s="42">
        <v>2275</v>
      </c>
    </row>
    <row r="50" spans="12:13" x14ac:dyDescent="0.25">
      <c r="L50" s="42" t="s">
        <v>210</v>
      </c>
      <c r="M50" s="42">
        <v>2471</v>
      </c>
    </row>
    <row r="51" spans="12:13" x14ac:dyDescent="0.25">
      <c r="L51" s="42" t="s">
        <v>211</v>
      </c>
      <c r="M51" s="42">
        <v>2090</v>
      </c>
    </row>
    <row r="52" spans="12:13" x14ac:dyDescent="0.25">
      <c r="L52" s="42" t="s">
        <v>3440</v>
      </c>
      <c r="M52" s="42">
        <v>2009</v>
      </c>
    </row>
    <row r="53" spans="12:13" x14ac:dyDescent="0.25">
      <c r="L53" s="42" t="s">
        <v>3441</v>
      </c>
      <c r="M53" s="42">
        <v>1643</v>
      </c>
    </row>
    <row r="54" spans="12:13" x14ac:dyDescent="0.25">
      <c r="L54" s="42" t="s">
        <v>3442</v>
      </c>
      <c r="M54" s="42">
        <v>1605</v>
      </c>
    </row>
    <row r="55" spans="12:13" x14ac:dyDescent="0.25">
      <c r="L55" s="42" t="s">
        <v>3443</v>
      </c>
      <c r="M55" s="42">
        <v>1813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3EB43-B71A-46AF-A346-3710415CC792}">
  <dimension ref="A1:E35"/>
  <sheetViews>
    <sheetView zoomScale="85" zoomScaleNormal="85" workbookViewId="0">
      <selection activeCell="G5" sqref="G5"/>
    </sheetView>
  </sheetViews>
  <sheetFormatPr defaultRowHeight="13.8" x14ac:dyDescent="0.25"/>
  <cols>
    <col min="1" max="1" width="29.6640625" style="2" customWidth="1"/>
    <col min="2" max="3" width="14.88671875" style="37" customWidth="1"/>
    <col min="4" max="5" width="14.88671875" style="57" customWidth="1"/>
    <col min="6" max="6" width="14" customWidth="1"/>
    <col min="11" max="11" width="15.21875" customWidth="1"/>
    <col min="15" max="15" width="18.6640625" customWidth="1"/>
  </cols>
  <sheetData>
    <row r="1" spans="1:5" ht="42.75" customHeight="1" x14ac:dyDescent="0.25">
      <c r="A1" s="2" t="s">
        <v>4</v>
      </c>
      <c r="B1" s="37" t="s">
        <v>2</v>
      </c>
      <c r="C1" s="37" t="s">
        <v>3</v>
      </c>
      <c r="D1" s="57" t="s">
        <v>3581</v>
      </c>
      <c r="E1" s="57" t="s">
        <v>3582</v>
      </c>
    </row>
    <row r="2" spans="1:5" ht="42.75" customHeight="1" x14ac:dyDescent="0.25">
      <c r="A2" s="2" t="s">
        <v>3621</v>
      </c>
      <c r="B2" s="37">
        <v>0.1308</v>
      </c>
      <c r="C2" s="37">
        <v>0.27579999999999999</v>
      </c>
      <c r="D2" s="57">
        <v>1.048218029350112E-2</v>
      </c>
      <c r="E2" s="57">
        <v>1.1265738899933764E-2</v>
      </c>
    </row>
    <row r="3" spans="1:5" ht="42.75" customHeight="1" x14ac:dyDescent="0.25">
      <c r="A3" s="2" t="s">
        <v>3620</v>
      </c>
      <c r="B3" s="37">
        <v>0.1145</v>
      </c>
      <c r="C3" s="37">
        <v>0.28299999999999997</v>
      </c>
      <c r="D3" s="57">
        <v>4.8916841369672781E-3</v>
      </c>
      <c r="E3" s="57">
        <v>4.0755467196819106E-2</v>
      </c>
    </row>
    <row r="4" spans="1:5" ht="42.75" customHeight="1" x14ac:dyDescent="0.25">
      <c r="A4" s="2" t="s">
        <v>3619</v>
      </c>
      <c r="B4" s="37">
        <v>0.11940000000000001</v>
      </c>
      <c r="C4" s="37">
        <v>0.25319999999999998</v>
      </c>
      <c r="D4" s="57">
        <v>1.048218029350112E-2</v>
      </c>
      <c r="E4" s="57">
        <v>-4.9701789264413598E-3</v>
      </c>
    </row>
    <row r="5" spans="1:5" ht="42.75" customHeight="1" x14ac:dyDescent="0.25">
      <c r="A5" s="2" t="s">
        <v>3569</v>
      </c>
      <c r="B5" s="37">
        <v>0.12989999999999999</v>
      </c>
      <c r="C5" s="37">
        <v>0.28060000000000002</v>
      </c>
      <c r="D5" s="57">
        <v>6.2893081761006275E-3</v>
      </c>
      <c r="E5" s="57">
        <v>3.9761431411529102E-3</v>
      </c>
    </row>
    <row r="6" spans="1:5" ht="42.75" customHeight="1" x14ac:dyDescent="0.25"/>
    <row r="7" spans="1:5" ht="42.75" customHeight="1" x14ac:dyDescent="0.25"/>
    <row r="8" spans="1:5" ht="42.75" customHeight="1" x14ac:dyDescent="0.25"/>
    <row r="9" spans="1:5" ht="42.75" customHeight="1" x14ac:dyDescent="0.25"/>
    <row r="10" spans="1:5" ht="42.75" customHeight="1" x14ac:dyDescent="0.25"/>
    <row r="11" spans="1:5" ht="21.75" customHeight="1" x14ac:dyDescent="0.25"/>
    <row r="12" spans="1:5" ht="21.75" customHeight="1" x14ac:dyDescent="0.25"/>
    <row r="13" spans="1:5" ht="21.75" customHeight="1" x14ac:dyDescent="0.25"/>
    <row r="14" spans="1:5" ht="21.75" customHeight="1" x14ac:dyDescent="0.25"/>
    <row r="15" spans="1:5" ht="21.75" customHeight="1" x14ac:dyDescent="0.25"/>
    <row r="16" spans="1:5" ht="21.75" customHeight="1" x14ac:dyDescent="0.25"/>
    <row r="17" ht="21.75" customHeight="1" x14ac:dyDescent="0.25"/>
    <row r="18" ht="21.75" customHeight="1" x14ac:dyDescent="0.25"/>
    <row r="19" ht="21.75" customHeight="1" x14ac:dyDescent="0.25"/>
    <row r="20" ht="21.75" customHeight="1" x14ac:dyDescent="0.25"/>
    <row r="21" ht="21.75" customHeight="1" x14ac:dyDescent="0.25"/>
    <row r="22" ht="21.75" customHeight="1" x14ac:dyDescent="0.25"/>
    <row r="23" ht="21.75" customHeight="1" x14ac:dyDescent="0.25"/>
    <row r="24" ht="21.75" customHeight="1" x14ac:dyDescent="0.25"/>
    <row r="25" ht="21.75" customHeight="1" x14ac:dyDescent="0.25"/>
    <row r="26" ht="21.75" customHeight="1" x14ac:dyDescent="0.25"/>
    <row r="27" ht="21.75" customHeight="1" x14ac:dyDescent="0.25"/>
    <row r="28" ht="21.75" customHeight="1" x14ac:dyDescent="0.25"/>
    <row r="29" ht="21.75" customHeight="1" x14ac:dyDescent="0.25"/>
    <row r="30" ht="21.75" customHeight="1" x14ac:dyDescent="0.25"/>
    <row r="31" ht="21.75" customHeight="1" x14ac:dyDescent="0.25"/>
    <row r="32" ht="21.75" customHeight="1" x14ac:dyDescent="0.25"/>
    <row r="33" ht="21.75" customHeight="1" x14ac:dyDescent="0.25"/>
    <row r="34" ht="21.75" customHeight="1" x14ac:dyDescent="0.25"/>
    <row r="35" ht="21.75" customHeight="1" x14ac:dyDescent="0.25"/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9F406-E0D9-49ED-82C1-A4E36BA51A74}">
  <dimension ref="A1:O47"/>
  <sheetViews>
    <sheetView tabSelected="1" topLeftCell="B1" zoomScale="85" zoomScaleNormal="85" workbookViewId="0">
      <selection activeCell="L2" sqref="L2:N3"/>
    </sheetView>
  </sheetViews>
  <sheetFormatPr defaultRowHeight="13.8" x14ac:dyDescent="0.25"/>
  <cols>
    <col min="1" max="1" width="27.21875" style="2" customWidth="1"/>
    <col min="2" max="3" width="14.88671875" style="37" customWidth="1"/>
    <col min="4" max="5" width="14.88671875" style="57" customWidth="1"/>
    <col min="6" max="6" width="19.44140625" customWidth="1"/>
    <col min="7" max="7" width="22.6640625" customWidth="1"/>
    <col min="9" max="10" width="12.6640625" customWidth="1"/>
    <col min="11" max="11" width="15.21875" customWidth="1"/>
    <col min="12" max="12" width="27.21875" style="2" customWidth="1"/>
    <col min="13" max="13" width="19.44140625" customWidth="1"/>
    <col min="14" max="14" width="22.6640625" customWidth="1"/>
    <col min="15" max="15" width="14.88671875" style="57" customWidth="1"/>
  </cols>
  <sheetData>
    <row r="1" spans="1:15" ht="45.6" customHeight="1" x14ac:dyDescent="0.25">
      <c r="A1" s="2" t="s">
        <v>4</v>
      </c>
      <c r="B1" s="37" t="s">
        <v>2</v>
      </c>
      <c r="C1" s="37" t="s">
        <v>3</v>
      </c>
      <c r="D1" s="57" t="s">
        <v>3581</v>
      </c>
      <c r="E1" s="57" t="s">
        <v>3582</v>
      </c>
      <c r="F1" s="57" t="s">
        <v>3604</v>
      </c>
      <c r="G1" s="57" t="s">
        <v>3605</v>
      </c>
      <c r="I1" s="57" t="s">
        <v>82</v>
      </c>
      <c r="J1" s="57" t="s">
        <v>3604</v>
      </c>
      <c r="L1" s="2" t="s">
        <v>4</v>
      </c>
      <c r="M1" s="57" t="s">
        <v>3604</v>
      </c>
      <c r="N1" s="57" t="s">
        <v>3605</v>
      </c>
      <c r="O1" s="57" t="s">
        <v>3582</v>
      </c>
    </row>
    <row r="2" spans="1:15" ht="45.6" customHeight="1" x14ac:dyDescent="0.25">
      <c r="A2" s="2" t="s">
        <v>3592</v>
      </c>
      <c r="B2" s="37">
        <v>1.4999999999999999E-2</v>
      </c>
      <c r="C2" s="37">
        <v>5.1499999999999997E-2</v>
      </c>
      <c r="D2" s="57">
        <v>-2.3060796645702264E-2</v>
      </c>
      <c r="E2" s="57">
        <v>5.8316766070245274E-2</v>
      </c>
      <c r="F2" s="57">
        <v>0.27711983471074297</v>
      </c>
      <c r="G2" s="57">
        <v>0.26972314049586699</v>
      </c>
      <c r="I2" s="2" t="s">
        <v>3606</v>
      </c>
      <c r="J2" s="57">
        <v>0.22964462809917299</v>
      </c>
      <c r="L2" s="2" t="s">
        <v>3593</v>
      </c>
      <c r="M2" s="57">
        <v>0.27957851239669401</v>
      </c>
      <c r="N2" s="57">
        <v>0.26874793388429702</v>
      </c>
      <c r="O2" s="57">
        <v>5.1689860834990053E-2</v>
      </c>
    </row>
    <row r="3" spans="1:15" ht="45.6" customHeight="1" x14ac:dyDescent="0.25">
      <c r="A3" s="2" t="s">
        <v>3593</v>
      </c>
      <c r="B3" s="37">
        <v>1.4E-2</v>
      </c>
      <c r="C3" s="37">
        <v>5.1299999999999998E-2</v>
      </c>
      <c r="D3" s="57">
        <v>-1.8867924528301994E-2</v>
      </c>
      <c r="E3" s="57">
        <v>5.1689860834990053E-2</v>
      </c>
      <c r="F3" s="57">
        <v>0.27957851239669401</v>
      </c>
      <c r="G3" s="57">
        <v>0.26874793388429702</v>
      </c>
      <c r="I3" s="2" t="s">
        <v>3607</v>
      </c>
      <c r="J3" s="57">
        <v>0.25411157024793302</v>
      </c>
      <c r="L3" s="2" t="s">
        <v>3592</v>
      </c>
      <c r="M3" s="57">
        <v>0.27711983471074297</v>
      </c>
      <c r="N3" s="57">
        <v>0.26972314049586699</v>
      </c>
      <c r="O3" s="57">
        <v>5.8316766070245274E-2</v>
      </c>
    </row>
    <row r="4" spans="1:15" ht="45.6" customHeight="1" x14ac:dyDescent="0.25">
      <c r="A4" s="2" t="s">
        <v>3591</v>
      </c>
      <c r="B4" s="37">
        <v>5.7999999999999996E-3</v>
      </c>
      <c r="C4" s="37">
        <v>5.7700000000000001E-2</v>
      </c>
      <c r="D4" s="57">
        <v>-2.3060796645702264E-2</v>
      </c>
      <c r="E4" s="57">
        <v>3.943008614976784E-2</v>
      </c>
      <c r="F4" s="57">
        <v>0.15344214876032999</v>
      </c>
      <c r="G4" s="57">
        <v>0.26515289256198299</v>
      </c>
      <c r="I4" s="2" t="s">
        <v>3608</v>
      </c>
      <c r="J4" s="57">
        <v>0.25072314049586703</v>
      </c>
      <c r="L4" s="2" t="s">
        <v>3569</v>
      </c>
      <c r="M4" s="57">
        <v>0.24958677685950401</v>
      </c>
      <c r="N4" s="57">
        <v>0.25410743801652802</v>
      </c>
      <c r="O4" s="57">
        <v>3.9761431411529102E-3</v>
      </c>
    </row>
    <row r="5" spans="1:15" ht="45.6" customHeight="1" x14ac:dyDescent="0.25">
      <c r="A5" s="2" t="s">
        <v>3590</v>
      </c>
      <c r="B5" s="37">
        <v>2.8999999999999998E-3</v>
      </c>
      <c r="C5" s="37">
        <v>2.5399999999999999E-2</v>
      </c>
      <c r="D5" s="57">
        <v>-2.3060796645702264E-2</v>
      </c>
      <c r="E5" s="57">
        <v>3.4791252485089519E-2</v>
      </c>
      <c r="F5" s="57">
        <v>0.14838016528925599</v>
      </c>
      <c r="G5" s="57">
        <v>0.26298347107438003</v>
      </c>
      <c r="I5" s="2" t="s">
        <v>3609</v>
      </c>
      <c r="J5" s="57">
        <v>0.25401239669421399</v>
      </c>
      <c r="L5" s="2" t="s">
        <v>3598</v>
      </c>
      <c r="M5" s="57">
        <v>0.24209504132231399</v>
      </c>
      <c r="N5" s="57">
        <v>0.25319834710743799</v>
      </c>
      <c r="O5" s="57">
        <v>-2.2531477799867528E-2</v>
      </c>
    </row>
    <row r="6" spans="1:15" ht="45.6" customHeight="1" x14ac:dyDescent="0.25">
      <c r="A6" s="2" t="s">
        <v>3594</v>
      </c>
      <c r="B6" s="37">
        <v>4.2200000000000001E-2</v>
      </c>
      <c r="C6" s="37">
        <v>0.20649999999999999</v>
      </c>
      <c r="D6" s="57">
        <v>-4.6820405310971425E-2</v>
      </c>
      <c r="E6" s="57">
        <v>-4.0092776673293584E-2</v>
      </c>
      <c r="F6" s="57">
        <v>0.23428512396694201</v>
      </c>
      <c r="G6" s="57">
        <v>0.25555371900826401</v>
      </c>
      <c r="L6" s="2" t="s">
        <v>3597</v>
      </c>
      <c r="M6" s="57">
        <v>0.23987190082644599</v>
      </c>
      <c r="N6" s="57">
        <v>0.25385537190082602</v>
      </c>
      <c r="O6" s="57">
        <v>-7.9522862823061535E-3</v>
      </c>
    </row>
    <row r="7" spans="1:15" ht="45.6" customHeight="1" x14ac:dyDescent="0.25">
      <c r="A7" s="2" t="s">
        <v>3569</v>
      </c>
      <c r="B7" s="37">
        <v>0.12989999999999999</v>
      </c>
      <c r="C7" s="37">
        <v>0.28060000000000002</v>
      </c>
      <c r="D7" s="57">
        <v>6.2893081761006275E-3</v>
      </c>
      <c r="E7" s="57">
        <v>3.9761431411529102E-3</v>
      </c>
      <c r="F7" s="57">
        <v>0.24958677685950401</v>
      </c>
      <c r="G7" s="57">
        <v>0.25410743801652802</v>
      </c>
      <c r="L7" s="2" t="s">
        <v>3596</v>
      </c>
      <c r="M7" s="57">
        <v>0.235140495867768</v>
      </c>
      <c r="N7" s="57">
        <v>0.25359917355371903</v>
      </c>
      <c r="O7" s="57">
        <v>1.159708416169658E-2</v>
      </c>
    </row>
    <row r="8" spans="1:15" ht="45.6" customHeight="1" x14ac:dyDescent="0.25">
      <c r="A8" s="2" t="s">
        <v>3589</v>
      </c>
      <c r="B8" s="37">
        <v>1.32E-2</v>
      </c>
      <c r="C8" s="37">
        <v>2.8299999999999999E-2</v>
      </c>
      <c r="D8" s="57">
        <v>-2.3759608665269161E-2</v>
      </c>
      <c r="E8" s="57">
        <v>2.650762094102066E-2</v>
      </c>
      <c r="F8" s="57">
        <v>0.159033057851239</v>
      </c>
      <c r="G8" s="57">
        <v>0.25410330578512302</v>
      </c>
      <c r="L8" s="2" t="s">
        <v>3594</v>
      </c>
      <c r="M8" s="57">
        <v>0.23428512396694201</v>
      </c>
      <c r="N8" s="57">
        <v>0.25555371900826401</v>
      </c>
      <c r="O8" s="57">
        <v>-4.0092776673293584E-2</v>
      </c>
    </row>
    <row r="9" spans="1:15" ht="45.6" customHeight="1" x14ac:dyDescent="0.25">
      <c r="A9" s="2" t="s">
        <v>3597</v>
      </c>
      <c r="B9" s="37">
        <v>0.1003</v>
      </c>
      <c r="C9" s="37">
        <v>0.25319999999999998</v>
      </c>
      <c r="D9" s="57">
        <v>-1.9566736547868557E-2</v>
      </c>
      <c r="E9" s="57">
        <v>-7.9522862823061535E-3</v>
      </c>
      <c r="F9" s="57">
        <v>0.23987190082644599</v>
      </c>
      <c r="G9" s="57">
        <v>0.25385537190082602</v>
      </c>
      <c r="L9" s="2" t="s">
        <v>3595</v>
      </c>
      <c r="M9" s="57">
        <v>0.22633471074380099</v>
      </c>
      <c r="N9" s="57">
        <v>0.25265702479338797</v>
      </c>
      <c r="O9" s="57">
        <v>-2.9489728296885453E-2</v>
      </c>
    </row>
    <row r="10" spans="1:15" ht="45.6" customHeight="1" x14ac:dyDescent="0.25">
      <c r="A10" s="2" t="s">
        <v>3596</v>
      </c>
      <c r="B10" s="37">
        <v>8.8700000000000001E-2</v>
      </c>
      <c r="C10" s="37">
        <v>0.26840000000000003</v>
      </c>
      <c r="D10" s="57">
        <v>-2.4458420684835835E-2</v>
      </c>
      <c r="E10" s="57">
        <v>1.159708416169658E-2</v>
      </c>
      <c r="F10" s="57">
        <v>0.235140495867768</v>
      </c>
      <c r="G10" s="57">
        <v>0.25359917355371903</v>
      </c>
      <c r="L10" s="2" t="s">
        <v>3589</v>
      </c>
      <c r="M10" s="57">
        <v>0.159033057851239</v>
      </c>
      <c r="N10" s="57">
        <v>0.25410330578512302</v>
      </c>
      <c r="O10" s="57">
        <v>2.650762094102066E-2</v>
      </c>
    </row>
    <row r="11" spans="1:15" ht="45.6" customHeight="1" x14ac:dyDescent="0.25">
      <c r="A11" s="2" t="s">
        <v>3598</v>
      </c>
      <c r="B11" s="37">
        <v>0.1142</v>
      </c>
      <c r="C11" s="37">
        <v>0.252</v>
      </c>
      <c r="D11" s="57">
        <v>-1.1180992313067906E-2</v>
      </c>
      <c r="E11" s="57">
        <v>-2.2531477799867528E-2</v>
      </c>
      <c r="F11" s="57">
        <v>0.24209504132231399</v>
      </c>
      <c r="G11" s="57">
        <v>0.25319834710743799</v>
      </c>
      <c r="L11" s="2" t="s">
        <v>3591</v>
      </c>
      <c r="M11" s="57">
        <v>0.15344214876032999</v>
      </c>
      <c r="N11" s="57">
        <v>0.26515289256198299</v>
      </c>
      <c r="O11" s="57">
        <v>3.943008614976784E-2</v>
      </c>
    </row>
    <row r="12" spans="1:15" ht="45.6" customHeight="1" x14ac:dyDescent="0.25">
      <c r="A12" s="2" t="s">
        <v>3595</v>
      </c>
      <c r="B12" s="37">
        <v>7.1400000000000005E-2</v>
      </c>
      <c r="C12" s="37">
        <v>0.2354</v>
      </c>
      <c r="D12" s="57">
        <v>-3.7735849056603876E-2</v>
      </c>
      <c r="E12" s="57">
        <v>-2.9489728296885453E-2</v>
      </c>
      <c r="F12" s="57">
        <v>0.22633471074380099</v>
      </c>
      <c r="G12" s="57">
        <v>0.25265702479338797</v>
      </c>
      <c r="L12" s="2" t="s">
        <v>3590</v>
      </c>
      <c r="M12" s="57">
        <v>0.14838016528925599</v>
      </c>
      <c r="N12" s="57">
        <v>0.26298347107438003</v>
      </c>
      <c r="O12" s="57">
        <v>3.4791252485089519E-2</v>
      </c>
    </row>
    <row r="13" spans="1:15" ht="45.6" customHeight="1" x14ac:dyDescent="0.25">
      <c r="L13" s="2" t="s">
        <v>3610</v>
      </c>
      <c r="M13" s="57">
        <v>0.114004132231404</v>
      </c>
      <c r="N13" s="57">
        <v>0.238078512396694</v>
      </c>
      <c r="O13" s="57">
        <v>-3.4791252485089519E-2</v>
      </c>
    </row>
    <row r="14" spans="1:15" ht="45.6" customHeight="1" x14ac:dyDescent="0.25">
      <c r="L14" s="2" t="s">
        <v>3617</v>
      </c>
      <c r="M14" s="57">
        <v>0.114268595041322</v>
      </c>
      <c r="N14" s="57">
        <v>0.23274380165289199</v>
      </c>
      <c r="O14" s="57">
        <v>-6.0304837640821729E-2</v>
      </c>
    </row>
    <row r="15" spans="1:15" ht="45.6" customHeight="1" x14ac:dyDescent="0.25">
      <c r="L15" s="2" t="s">
        <v>3611</v>
      </c>
      <c r="M15" s="57">
        <v>6.0665289256198303E-2</v>
      </c>
      <c r="N15" s="57">
        <v>0.234202479338843</v>
      </c>
      <c r="O15" s="57">
        <v>-5.0033134526176304E-2</v>
      </c>
    </row>
    <row r="16" spans="1:15" ht="45.6" customHeight="1" x14ac:dyDescent="0.25">
      <c r="L16" s="2" t="s">
        <v>3613</v>
      </c>
      <c r="M16" s="57">
        <v>6.2086776859504103E-2</v>
      </c>
      <c r="N16" s="57">
        <v>0.23565702479338799</v>
      </c>
      <c r="O16" s="57">
        <v>-5.5003313452617664E-2</v>
      </c>
    </row>
    <row r="17" ht="42.75" customHeight="1" x14ac:dyDescent="0.25"/>
    <row r="18" ht="42.75" customHeight="1" x14ac:dyDescent="0.25"/>
    <row r="19" ht="42.75" customHeight="1" x14ac:dyDescent="0.25"/>
    <row r="20" ht="42.75" customHeight="1" x14ac:dyDescent="0.25"/>
    <row r="21" ht="42.75" customHeight="1" x14ac:dyDescent="0.25"/>
    <row r="22" ht="42.75" customHeight="1" x14ac:dyDescent="0.25"/>
    <row r="23" ht="21.75" customHeight="1" x14ac:dyDescent="0.25"/>
    <row r="24" ht="21.75" customHeight="1" x14ac:dyDescent="0.25"/>
    <row r="25" ht="21.75" customHeight="1" x14ac:dyDescent="0.25"/>
    <row r="26" ht="21.75" customHeight="1" x14ac:dyDescent="0.25"/>
    <row r="27" ht="21.75" customHeight="1" x14ac:dyDescent="0.25"/>
    <row r="28" ht="21.75" customHeight="1" x14ac:dyDescent="0.25"/>
    <row r="29" ht="21.75" customHeight="1" x14ac:dyDescent="0.25"/>
    <row r="30" ht="21.75" customHeight="1" x14ac:dyDescent="0.25"/>
    <row r="31" ht="21.75" customHeight="1" x14ac:dyDescent="0.25"/>
    <row r="32" ht="21.75" customHeight="1" x14ac:dyDescent="0.25"/>
    <row r="33" ht="21.75" customHeight="1" x14ac:dyDescent="0.25"/>
    <row r="34" ht="21.75" customHeight="1" x14ac:dyDescent="0.25"/>
    <row r="35" ht="21.75" customHeight="1" x14ac:dyDescent="0.25"/>
    <row r="36" ht="21.75" customHeight="1" x14ac:dyDescent="0.25"/>
    <row r="37" ht="21.75" customHeight="1" x14ac:dyDescent="0.25"/>
    <row r="38" ht="21.75" customHeight="1" x14ac:dyDescent="0.25"/>
    <row r="39" ht="21.75" customHeight="1" x14ac:dyDescent="0.25"/>
    <row r="40" ht="21.75" customHeight="1" x14ac:dyDescent="0.25"/>
    <row r="41" ht="21.75" customHeight="1" x14ac:dyDescent="0.25"/>
    <row r="42" ht="21.75" customHeight="1" x14ac:dyDescent="0.25"/>
    <row r="43" ht="21.75" customHeight="1" x14ac:dyDescent="0.25"/>
    <row r="44" ht="21.75" customHeight="1" x14ac:dyDescent="0.25"/>
    <row r="45" ht="21.75" customHeight="1" x14ac:dyDescent="0.25"/>
    <row r="46" ht="21.75" customHeight="1" x14ac:dyDescent="0.25"/>
    <row r="47" ht="21.75" customHeight="1" x14ac:dyDescent="0.25"/>
  </sheetData>
  <sortState xmlns:xlrd2="http://schemas.microsoft.com/office/spreadsheetml/2017/richdata2" ref="L2:O48">
    <sortCondition descending="1" ref="M1:M48"/>
  </sortState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360F7-8366-4A84-9B40-50630B611B50}">
  <dimension ref="A1:O15"/>
  <sheetViews>
    <sheetView workbookViewId="0">
      <selection activeCell="G15" sqref="G15"/>
    </sheetView>
  </sheetViews>
  <sheetFormatPr defaultRowHeight="13.8" x14ac:dyDescent="0.25"/>
  <cols>
    <col min="1" max="1" width="10.44140625" style="1" customWidth="1"/>
    <col min="2" max="4" width="10.44140625" customWidth="1"/>
  </cols>
  <sheetData>
    <row r="1" spans="1:15" ht="25.2" customHeight="1" x14ac:dyDescent="0.25">
      <c r="A1" s="1" t="s">
        <v>3444</v>
      </c>
      <c r="B1" s="1" t="s">
        <v>3535</v>
      </c>
      <c r="C1" s="1" t="s">
        <v>3536</v>
      </c>
      <c r="D1" s="1"/>
      <c r="G1" s="1" t="s">
        <v>3444</v>
      </c>
      <c r="H1" s="1" t="s">
        <v>3538</v>
      </c>
      <c r="I1" s="1" t="s">
        <v>2</v>
      </c>
      <c r="J1" s="1" t="s">
        <v>3539</v>
      </c>
      <c r="K1" s="1" t="s">
        <v>3540</v>
      </c>
      <c r="L1" s="1" t="s">
        <v>82</v>
      </c>
      <c r="M1" s="1"/>
      <c r="N1" s="1" t="s">
        <v>3538</v>
      </c>
      <c r="O1" s="1" t="s">
        <v>2</v>
      </c>
    </row>
    <row r="2" spans="1:15" ht="25.2" customHeight="1" x14ac:dyDescent="0.25">
      <c r="A2" s="1" t="s">
        <v>179</v>
      </c>
      <c r="B2" s="1">
        <v>533</v>
      </c>
      <c r="C2" s="1">
        <v>8.61E-4</v>
      </c>
      <c r="D2" s="1"/>
      <c r="G2" s="1" t="s">
        <v>179</v>
      </c>
      <c r="H2" s="1">
        <v>0.16450000000000001</v>
      </c>
      <c r="I2" s="1">
        <v>0.15640000000000001</v>
      </c>
      <c r="J2" s="1"/>
      <c r="K2" s="1">
        <v>0.1489</v>
      </c>
      <c r="L2" s="1">
        <v>0.19450000000000001</v>
      </c>
      <c r="M2" s="1"/>
      <c r="N2" s="1">
        <v>0.1905</v>
      </c>
      <c r="O2" s="1">
        <v>0.1895</v>
      </c>
    </row>
    <row r="3" spans="1:15" ht="25.2" customHeight="1" x14ac:dyDescent="0.25">
      <c r="A3" s="1" t="s">
        <v>180</v>
      </c>
      <c r="B3" s="1">
        <v>500</v>
      </c>
      <c r="C3" s="1">
        <v>7.92E-3</v>
      </c>
      <c r="D3" s="1"/>
      <c r="G3" s="1" t="s">
        <v>180</v>
      </c>
      <c r="H3" s="1">
        <v>0.3367</v>
      </c>
      <c r="I3" s="1">
        <v>0.30059999999999998</v>
      </c>
      <c r="J3" s="1"/>
      <c r="K3" s="1">
        <v>0.35570000000000002</v>
      </c>
      <c r="L3" s="1">
        <v>0.3095</v>
      </c>
      <c r="M3" s="1"/>
      <c r="N3" s="1">
        <v>0.31759999999999999</v>
      </c>
      <c r="O3" s="1">
        <v>0.314</v>
      </c>
    </row>
    <row r="4" spans="1:15" ht="25.2" customHeight="1" x14ac:dyDescent="0.25">
      <c r="A4" s="1" t="s">
        <v>210</v>
      </c>
      <c r="B4" s="1">
        <v>500</v>
      </c>
      <c r="C4" s="1">
        <v>7.7619999999999998E-3</v>
      </c>
      <c r="D4" s="1"/>
      <c r="G4" s="1" t="s">
        <v>210</v>
      </c>
      <c r="H4" s="1">
        <v>0.19589999999999999</v>
      </c>
      <c r="I4" s="1">
        <v>0.21460000000000001</v>
      </c>
      <c r="J4" s="1"/>
      <c r="K4" s="1">
        <v>0.28160000000000002</v>
      </c>
      <c r="L4" s="1">
        <v>0.2535</v>
      </c>
      <c r="M4" s="1"/>
      <c r="N4" s="1">
        <v>0.25679999999999997</v>
      </c>
      <c r="O4" s="1">
        <v>0.249</v>
      </c>
    </row>
    <row r="5" spans="1:15" ht="25.2" customHeight="1" x14ac:dyDescent="0.25">
      <c r="A5" s="1" t="s">
        <v>211</v>
      </c>
      <c r="B5" s="1">
        <v>500</v>
      </c>
      <c r="C5" s="1">
        <v>7.7710000000000001E-3</v>
      </c>
      <c r="D5" s="1"/>
      <c r="G5" s="1" t="s">
        <v>211</v>
      </c>
      <c r="H5" s="1">
        <v>0.22539999999999999</v>
      </c>
      <c r="I5" s="1">
        <v>0.22040000000000001</v>
      </c>
      <c r="J5" s="1"/>
      <c r="K5" s="1">
        <v>0.26079999999999998</v>
      </c>
      <c r="L5" s="1">
        <v>0.2666</v>
      </c>
      <c r="M5" s="1"/>
      <c r="N5" s="1">
        <v>0.29260000000000003</v>
      </c>
      <c r="O5" s="1">
        <v>0.29320000000000002</v>
      </c>
    </row>
    <row r="6" spans="1:15" ht="25.2" customHeight="1" x14ac:dyDescent="0.25">
      <c r="A6" s="1" t="s">
        <v>181</v>
      </c>
      <c r="B6" s="1">
        <v>533</v>
      </c>
      <c r="C6" s="1">
        <v>6.0999999999999997E-4</v>
      </c>
      <c r="D6" s="1"/>
      <c r="G6" s="1" t="s">
        <v>181</v>
      </c>
      <c r="H6" s="1">
        <v>0.26769999999999999</v>
      </c>
      <c r="I6" s="1">
        <v>0.31580000000000003</v>
      </c>
      <c r="J6" s="1"/>
      <c r="K6" s="1">
        <v>0.3049</v>
      </c>
      <c r="L6" s="1">
        <v>0.3105</v>
      </c>
      <c r="M6" s="1"/>
      <c r="N6" s="1">
        <v>0.31230000000000002</v>
      </c>
      <c r="O6" s="1">
        <v>0.31140000000000001</v>
      </c>
    </row>
    <row r="7" spans="1:15" ht="25.2" customHeight="1" x14ac:dyDescent="0.25">
      <c r="A7" s="1" t="s">
        <v>182</v>
      </c>
      <c r="B7" s="1">
        <v>1415</v>
      </c>
      <c r="C7" s="1">
        <v>5.1400000000000003E-4</v>
      </c>
      <c r="D7" s="1"/>
      <c r="G7" s="1" t="s">
        <v>182</v>
      </c>
      <c r="H7" s="1">
        <v>0.28599999999999998</v>
      </c>
      <c r="I7" s="1">
        <v>0.2591</v>
      </c>
      <c r="J7" s="1"/>
      <c r="K7" s="1">
        <v>0.30109999999999998</v>
      </c>
      <c r="L7" s="1">
        <v>0.2306</v>
      </c>
      <c r="M7" s="1"/>
      <c r="N7" s="1">
        <v>0.25019999999999998</v>
      </c>
      <c r="O7" s="1">
        <v>0.25640000000000002</v>
      </c>
    </row>
    <row r="8" spans="1:15" ht="25.2" customHeight="1" x14ac:dyDescent="0.25">
      <c r="A8" s="1" t="s">
        <v>3442</v>
      </c>
      <c r="B8" s="1">
        <v>500</v>
      </c>
      <c r="C8" s="1">
        <v>7.7580000000000001E-3</v>
      </c>
      <c r="D8" s="1"/>
      <c r="G8" s="1" t="s">
        <v>3442</v>
      </c>
      <c r="H8" s="1">
        <v>0.19139999999999999</v>
      </c>
      <c r="I8" s="1">
        <v>0.20349999999999999</v>
      </c>
      <c r="J8" s="1"/>
      <c r="K8" s="1">
        <v>0.19439999999999999</v>
      </c>
      <c r="L8" s="1">
        <v>0.17330000000000001</v>
      </c>
      <c r="M8" s="1"/>
      <c r="N8" s="1">
        <v>0.21790000000000001</v>
      </c>
      <c r="O8" s="1">
        <v>0.21440000000000001</v>
      </c>
    </row>
    <row r="9" spans="1:15" ht="25.2" customHeight="1" x14ac:dyDescent="0.25">
      <c r="A9" s="1" t="s">
        <v>3443</v>
      </c>
      <c r="B9" s="1">
        <v>1342</v>
      </c>
      <c r="C9" s="1">
        <v>5.0600000000000005E-4</v>
      </c>
      <c r="D9" s="1"/>
      <c r="G9" s="1" t="s">
        <v>3443</v>
      </c>
      <c r="H9" s="1">
        <v>0.44490000000000002</v>
      </c>
      <c r="I9" s="1">
        <v>0.39689999999999998</v>
      </c>
      <c r="J9" s="1"/>
      <c r="K9" s="1">
        <v>0.40089999999999998</v>
      </c>
      <c r="L9" s="1">
        <v>0.374</v>
      </c>
      <c r="M9" s="1"/>
      <c r="N9" s="1">
        <v>0.37380000000000002</v>
      </c>
      <c r="O9" s="1">
        <v>0.38850000000000001</v>
      </c>
    </row>
    <row r="10" spans="1:15" ht="25.2" customHeight="1" x14ac:dyDescent="0.25">
      <c r="G10" s="1" t="s">
        <v>3537</v>
      </c>
      <c r="H10" s="1">
        <v>0.26369999999999999</v>
      </c>
      <c r="I10" s="1">
        <v>0.25829999999999997</v>
      </c>
      <c r="J10" s="1"/>
      <c r="K10" s="1">
        <v>0.28060000000000002</v>
      </c>
      <c r="L10" s="1">
        <v>0.26440000000000002</v>
      </c>
      <c r="M10" s="1"/>
      <c r="N10" s="1">
        <v>0.27489999999999998</v>
      </c>
      <c r="O10" s="1">
        <v>0.27679999999999999</v>
      </c>
    </row>
    <row r="15" spans="1:15" x14ac:dyDescent="0.25">
      <c r="G15" t="s">
        <v>40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520FA-7FBB-4577-8B2C-CD6D4A596079}">
  <dimension ref="A1:M1860"/>
  <sheetViews>
    <sheetView zoomScale="85" zoomScaleNormal="85" workbookViewId="0">
      <selection activeCell="J2" sqref="J2:M10"/>
    </sheetView>
  </sheetViews>
  <sheetFormatPr defaultRowHeight="13.8" x14ac:dyDescent="0.25"/>
  <cols>
    <col min="1" max="9" width="27.33203125" customWidth="1"/>
    <col min="10" max="13" width="12.6640625" customWidth="1"/>
  </cols>
  <sheetData>
    <row r="1" spans="1:13" x14ac:dyDescent="0.25">
      <c r="A1" t="s">
        <v>2536</v>
      </c>
      <c r="B1" t="s">
        <v>2536</v>
      </c>
      <c r="C1" t="s">
        <v>2536</v>
      </c>
      <c r="D1" t="s">
        <v>2536</v>
      </c>
      <c r="E1" t="s">
        <v>2536</v>
      </c>
      <c r="F1" t="s">
        <v>2537</v>
      </c>
      <c r="G1" t="s">
        <v>2537</v>
      </c>
      <c r="H1" t="s">
        <v>2537</v>
      </c>
    </row>
    <row r="2" spans="1:13" x14ac:dyDescent="0.25">
      <c r="A2" t="s">
        <v>2537</v>
      </c>
      <c r="B2" t="s">
        <v>2537</v>
      </c>
      <c r="C2" t="s">
        <v>2537</v>
      </c>
      <c r="D2" t="s">
        <v>2537</v>
      </c>
      <c r="E2" t="s">
        <v>2537</v>
      </c>
      <c r="F2" t="s">
        <v>2173</v>
      </c>
      <c r="G2" t="s">
        <v>2173</v>
      </c>
      <c r="H2" t="s">
        <v>2538</v>
      </c>
      <c r="J2" s="38" t="s">
        <v>40</v>
      </c>
      <c r="K2" s="36" t="s">
        <v>2172</v>
      </c>
      <c r="L2" s="36" t="s">
        <v>2172</v>
      </c>
      <c r="M2" s="38" t="s">
        <v>229</v>
      </c>
    </row>
    <row r="3" spans="1:13" x14ac:dyDescent="0.25">
      <c r="A3" t="s">
        <v>2538</v>
      </c>
      <c r="B3" t="s">
        <v>2538</v>
      </c>
      <c r="C3" t="s">
        <v>2538</v>
      </c>
      <c r="D3" t="s">
        <v>2538</v>
      </c>
      <c r="E3" t="s">
        <v>2538</v>
      </c>
      <c r="F3" t="s">
        <v>2174</v>
      </c>
      <c r="G3" t="s">
        <v>2174</v>
      </c>
      <c r="H3" t="s">
        <v>2173</v>
      </c>
      <c r="J3" s="38" t="s">
        <v>179</v>
      </c>
      <c r="K3" s="38">
        <v>243</v>
      </c>
      <c r="L3" s="36">
        <v>1837</v>
      </c>
      <c r="M3" s="35">
        <f>K3/L3</f>
        <v>0.13228089275993468</v>
      </c>
    </row>
    <row r="4" spans="1:13" x14ac:dyDescent="0.25">
      <c r="A4" t="s">
        <v>2539</v>
      </c>
      <c r="B4" t="s">
        <v>2539</v>
      </c>
      <c r="C4" t="s">
        <v>2539</v>
      </c>
      <c r="D4" t="s">
        <v>2539</v>
      </c>
      <c r="E4" t="s">
        <v>2173</v>
      </c>
      <c r="F4" t="s">
        <v>2175</v>
      </c>
      <c r="G4" t="s">
        <v>2175</v>
      </c>
      <c r="H4" t="s">
        <v>2174</v>
      </c>
      <c r="J4" s="38" t="s">
        <v>180</v>
      </c>
      <c r="K4" s="38">
        <v>238</v>
      </c>
      <c r="L4" s="36">
        <v>1714</v>
      </c>
      <c r="M4" s="35">
        <f t="shared" ref="M4:M10" si="0">K4/L4</f>
        <v>0.13885647607934656</v>
      </c>
    </row>
    <row r="5" spans="1:13" x14ac:dyDescent="0.25">
      <c r="A5" t="s">
        <v>2173</v>
      </c>
      <c r="B5" t="s">
        <v>2173</v>
      </c>
      <c r="C5" t="s">
        <v>2173</v>
      </c>
      <c r="D5" t="s">
        <v>2173</v>
      </c>
      <c r="E5" t="s">
        <v>2540</v>
      </c>
      <c r="F5" t="s">
        <v>2176</v>
      </c>
      <c r="G5" t="s">
        <v>2176</v>
      </c>
      <c r="H5" t="s">
        <v>2175</v>
      </c>
      <c r="J5" s="38" t="s">
        <v>210</v>
      </c>
      <c r="K5" s="38">
        <v>238</v>
      </c>
      <c r="L5" s="36">
        <v>1860</v>
      </c>
      <c r="M5" s="35">
        <f t="shared" si="0"/>
        <v>0.12795698924731183</v>
      </c>
    </row>
    <row r="6" spans="1:13" x14ac:dyDescent="0.25">
      <c r="A6" t="s">
        <v>2540</v>
      </c>
      <c r="B6" t="s">
        <v>2540</v>
      </c>
      <c r="C6" t="s">
        <v>2540</v>
      </c>
      <c r="D6" t="s">
        <v>2540</v>
      </c>
      <c r="E6" t="s">
        <v>2174</v>
      </c>
      <c r="F6" t="s">
        <v>2177</v>
      </c>
      <c r="G6" t="s">
        <v>2177</v>
      </c>
      <c r="H6" t="s">
        <v>2176</v>
      </c>
      <c r="J6" s="38" t="s">
        <v>211</v>
      </c>
      <c r="K6" s="38">
        <v>224</v>
      </c>
      <c r="L6" s="36">
        <v>1561</v>
      </c>
      <c r="M6" s="35">
        <f t="shared" si="0"/>
        <v>0.14349775784753363</v>
      </c>
    </row>
    <row r="7" spans="1:13" x14ac:dyDescent="0.25">
      <c r="A7" t="s">
        <v>2174</v>
      </c>
      <c r="B7" t="s">
        <v>2174</v>
      </c>
      <c r="C7" t="s">
        <v>2174</v>
      </c>
      <c r="D7" t="s">
        <v>2174</v>
      </c>
      <c r="E7" t="s">
        <v>2175</v>
      </c>
      <c r="F7" t="s">
        <v>2541</v>
      </c>
      <c r="G7" t="s">
        <v>2541</v>
      </c>
      <c r="H7" t="s">
        <v>2177</v>
      </c>
      <c r="J7" s="38" t="s">
        <v>181</v>
      </c>
      <c r="K7" s="38">
        <v>217</v>
      </c>
      <c r="L7" s="36">
        <v>1527</v>
      </c>
      <c r="M7" s="35">
        <f t="shared" si="0"/>
        <v>0.14210870988867061</v>
      </c>
    </row>
    <row r="8" spans="1:13" x14ac:dyDescent="0.25">
      <c r="A8" t="s">
        <v>2175</v>
      </c>
      <c r="B8" t="s">
        <v>2175</v>
      </c>
      <c r="C8" t="s">
        <v>2175</v>
      </c>
      <c r="D8" t="s">
        <v>2175</v>
      </c>
      <c r="E8" t="s">
        <v>2176</v>
      </c>
      <c r="F8" t="s">
        <v>2178</v>
      </c>
      <c r="G8" t="s">
        <v>2178</v>
      </c>
      <c r="H8" t="s">
        <v>2541</v>
      </c>
      <c r="J8" s="38" t="s">
        <v>182</v>
      </c>
      <c r="K8" s="38">
        <v>156</v>
      </c>
      <c r="L8" s="36">
        <v>1319</v>
      </c>
      <c r="M8" s="35">
        <f t="shared" si="0"/>
        <v>0.11827141774071266</v>
      </c>
    </row>
    <row r="9" spans="1:13" x14ac:dyDescent="0.25">
      <c r="A9" t="s">
        <v>2176</v>
      </c>
      <c r="B9" t="s">
        <v>2176</v>
      </c>
      <c r="C9" t="s">
        <v>2176</v>
      </c>
      <c r="D9" t="s">
        <v>2176</v>
      </c>
      <c r="E9" t="s">
        <v>2177</v>
      </c>
      <c r="F9" t="s">
        <v>2543</v>
      </c>
      <c r="G9" t="s">
        <v>2543</v>
      </c>
      <c r="H9" t="s">
        <v>2178</v>
      </c>
      <c r="J9" s="38" t="s">
        <v>183</v>
      </c>
      <c r="K9" s="38">
        <v>149</v>
      </c>
      <c r="L9" s="36">
        <v>1332</v>
      </c>
      <c r="M9" s="35">
        <f t="shared" si="0"/>
        <v>0.11186186186186187</v>
      </c>
    </row>
    <row r="10" spans="1:13" x14ac:dyDescent="0.25">
      <c r="A10" t="s">
        <v>2177</v>
      </c>
      <c r="B10" t="s">
        <v>2177</v>
      </c>
      <c r="C10" t="s">
        <v>2177</v>
      </c>
      <c r="D10" t="s">
        <v>2177</v>
      </c>
      <c r="E10" t="s">
        <v>2541</v>
      </c>
      <c r="F10" t="s">
        <v>2179</v>
      </c>
      <c r="G10" t="s">
        <v>2179</v>
      </c>
      <c r="H10" t="s">
        <v>2543</v>
      </c>
      <c r="J10" s="38" t="s">
        <v>184</v>
      </c>
      <c r="K10" s="38">
        <v>188</v>
      </c>
      <c r="L10" s="36">
        <v>1434</v>
      </c>
      <c r="M10" s="35">
        <f t="shared" si="0"/>
        <v>0.13110181311018132</v>
      </c>
    </row>
    <row r="11" spans="1:13" x14ac:dyDescent="0.25">
      <c r="A11" t="s">
        <v>2541</v>
      </c>
      <c r="B11" t="s">
        <v>2541</v>
      </c>
      <c r="C11" t="s">
        <v>2541</v>
      </c>
      <c r="D11" t="s">
        <v>2541</v>
      </c>
      <c r="E11" t="s">
        <v>2178</v>
      </c>
      <c r="F11" t="s">
        <v>2181</v>
      </c>
      <c r="G11" t="s">
        <v>2181</v>
      </c>
      <c r="H11" t="s">
        <v>2179</v>
      </c>
      <c r="J11" s="1"/>
      <c r="K11" s="1"/>
      <c r="L11" s="1"/>
      <c r="M11" s="1"/>
    </row>
    <row r="12" spans="1:13" x14ac:dyDescent="0.25">
      <c r="A12" t="s">
        <v>2542</v>
      </c>
      <c r="B12" t="s">
        <v>2542</v>
      </c>
      <c r="C12" t="s">
        <v>2178</v>
      </c>
      <c r="D12" t="s">
        <v>2178</v>
      </c>
      <c r="E12" t="s">
        <v>2543</v>
      </c>
      <c r="F12" t="s">
        <v>2182</v>
      </c>
      <c r="G12" t="s">
        <v>2182</v>
      </c>
      <c r="H12" t="s">
        <v>2181</v>
      </c>
    </row>
    <row r="13" spans="1:13" x14ac:dyDescent="0.25">
      <c r="A13" t="s">
        <v>2178</v>
      </c>
      <c r="B13" t="s">
        <v>2178</v>
      </c>
      <c r="C13" t="s">
        <v>2543</v>
      </c>
      <c r="D13" t="s">
        <v>2543</v>
      </c>
      <c r="E13" t="s">
        <v>2179</v>
      </c>
      <c r="F13" t="s">
        <v>2545</v>
      </c>
      <c r="G13" t="s">
        <v>2545</v>
      </c>
      <c r="H13" t="s">
        <v>2182</v>
      </c>
    </row>
    <row r="14" spans="1:13" x14ac:dyDescent="0.25">
      <c r="A14" t="s">
        <v>2543</v>
      </c>
      <c r="B14" t="s">
        <v>2543</v>
      </c>
      <c r="C14" t="s">
        <v>2179</v>
      </c>
      <c r="D14" t="s">
        <v>2179</v>
      </c>
      <c r="E14" t="s">
        <v>2181</v>
      </c>
      <c r="F14" t="s">
        <v>2183</v>
      </c>
      <c r="G14" t="s">
        <v>2183</v>
      </c>
      <c r="H14" t="s">
        <v>2544</v>
      </c>
    </row>
    <row r="15" spans="1:13" x14ac:dyDescent="0.25">
      <c r="A15" t="s">
        <v>2179</v>
      </c>
      <c r="B15" t="s">
        <v>2179</v>
      </c>
      <c r="C15" t="s">
        <v>2180</v>
      </c>
      <c r="D15" t="s">
        <v>2181</v>
      </c>
      <c r="E15" t="s">
        <v>2182</v>
      </c>
      <c r="F15" t="s">
        <v>2184</v>
      </c>
      <c r="G15" t="s">
        <v>2184</v>
      </c>
      <c r="H15" t="s">
        <v>2545</v>
      </c>
    </row>
    <row r="16" spans="1:13" x14ac:dyDescent="0.25">
      <c r="A16" t="s">
        <v>2180</v>
      </c>
      <c r="B16" t="s">
        <v>2180</v>
      </c>
      <c r="C16" t="s">
        <v>2181</v>
      </c>
      <c r="D16" t="s">
        <v>2182</v>
      </c>
      <c r="E16" t="s">
        <v>2544</v>
      </c>
      <c r="F16" t="s">
        <v>2546</v>
      </c>
      <c r="G16" t="s">
        <v>2546</v>
      </c>
      <c r="H16" t="s">
        <v>2183</v>
      </c>
    </row>
    <row r="17" spans="1:8" x14ac:dyDescent="0.25">
      <c r="A17" t="s">
        <v>2181</v>
      </c>
      <c r="B17" t="s">
        <v>2181</v>
      </c>
      <c r="C17" t="s">
        <v>2182</v>
      </c>
      <c r="D17" t="s">
        <v>2544</v>
      </c>
      <c r="E17" t="s">
        <v>2545</v>
      </c>
      <c r="F17" t="s">
        <v>2186</v>
      </c>
      <c r="G17" t="s">
        <v>2185</v>
      </c>
      <c r="H17" t="s">
        <v>2184</v>
      </c>
    </row>
    <row r="18" spans="1:8" x14ac:dyDescent="0.25">
      <c r="A18" t="s">
        <v>2182</v>
      </c>
      <c r="B18" t="s">
        <v>2182</v>
      </c>
      <c r="C18" t="s">
        <v>2544</v>
      </c>
      <c r="D18" t="s">
        <v>2545</v>
      </c>
      <c r="E18" t="s">
        <v>2183</v>
      </c>
      <c r="F18" t="s">
        <v>2187</v>
      </c>
      <c r="G18" t="s">
        <v>2186</v>
      </c>
      <c r="H18" t="s">
        <v>2546</v>
      </c>
    </row>
    <row r="19" spans="1:8" x14ac:dyDescent="0.25">
      <c r="A19" t="s">
        <v>2544</v>
      </c>
      <c r="B19" t="s">
        <v>2544</v>
      </c>
      <c r="C19" t="s">
        <v>2545</v>
      </c>
      <c r="D19" t="s">
        <v>2183</v>
      </c>
      <c r="E19" t="s">
        <v>2184</v>
      </c>
      <c r="F19" t="s">
        <v>2188</v>
      </c>
      <c r="G19" t="s">
        <v>2550</v>
      </c>
      <c r="H19" t="s">
        <v>2549</v>
      </c>
    </row>
    <row r="20" spans="1:8" x14ac:dyDescent="0.25">
      <c r="A20" t="s">
        <v>2545</v>
      </c>
      <c r="B20" t="s">
        <v>2545</v>
      </c>
      <c r="C20" t="s">
        <v>2183</v>
      </c>
      <c r="D20" t="s">
        <v>2184</v>
      </c>
      <c r="E20" t="s">
        <v>2546</v>
      </c>
      <c r="F20" t="s">
        <v>2551</v>
      </c>
      <c r="G20" t="s">
        <v>2187</v>
      </c>
      <c r="H20" t="s">
        <v>2186</v>
      </c>
    </row>
    <row r="21" spans="1:8" x14ac:dyDescent="0.25">
      <c r="A21" t="s">
        <v>2183</v>
      </c>
      <c r="B21" t="s">
        <v>2183</v>
      </c>
      <c r="C21" t="s">
        <v>2184</v>
      </c>
      <c r="D21" t="s">
        <v>2546</v>
      </c>
      <c r="E21" t="s">
        <v>2547</v>
      </c>
      <c r="F21" t="s">
        <v>2189</v>
      </c>
      <c r="G21" t="s">
        <v>2188</v>
      </c>
      <c r="H21" t="s">
        <v>2550</v>
      </c>
    </row>
    <row r="22" spans="1:8" x14ac:dyDescent="0.25">
      <c r="A22" t="s">
        <v>2184</v>
      </c>
      <c r="B22" t="s">
        <v>2184</v>
      </c>
      <c r="C22" t="s">
        <v>2546</v>
      </c>
      <c r="D22" t="s">
        <v>2547</v>
      </c>
      <c r="E22" t="s">
        <v>2549</v>
      </c>
      <c r="F22" t="s">
        <v>2190</v>
      </c>
      <c r="G22" t="s">
        <v>2189</v>
      </c>
      <c r="H22" t="s">
        <v>2187</v>
      </c>
    </row>
    <row r="23" spans="1:8" x14ac:dyDescent="0.25">
      <c r="A23" t="s">
        <v>2546</v>
      </c>
      <c r="B23" t="s">
        <v>2546</v>
      </c>
      <c r="C23" t="s">
        <v>2547</v>
      </c>
      <c r="D23" t="s">
        <v>2186</v>
      </c>
      <c r="E23" t="s">
        <v>2186</v>
      </c>
      <c r="F23" t="s">
        <v>2191</v>
      </c>
      <c r="G23" t="s">
        <v>2190</v>
      </c>
      <c r="H23" t="s">
        <v>2188</v>
      </c>
    </row>
    <row r="24" spans="1:8" x14ac:dyDescent="0.25">
      <c r="A24" t="s">
        <v>2547</v>
      </c>
      <c r="B24" t="s">
        <v>2547</v>
      </c>
      <c r="C24" t="s">
        <v>2548</v>
      </c>
      <c r="D24" t="s">
        <v>2550</v>
      </c>
      <c r="E24" t="s">
        <v>2550</v>
      </c>
      <c r="F24" t="s">
        <v>2552</v>
      </c>
      <c r="G24" t="s">
        <v>2191</v>
      </c>
      <c r="H24" t="s">
        <v>2189</v>
      </c>
    </row>
    <row r="25" spans="1:8" x14ac:dyDescent="0.25">
      <c r="A25" t="s">
        <v>2548</v>
      </c>
      <c r="B25" t="s">
        <v>2548</v>
      </c>
      <c r="C25" t="s">
        <v>2185</v>
      </c>
      <c r="D25" t="s">
        <v>2187</v>
      </c>
      <c r="E25" t="s">
        <v>2187</v>
      </c>
      <c r="F25" t="s">
        <v>2192</v>
      </c>
      <c r="G25" t="s">
        <v>2552</v>
      </c>
      <c r="H25" t="s">
        <v>2190</v>
      </c>
    </row>
    <row r="26" spans="1:8" x14ac:dyDescent="0.25">
      <c r="A26" t="s">
        <v>2185</v>
      </c>
      <c r="B26" t="s">
        <v>2185</v>
      </c>
      <c r="C26" t="s">
        <v>2549</v>
      </c>
      <c r="D26" t="s">
        <v>2188</v>
      </c>
      <c r="E26" t="s">
        <v>2188</v>
      </c>
      <c r="F26" t="s">
        <v>2553</v>
      </c>
      <c r="G26" t="s">
        <v>2192</v>
      </c>
      <c r="H26" t="s">
        <v>2191</v>
      </c>
    </row>
    <row r="27" spans="1:8" x14ac:dyDescent="0.25">
      <c r="A27" t="s">
        <v>2549</v>
      </c>
      <c r="B27" t="s">
        <v>2549</v>
      </c>
      <c r="C27" t="s">
        <v>2186</v>
      </c>
      <c r="D27" t="s">
        <v>2551</v>
      </c>
      <c r="E27" t="s">
        <v>2551</v>
      </c>
      <c r="F27" t="s">
        <v>2193</v>
      </c>
      <c r="G27" t="s">
        <v>2553</v>
      </c>
      <c r="H27" t="s">
        <v>2552</v>
      </c>
    </row>
    <row r="28" spans="1:8" x14ac:dyDescent="0.25">
      <c r="A28" t="s">
        <v>2186</v>
      </c>
      <c r="B28" t="s">
        <v>2186</v>
      </c>
      <c r="C28" t="s">
        <v>2550</v>
      </c>
      <c r="D28" t="s">
        <v>2189</v>
      </c>
      <c r="E28" t="s">
        <v>2189</v>
      </c>
      <c r="F28" t="s">
        <v>2555</v>
      </c>
      <c r="G28" t="s">
        <v>2193</v>
      </c>
      <c r="H28" t="s">
        <v>2192</v>
      </c>
    </row>
    <row r="29" spans="1:8" x14ac:dyDescent="0.25">
      <c r="A29" t="s">
        <v>2550</v>
      </c>
      <c r="B29" t="s">
        <v>2550</v>
      </c>
      <c r="C29" t="s">
        <v>2187</v>
      </c>
      <c r="D29" t="s">
        <v>2190</v>
      </c>
      <c r="E29" t="s">
        <v>2190</v>
      </c>
      <c r="F29" t="s">
        <v>2556</v>
      </c>
      <c r="G29" t="s">
        <v>2555</v>
      </c>
      <c r="H29" t="s">
        <v>2553</v>
      </c>
    </row>
    <row r="30" spans="1:8" x14ac:dyDescent="0.25">
      <c r="A30" t="s">
        <v>2187</v>
      </c>
      <c r="B30" t="s">
        <v>2187</v>
      </c>
      <c r="C30" t="s">
        <v>2188</v>
      </c>
      <c r="D30" t="s">
        <v>2191</v>
      </c>
      <c r="E30" t="s">
        <v>2191</v>
      </c>
      <c r="F30" t="s">
        <v>2195</v>
      </c>
      <c r="G30" t="s">
        <v>2556</v>
      </c>
      <c r="H30" t="s">
        <v>2193</v>
      </c>
    </row>
    <row r="31" spans="1:8" x14ac:dyDescent="0.25">
      <c r="A31" t="s">
        <v>2188</v>
      </c>
      <c r="B31" t="s">
        <v>2188</v>
      </c>
      <c r="C31" t="s">
        <v>2551</v>
      </c>
      <c r="D31" t="s">
        <v>2552</v>
      </c>
      <c r="E31" t="s">
        <v>2552</v>
      </c>
      <c r="F31" t="s">
        <v>2196</v>
      </c>
      <c r="G31" t="s">
        <v>2195</v>
      </c>
      <c r="H31" t="s">
        <v>2554</v>
      </c>
    </row>
    <row r="32" spans="1:8" x14ac:dyDescent="0.25">
      <c r="A32" t="s">
        <v>2551</v>
      </c>
      <c r="B32" t="s">
        <v>2551</v>
      </c>
      <c r="C32" t="s">
        <v>2189</v>
      </c>
      <c r="D32" t="s">
        <v>2192</v>
      </c>
      <c r="E32" t="s">
        <v>2192</v>
      </c>
      <c r="F32" t="s">
        <v>2197</v>
      </c>
      <c r="G32" t="s">
        <v>2196</v>
      </c>
      <c r="H32" t="s">
        <v>2555</v>
      </c>
    </row>
    <row r="33" spans="1:8" x14ac:dyDescent="0.25">
      <c r="A33" t="s">
        <v>2189</v>
      </c>
      <c r="B33" t="s">
        <v>2189</v>
      </c>
      <c r="C33" t="s">
        <v>2190</v>
      </c>
      <c r="D33" t="s">
        <v>2553</v>
      </c>
      <c r="E33" t="s">
        <v>2553</v>
      </c>
      <c r="F33" t="s">
        <v>2198</v>
      </c>
      <c r="G33" t="s">
        <v>2197</v>
      </c>
      <c r="H33" t="s">
        <v>2556</v>
      </c>
    </row>
    <row r="34" spans="1:8" x14ac:dyDescent="0.25">
      <c r="A34" t="s">
        <v>2190</v>
      </c>
      <c r="B34" t="s">
        <v>2190</v>
      </c>
      <c r="C34" t="s">
        <v>2191</v>
      </c>
      <c r="D34" t="s">
        <v>2193</v>
      </c>
      <c r="E34" t="s">
        <v>2193</v>
      </c>
      <c r="F34" t="s">
        <v>2560</v>
      </c>
      <c r="G34" t="s">
        <v>2198</v>
      </c>
      <c r="H34" t="s">
        <v>2195</v>
      </c>
    </row>
    <row r="35" spans="1:8" x14ac:dyDescent="0.25">
      <c r="A35" t="s">
        <v>2191</v>
      </c>
      <c r="B35" t="s">
        <v>2191</v>
      </c>
      <c r="C35" t="s">
        <v>2552</v>
      </c>
      <c r="D35" t="s">
        <v>2555</v>
      </c>
      <c r="E35" t="s">
        <v>2554</v>
      </c>
      <c r="F35" t="s">
        <v>2199</v>
      </c>
      <c r="G35" t="s">
        <v>2560</v>
      </c>
      <c r="H35" t="s">
        <v>2196</v>
      </c>
    </row>
    <row r="36" spans="1:8" x14ac:dyDescent="0.25">
      <c r="A36" t="s">
        <v>2552</v>
      </c>
      <c r="B36" t="s">
        <v>2552</v>
      </c>
      <c r="C36" t="s">
        <v>2192</v>
      </c>
      <c r="D36" t="s">
        <v>2556</v>
      </c>
      <c r="E36" t="s">
        <v>2555</v>
      </c>
      <c r="F36" t="s">
        <v>2202</v>
      </c>
      <c r="G36" t="s">
        <v>2199</v>
      </c>
      <c r="H36" t="s">
        <v>2197</v>
      </c>
    </row>
    <row r="37" spans="1:8" x14ac:dyDescent="0.25">
      <c r="A37" t="s">
        <v>2192</v>
      </c>
      <c r="B37" t="s">
        <v>2192</v>
      </c>
      <c r="C37" t="s">
        <v>2553</v>
      </c>
      <c r="D37" t="s">
        <v>2195</v>
      </c>
      <c r="E37" t="s">
        <v>2556</v>
      </c>
      <c r="F37" t="s">
        <v>2203</v>
      </c>
      <c r="G37" t="s">
        <v>2203</v>
      </c>
      <c r="H37" t="s">
        <v>2198</v>
      </c>
    </row>
    <row r="38" spans="1:8" x14ac:dyDescent="0.25">
      <c r="A38" t="s">
        <v>2553</v>
      </c>
      <c r="B38" t="s">
        <v>2553</v>
      </c>
      <c r="C38" t="s">
        <v>2193</v>
      </c>
      <c r="D38" t="s">
        <v>2196</v>
      </c>
      <c r="E38" t="s">
        <v>2195</v>
      </c>
      <c r="F38" t="s">
        <v>2562</v>
      </c>
      <c r="G38" t="s">
        <v>2204</v>
      </c>
      <c r="H38" t="s">
        <v>2558</v>
      </c>
    </row>
    <row r="39" spans="1:8" x14ac:dyDescent="0.25">
      <c r="A39" t="s">
        <v>2193</v>
      </c>
      <c r="B39" t="s">
        <v>2193</v>
      </c>
      <c r="C39" t="s">
        <v>2194</v>
      </c>
      <c r="D39" t="s">
        <v>2197</v>
      </c>
      <c r="E39" t="s">
        <v>2196</v>
      </c>
      <c r="F39" t="s">
        <v>2204</v>
      </c>
      <c r="G39" t="s">
        <v>2205</v>
      </c>
      <c r="H39" t="s">
        <v>2560</v>
      </c>
    </row>
    <row r="40" spans="1:8" x14ac:dyDescent="0.25">
      <c r="A40" t="s">
        <v>2194</v>
      </c>
      <c r="B40" t="s">
        <v>2194</v>
      </c>
      <c r="C40" t="s">
        <v>2554</v>
      </c>
      <c r="D40" t="s">
        <v>2198</v>
      </c>
      <c r="E40" t="s">
        <v>2197</v>
      </c>
      <c r="F40" t="s">
        <v>2205</v>
      </c>
      <c r="G40" t="s">
        <v>2568</v>
      </c>
      <c r="H40" t="s">
        <v>2199</v>
      </c>
    </row>
    <row r="41" spans="1:8" x14ac:dyDescent="0.25">
      <c r="A41" t="s">
        <v>2554</v>
      </c>
      <c r="B41" t="s">
        <v>2555</v>
      </c>
      <c r="C41" t="s">
        <v>2555</v>
      </c>
      <c r="D41" t="s">
        <v>2558</v>
      </c>
      <c r="E41" t="s">
        <v>2198</v>
      </c>
      <c r="F41" t="s">
        <v>2566</v>
      </c>
      <c r="G41" t="s">
        <v>2569</v>
      </c>
      <c r="H41" t="s">
        <v>2200</v>
      </c>
    </row>
    <row r="42" spans="1:8" x14ac:dyDescent="0.25">
      <c r="A42" t="s">
        <v>2555</v>
      </c>
      <c r="B42" t="s">
        <v>2556</v>
      </c>
      <c r="C42" t="s">
        <v>2556</v>
      </c>
      <c r="D42" t="s">
        <v>2559</v>
      </c>
      <c r="E42" t="s">
        <v>2558</v>
      </c>
      <c r="F42" t="s">
        <v>2568</v>
      </c>
      <c r="G42" t="s">
        <v>2570</v>
      </c>
      <c r="H42" t="s">
        <v>2201</v>
      </c>
    </row>
    <row r="43" spans="1:8" x14ac:dyDescent="0.25">
      <c r="A43" t="s">
        <v>2556</v>
      </c>
      <c r="B43" t="s">
        <v>2195</v>
      </c>
      <c r="C43" t="s">
        <v>2195</v>
      </c>
      <c r="D43" t="s">
        <v>2560</v>
      </c>
      <c r="E43" t="s">
        <v>2560</v>
      </c>
      <c r="F43" t="s">
        <v>2569</v>
      </c>
      <c r="G43" t="s">
        <v>2572</v>
      </c>
      <c r="H43" t="s">
        <v>2202</v>
      </c>
    </row>
    <row r="44" spans="1:8" x14ac:dyDescent="0.25">
      <c r="A44" t="s">
        <v>2195</v>
      </c>
      <c r="B44" t="s">
        <v>2557</v>
      </c>
      <c r="C44" t="s">
        <v>2557</v>
      </c>
      <c r="D44" t="s">
        <v>2199</v>
      </c>
      <c r="E44" t="s">
        <v>2199</v>
      </c>
      <c r="F44" t="s">
        <v>2570</v>
      </c>
      <c r="G44" t="s">
        <v>2573</v>
      </c>
      <c r="H44" t="s">
        <v>2203</v>
      </c>
    </row>
    <row r="45" spans="1:8" x14ac:dyDescent="0.25">
      <c r="A45" t="s">
        <v>2557</v>
      </c>
      <c r="B45" t="s">
        <v>2196</v>
      </c>
      <c r="C45" t="s">
        <v>2196</v>
      </c>
      <c r="D45" t="s">
        <v>2561</v>
      </c>
      <c r="E45" t="s">
        <v>2200</v>
      </c>
      <c r="F45" t="s">
        <v>2572</v>
      </c>
      <c r="G45" t="s">
        <v>2208</v>
      </c>
      <c r="H45" t="s">
        <v>2562</v>
      </c>
    </row>
    <row r="46" spans="1:8" x14ac:dyDescent="0.25">
      <c r="A46" t="s">
        <v>2196</v>
      </c>
      <c r="B46" t="s">
        <v>2197</v>
      </c>
      <c r="C46" t="s">
        <v>2197</v>
      </c>
      <c r="D46" t="s">
        <v>2200</v>
      </c>
      <c r="E46" t="s">
        <v>2201</v>
      </c>
      <c r="F46" t="s">
        <v>2573</v>
      </c>
      <c r="G46" t="s">
        <v>2209</v>
      </c>
      <c r="H46" t="s">
        <v>2204</v>
      </c>
    </row>
    <row r="47" spans="1:8" x14ac:dyDescent="0.25">
      <c r="A47" t="s">
        <v>2197</v>
      </c>
      <c r="B47" t="s">
        <v>2198</v>
      </c>
      <c r="C47" t="s">
        <v>2198</v>
      </c>
      <c r="D47" t="s">
        <v>2201</v>
      </c>
      <c r="E47" t="s">
        <v>2202</v>
      </c>
      <c r="F47" t="s">
        <v>2207</v>
      </c>
      <c r="G47" t="s">
        <v>2210</v>
      </c>
      <c r="H47" t="s">
        <v>2205</v>
      </c>
    </row>
    <row r="48" spans="1:8" x14ac:dyDescent="0.25">
      <c r="A48" t="s">
        <v>2198</v>
      </c>
      <c r="B48" t="s">
        <v>2558</v>
      </c>
      <c r="C48" t="s">
        <v>2558</v>
      </c>
      <c r="D48" t="s">
        <v>2202</v>
      </c>
      <c r="E48" t="s">
        <v>2203</v>
      </c>
      <c r="F48" t="s">
        <v>2208</v>
      </c>
      <c r="G48" t="s">
        <v>2576</v>
      </c>
      <c r="H48" t="s">
        <v>2206</v>
      </c>
    </row>
    <row r="49" spans="1:8" x14ac:dyDescent="0.25">
      <c r="A49" t="s">
        <v>2558</v>
      </c>
      <c r="B49" t="s">
        <v>2559</v>
      </c>
      <c r="C49" t="s">
        <v>2559</v>
      </c>
      <c r="D49" t="s">
        <v>2203</v>
      </c>
      <c r="E49" t="s">
        <v>2562</v>
      </c>
      <c r="F49" t="s">
        <v>2209</v>
      </c>
      <c r="G49" t="s">
        <v>2577</v>
      </c>
      <c r="H49" t="s">
        <v>2568</v>
      </c>
    </row>
    <row r="50" spans="1:8" x14ac:dyDescent="0.25">
      <c r="A50" t="s">
        <v>2559</v>
      </c>
      <c r="B50" t="s">
        <v>2560</v>
      </c>
      <c r="C50" t="s">
        <v>2560</v>
      </c>
      <c r="D50" t="s">
        <v>2562</v>
      </c>
      <c r="E50" t="s">
        <v>2563</v>
      </c>
      <c r="F50" t="s">
        <v>2210</v>
      </c>
      <c r="G50" t="s">
        <v>2578</v>
      </c>
      <c r="H50" t="s">
        <v>2569</v>
      </c>
    </row>
    <row r="51" spans="1:8" x14ac:dyDescent="0.25">
      <c r="A51" t="s">
        <v>2560</v>
      </c>
      <c r="B51" t="s">
        <v>2199</v>
      </c>
      <c r="C51" t="s">
        <v>2199</v>
      </c>
      <c r="D51" t="s">
        <v>2563</v>
      </c>
      <c r="E51" t="s">
        <v>2565</v>
      </c>
      <c r="F51" t="s">
        <v>2576</v>
      </c>
      <c r="G51" t="s">
        <v>2579</v>
      </c>
      <c r="H51" t="s">
        <v>2570</v>
      </c>
    </row>
    <row r="52" spans="1:8" x14ac:dyDescent="0.25">
      <c r="A52" t="s">
        <v>2199</v>
      </c>
      <c r="B52" t="s">
        <v>2561</v>
      </c>
      <c r="C52" t="s">
        <v>2561</v>
      </c>
      <c r="D52" t="s">
        <v>2565</v>
      </c>
      <c r="E52" t="s">
        <v>2204</v>
      </c>
      <c r="F52" t="s">
        <v>2577</v>
      </c>
      <c r="G52" t="s">
        <v>2212</v>
      </c>
      <c r="H52" t="s">
        <v>2571</v>
      </c>
    </row>
    <row r="53" spans="1:8" x14ac:dyDescent="0.25">
      <c r="A53" t="s">
        <v>2561</v>
      </c>
      <c r="B53" t="s">
        <v>2200</v>
      </c>
      <c r="C53" t="s">
        <v>2200</v>
      </c>
      <c r="D53" t="s">
        <v>2204</v>
      </c>
      <c r="E53" t="s">
        <v>2205</v>
      </c>
      <c r="F53" t="s">
        <v>2578</v>
      </c>
      <c r="G53" t="s">
        <v>2213</v>
      </c>
      <c r="H53" t="s">
        <v>2572</v>
      </c>
    </row>
    <row r="54" spans="1:8" x14ac:dyDescent="0.25">
      <c r="A54" t="s">
        <v>2200</v>
      </c>
      <c r="B54" t="s">
        <v>2201</v>
      </c>
      <c r="C54" t="s">
        <v>2201</v>
      </c>
      <c r="D54" t="s">
        <v>2205</v>
      </c>
      <c r="E54" t="s">
        <v>2206</v>
      </c>
      <c r="F54" t="s">
        <v>2212</v>
      </c>
      <c r="G54" t="s">
        <v>2214</v>
      </c>
      <c r="H54" t="s">
        <v>2573</v>
      </c>
    </row>
    <row r="55" spans="1:8" x14ac:dyDescent="0.25">
      <c r="A55" t="s">
        <v>2201</v>
      </c>
      <c r="B55" t="s">
        <v>2202</v>
      </c>
      <c r="C55" t="s">
        <v>2202</v>
      </c>
      <c r="D55" t="s">
        <v>2206</v>
      </c>
      <c r="E55" t="s">
        <v>2566</v>
      </c>
      <c r="F55" t="s">
        <v>2213</v>
      </c>
      <c r="G55" t="s">
        <v>2583</v>
      </c>
      <c r="H55" t="s">
        <v>2207</v>
      </c>
    </row>
    <row r="56" spans="1:8" x14ac:dyDescent="0.25">
      <c r="A56" t="s">
        <v>2202</v>
      </c>
      <c r="B56" t="s">
        <v>2203</v>
      </c>
      <c r="C56" t="s">
        <v>2203</v>
      </c>
      <c r="D56" t="s">
        <v>2566</v>
      </c>
      <c r="E56" t="s">
        <v>2568</v>
      </c>
      <c r="F56" t="s">
        <v>2214</v>
      </c>
      <c r="G56" t="s">
        <v>2217</v>
      </c>
      <c r="H56" t="s">
        <v>2208</v>
      </c>
    </row>
    <row r="57" spans="1:8" x14ac:dyDescent="0.25">
      <c r="A57" t="s">
        <v>2203</v>
      </c>
      <c r="B57" t="s">
        <v>2562</v>
      </c>
      <c r="C57" t="s">
        <v>2562</v>
      </c>
      <c r="D57" t="s">
        <v>2568</v>
      </c>
      <c r="E57" t="s">
        <v>2569</v>
      </c>
      <c r="F57" t="s">
        <v>2216</v>
      </c>
      <c r="G57" t="s">
        <v>2584</v>
      </c>
      <c r="H57" t="s">
        <v>2574</v>
      </c>
    </row>
    <row r="58" spans="1:8" x14ac:dyDescent="0.25">
      <c r="A58" t="s">
        <v>2562</v>
      </c>
      <c r="B58" t="s">
        <v>2564</v>
      </c>
      <c r="C58" t="s">
        <v>2563</v>
      </c>
      <c r="D58" t="s">
        <v>2569</v>
      </c>
      <c r="E58" t="s">
        <v>2570</v>
      </c>
      <c r="F58" t="s">
        <v>2583</v>
      </c>
      <c r="G58" t="s">
        <v>2218</v>
      </c>
      <c r="H58" t="s">
        <v>2209</v>
      </c>
    </row>
    <row r="59" spans="1:8" x14ac:dyDescent="0.25">
      <c r="A59" t="s">
        <v>2563</v>
      </c>
      <c r="B59" t="s">
        <v>2565</v>
      </c>
      <c r="C59" t="s">
        <v>2564</v>
      </c>
      <c r="D59" t="s">
        <v>2570</v>
      </c>
      <c r="E59" t="s">
        <v>2571</v>
      </c>
      <c r="F59" t="s">
        <v>2217</v>
      </c>
      <c r="G59" t="s">
        <v>2219</v>
      </c>
      <c r="H59" t="s">
        <v>2210</v>
      </c>
    </row>
    <row r="60" spans="1:8" x14ac:dyDescent="0.25">
      <c r="A60" t="s">
        <v>2564</v>
      </c>
      <c r="B60" t="s">
        <v>2204</v>
      </c>
      <c r="C60" t="s">
        <v>2565</v>
      </c>
      <c r="D60" t="s">
        <v>2571</v>
      </c>
      <c r="E60" t="s">
        <v>2572</v>
      </c>
      <c r="F60" t="s">
        <v>2584</v>
      </c>
      <c r="G60" t="s">
        <v>2220</v>
      </c>
      <c r="H60" t="s">
        <v>2577</v>
      </c>
    </row>
    <row r="61" spans="1:8" x14ac:dyDescent="0.25">
      <c r="A61" t="s">
        <v>2565</v>
      </c>
      <c r="B61" t="s">
        <v>2205</v>
      </c>
      <c r="C61" t="s">
        <v>2204</v>
      </c>
      <c r="D61" t="s">
        <v>2572</v>
      </c>
      <c r="E61" t="s">
        <v>2573</v>
      </c>
      <c r="F61" t="s">
        <v>2218</v>
      </c>
      <c r="G61" t="s">
        <v>2221</v>
      </c>
      <c r="H61" t="s">
        <v>2578</v>
      </c>
    </row>
    <row r="62" spans="1:8" x14ac:dyDescent="0.25">
      <c r="A62" t="s">
        <v>2204</v>
      </c>
      <c r="B62" t="s">
        <v>2206</v>
      </c>
      <c r="C62" t="s">
        <v>2205</v>
      </c>
      <c r="D62" t="s">
        <v>2573</v>
      </c>
      <c r="E62" t="s">
        <v>2207</v>
      </c>
      <c r="F62" t="s">
        <v>2219</v>
      </c>
      <c r="G62" t="s">
        <v>2589</v>
      </c>
      <c r="H62" t="s">
        <v>2579</v>
      </c>
    </row>
    <row r="63" spans="1:8" x14ac:dyDescent="0.25">
      <c r="A63" t="s">
        <v>2205</v>
      </c>
      <c r="B63" t="s">
        <v>2566</v>
      </c>
      <c r="C63" t="s">
        <v>2206</v>
      </c>
      <c r="D63" t="s">
        <v>2207</v>
      </c>
      <c r="E63" t="s">
        <v>2208</v>
      </c>
      <c r="F63" t="s">
        <v>2220</v>
      </c>
      <c r="G63" t="s">
        <v>2223</v>
      </c>
      <c r="H63" t="s">
        <v>2212</v>
      </c>
    </row>
    <row r="64" spans="1:8" x14ac:dyDescent="0.25">
      <c r="A64" t="s">
        <v>2206</v>
      </c>
      <c r="B64" t="s">
        <v>2568</v>
      </c>
      <c r="C64" t="s">
        <v>2566</v>
      </c>
      <c r="D64" t="s">
        <v>2208</v>
      </c>
      <c r="E64" t="s">
        <v>2574</v>
      </c>
      <c r="F64" t="s">
        <v>2587</v>
      </c>
      <c r="G64" t="s">
        <v>2224</v>
      </c>
      <c r="H64" t="s">
        <v>2213</v>
      </c>
    </row>
    <row r="65" spans="1:8" x14ac:dyDescent="0.25">
      <c r="A65" t="s">
        <v>2566</v>
      </c>
      <c r="B65" t="s">
        <v>2569</v>
      </c>
      <c r="C65" t="s">
        <v>2568</v>
      </c>
      <c r="D65" t="s">
        <v>2574</v>
      </c>
      <c r="E65" t="s">
        <v>2209</v>
      </c>
      <c r="F65" t="s">
        <v>2221</v>
      </c>
      <c r="G65" t="s">
        <v>2591</v>
      </c>
      <c r="H65" t="s">
        <v>2214</v>
      </c>
    </row>
    <row r="66" spans="1:8" x14ac:dyDescent="0.25">
      <c r="A66" t="s">
        <v>2567</v>
      </c>
      <c r="B66" t="s">
        <v>2570</v>
      </c>
      <c r="C66" t="s">
        <v>2569</v>
      </c>
      <c r="D66" t="s">
        <v>2209</v>
      </c>
      <c r="E66" t="s">
        <v>2210</v>
      </c>
      <c r="F66" t="s">
        <v>2589</v>
      </c>
      <c r="G66" t="s">
        <v>2225</v>
      </c>
      <c r="H66" t="s">
        <v>2580</v>
      </c>
    </row>
    <row r="67" spans="1:8" x14ac:dyDescent="0.25">
      <c r="A67" t="s">
        <v>2568</v>
      </c>
      <c r="B67" t="s">
        <v>2571</v>
      </c>
      <c r="C67" t="s">
        <v>2570</v>
      </c>
      <c r="D67" t="s">
        <v>2210</v>
      </c>
      <c r="E67" t="s">
        <v>2576</v>
      </c>
      <c r="F67" t="s">
        <v>2590</v>
      </c>
      <c r="G67" t="s">
        <v>2593</v>
      </c>
      <c r="H67" t="s">
        <v>2216</v>
      </c>
    </row>
    <row r="68" spans="1:8" x14ac:dyDescent="0.25">
      <c r="A68" t="s">
        <v>2569</v>
      </c>
      <c r="B68" t="s">
        <v>2572</v>
      </c>
      <c r="C68" t="s">
        <v>2571</v>
      </c>
      <c r="D68" t="s">
        <v>2575</v>
      </c>
      <c r="E68" t="s">
        <v>2577</v>
      </c>
      <c r="F68" t="s">
        <v>2223</v>
      </c>
      <c r="G68" t="s">
        <v>2227</v>
      </c>
      <c r="H68" t="s">
        <v>2583</v>
      </c>
    </row>
    <row r="69" spans="1:8" x14ac:dyDescent="0.25">
      <c r="A69" t="s">
        <v>2570</v>
      </c>
      <c r="B69" t="s">
        <v>2573</v>
      </c>
      <c r="C69" t="s">
        <v>2572</v>
      </c>
      <c r="D69" t="s">
        <v>2576</v>
      </c>
      <c r="E69" t="s">
        <v>2578</v>
      </c>
      <c r="F69" t="s">
        <v>2224</v>
      </c>
      <c r="G69" t="s">
        <v>2228</v>
      </c>
      <c r="H69" t="s">
        <v>2217</v>
      </c>
    </row>
    <row r="70" spans="1:8" x14ac:dyDescent="0.25">
      <c r="A70" t="s">
        <v>2571</v>
      </c>
      <c r="B70" t="s">
        <v>2207</v>
      </c>
      <c r="C70" t="s">
        <v>2573</v>
      </c>
      <c r="D70" t="s">
        <v>2577</v>
      </c>
      <c r="E70" t="s">
        <v>2211</v>
      </c>
      <c r="F70" t="s">
        <v>2591</v>
      </c>
      <c r="G70" t="s">
        <v>2230</v>
      </c>
      <c r="H70" t="s">
        <v>2584</v>
      </c>
    </row>
    <row r="71" spans="1:8" x14ac:dyDescent="0.25">
      <c r="A71" t="s">
        <v>2572</v>
      </c>
      <c r="B71" t="s">
        <v>2208</v>
      </c>
      <c r="C71" t="s">
        <v>2207</v>
      </c>
      <c r="D71" t="s">
        <v>2578</v>
      </c>
      <c r="E71" t="s">
        <v>2579</v>
      </c>
      <c r="F71" t="s">
        <v>2593</v>
      </c>
      <c r="G71" t="s">
        <v>2596</v>
      </c>
      <c r="H71" t="s">
        <v>2218</v>
      </c>
    </row>
    <row r="72" spans="1:8" x14ac:dyDescent="0.25">
      <c r="A72" t="s">
        <v>2573</v>
      </c>
      <c r="B72" t="s">
        <v>2574</v>
      </c>
      <c r="C72" t="s">
        <v>2208</v>
      </c>
      <c r="D72" t="s">
        <v>2211</v>
      </c>
      <c r="E72" t="s">
        <v>2212</v>
      </c>
      <c r="F72" t="s">
        <v>2226</v>
      </c>
      <c r="G72" t="s">
        <v>2231</v>
      </c>
      <c r="H72" t="s">
        <v>2219</v>
      </c>
    </row>
    <row r="73" spans="1:8" x14ac:dyDescent="0.25">
      <c r="A73" t="s">
        <v>2207</v>
      </c>
      <c r="B73" t="s">
        <v>2209</v>
      </c>
      <c r="C73" t="s">
        <v>2574</v>
      </c>
      <c r="D73" t="s">
        <v>2579</v>
      </c>
      <c r="E73" t="s">
        <v>2213</v>
      </c>
      <c r="F73" t="s">
        <v>2227</v>
      </c>
      <c r="G73" t="s">
        <v>2597</v>
      </c>
      <c r="H73" t="s">
        <v>2220</v>
      </c>
    </row>
    <row r="74" spans="1:8" x14ac:dyDescent="0.25">
      <c r="A74" t="s">
        <v>2208</v>
      </c>
      <c r="B74" t="s">
        <v>2210</v>
      </c>
      <c r="C74" t="s">
        <v>2209</v>
      </c>
      <c r="D74" t="s">
        <v>2212</v>
      </c>
      <c r="E74" t="s">
        <v>2214</v>
      </c>
      <c r="F74" t="s">
        <v>2228</v>
      </c>
      <c r="G74" t="s">
        <v>2599</v>
      </c>
      <c r="H74" t="s">
        <v>2221</v>
      </c>
    </row>
    <row r="75" spans="1:8" x14ac:dyDescent="0.25">
      <c r="A75" t="s">
        <v>2574</v>
      </c>
      <c r="B75" t="s">
        <v>2575</v>
      </c>
      <c r="C75" t="s">
        <v>2210</v>
      </c>
      <c r="D75" t="s">
        <v>2213</v>
      </c>
      <c r="E75" t="s">
        <v>2215</v>
      </c>
      <c r="F75" t="s">
        <v>2230</v>
      </c>
      <c r="G75" t="s">
        <v>2600</v>
      </c>
      <c r="H75" t="s">
        <v>2588</v>
      </c>
    </row>
    <row r="76" spans="1:8" x14ac:dyDescent="0.25">
      <c r="A76" t="s">
        <v>2209</v>
      </c>
      <c r="B76" t="s">
        <v>2576</v>
      </c>
      <c r="C76" t="s">
        <v>2575</v>
      </c>
      <c r="D76" t="s">
        <v>2214</v>
      </c>
      <c r="E76" t="s">
        <v>2580</v>
      </c>
      <c r="F76" t="s">
        <v>2596</v>
      </c>
      <c r="G76" t="s">
        <v>2232</v>
      </c>
      <c r="H76" t="s">
        <v>2589</v>
      </c>
    </row>
    <row r="77" spans="1:8" x14ac:dyDescent="0.25">
      <c r="A77" t="s">
        <v>2210</v>
      </c>
      <c r="B77" t="s">
        <v>2577</v>
      </c>
      <c r="C77" t="s">
        <v>2576</v>
      </c>
      <c r="D77" t="s">
        <v>2215</v>
      </c>
      <c r="E77" t="s">
        <v>2216</v>
      </c>
      <c r="F77" t="s">
        <v>2231</v>
      </c>
      <c r="G77" t="s">
        <v>2233</v>
      </c>
      <c r="H77" t="s">
        <v>2590</v>
      </c>
    </row>
    <row r="78" spans="1:8" x14ac:dyDescent="0.25">
      <c r="A78" t="s">
        <v>2575</v>
      </c>
      <c r="B78" t="s">
        <v>2578</v>
      </c>
      <c r="C78" t="s">
        <v>2577</v>
      </c>
      <c r="D78" t="s">
        <v>2580</v>
      </c>
      <c r="E78" t="s">
        <v>2582</v>
      </c>
      <c r="F78" t="s">
        <v>2597</v>
      </c>
      <c r="G78" t="s">
        <v>2235</v>
      </c>
      <c r="H78" t="s">
        <v>2223</v>
      </c>
    </row>
    <row r="79" spans="1:8" x14ac:dyDescent="0.25">
      <c r="A79" t="s">
        <v>2576</v>
      </c>
      <c r="B79" t="s">
        <v>2211</v>
      </c>
      <c r="C79" t="s">
        <v>2578</v>
      </c>
      <c r="D79" t="s">
        <v>2216</v>
      </c>
      <c r="E79" t="s">
        <v>2583</v>
      </c>
      <c r="F79" t="s">
        <v>2599</v>
      </c>
      <c r="G79" t="s">
        <v>2236</v>
      </c>
      <c r="H79" t="s">
        <v>2224</v>
      </c>
    </row>
    <row r="80" spans="1:8" x14ac:dyDescent="0.25">
      <c r="A80" t="s">
        <v>2577</v>
      </c>
      <c r="B80" t="s">
        <v>2579</v>
      </c>
      <c r="C80" t="s">
        <v>2211</v>
      </c>
      <c r="D80" t="s">
        <v>2582</v>
      </c>
      <c r="E80" t="s">
        <v>2217</v>
      </c>
      <c r="F80" t="s">
        <v>2600</v>
      </c>
      <c r="G80" t="s">
        <v>2237</v>
      </c>
      <c r="H80" t="s">
        <v>2591</v>
      </c>
    </row>
    <row r="81" spans="1:8" x14ac:dyDescent="0.25">
      <c r="A81" t="s">
        <v>2578</v>
      </c>
      <c r="B81" t="s">
        <v>2212</v>
      </c>
      <c r="C81" t="s">
        <v>2579</v>
      </c>
      <c r="D81" t="s">
        <v>2583</v>
      </c>
      <c r="E81" t="s">
        <v>2584</v>
      </c>
      <c r="F81" t="s">
        <v>2232</v>
      </c>
      <c r="G81" t="s">
        <v>2238</v>
      </c>
      <c r="H81" t="s">
        <v>2225</v>
      </c>
    </row>
    <row r="82" spans="1:8" x14ac:dyDescent="0.25">
      <c r="A82" t="s">
        <v>2211</v>
      </c>
      <c r="B82" t="s">
        <v>2213</v>
      </c>
      <c r="C82" t="s">
        <v>2212</v>
      </c>
      <c r="D82" t="s">
        <v>2217</v>
      </c>
      <c r="E82" t="s">
        <v>2218</v>
      </c>
      <c r="F82" t="s">
        <v>2233</v>
      </c>
      <c r="G82" t="s">
        <v>2605</v>
      </c>
      <c r="H82" t="s">
        <v>2593</v>
      </c>
    </row>
    <row r="83" spans="1:8" x14ac:dyDescent="0.25">
      <c r="A83" t="s">
        <v>2579</v>
      </c>
      <c r="B83" t="s">
        <v>2214</v>
      </c>
      <c r="C83" t="s">
        <v>2213</v>
      </c>
      <c r="D83" t="s">
        <v>2584</v>
      </c>
      <c r="E83" t="s">
        <v>2219</v>
      </c>
      <c r="F83" t="s">
        <v>2234</v>
      </c>
      <c r="G83" t="s">
        <v>2240</v>
      </c>
      <c r="H83" t="s">
        <v>2226</v>
      </c>
    </row>
    <row r="84" spans="1:8" x14ac:dyDescent="0.25">
      <c r="A84" t="s">
        <v>2212</v>
      </c>
      <c r="B84" t="s">
        <v>2215</v>
      </c>
      <c r="C84" t="s">
        <v>2214</v>
      </c>
      <c r="D84" t="s">
        <v>2218</v>
      </c>
      <c r="E84" t="s">
        <v>2585</v>
      </c>
      <c r="F84" t="s">
        <v>2235</v>
      </c>
      <c r="G84" t="s">
        <v>2241</v>
      </c>
      <c r="H84" t="s">
        <v>2227</v>
      </c>
    </row>
    <row r="85" spans="1:8" x14ac:dyDescent="0.25">
      <c r="A85" t="s">
        <v>2213</v>
      </c>
      <c r="B85" t="s">
        <v>2580</v>
      </c>
      <c r="C85" t="s">
        <v>2215</v>
      </c>
      <c r="D85" t="s">
        <v>2219</v>
      </c>
      <c r="E85" t="s">
        <v>2586</v>
      </c>
      <c r="F85" t="s">
        <v>2236</v>
      </c>
      <c r="G85" t="s">
        <v>2606</v>
      </c>
      <c r="H85" t="s">
        <v>2228</v>
      </c>
    </row>
    <row r="86" spans="1:8" x14ac:dyDescent="0.25">
      <c r="A86" t="s">
        <v>2214</v>
      </c>
      <c r="B86" t="s">
        <v>2581</v>
      </c>
      <c r="C86" t="s">
        <v>2580</v>
      </c>
      <c r="D86" t="s">
        <v>2585</v>
      </c>
      <c r="E86" t="s">
        <v>2220</v>
      </c>
      <c r="F86" t="s">
        <v>2237</v>
      </c>
      <c r="G86" t="s">
        <v>2242</v>
      </c>
      <c r="H86" t="s">
        <v>2595</v>
      </c>
    </row>
    <row r="87" spans="1:8" x14ac:dyDescent="0.25">
      <c r="A87" t="s">
        <v>2215</v>
      </c>
      <c r="B87" t="s">
        <v>2216</v>
      </c>
      <c r="C87" t="s">
        <v>2581</v>
      </c>
      <c r="D87" t="s">
        <v>2586</v>
      </c>
      <c r="E87" t="s">
        <v>2587</v>
      </c>
      <c r="F87" t="s">
        <v>2238</v>
      </c>
      <c r="G87" t="s">
        <v>2243</v>
      </c>
      <c r="H87" t="s">
        <v>2230</v>
      </c>
    </row>
    <row r="88" spans="1:8" x14ac:dyDescent="0.25">
      <c r="A88" t="s">
        <v>2580</v>
      </c>
      <c r="B88" t="s">
        <v>2582</v>
      </c>
      <c r="C88" t="s">
        <v>2216</v>
      </c>
      <c r="D88" t="s">
        <v>2220</v>
      </c>
      <c r="E88" t="s">
        <v>2221</v>
      </c>
      <c r="F88" t="s">
        <v>2241</v>
      </c>
      <c r="G88" t="s">
        <v>2608</v>
      </c>
      <c r="H88" t="s">
        <v>2596</v>
      </c>
    </row>
    <row r="89" spans="1:8" x14ac:dyDescent="0.25">
      <c r="A89" t="s">
        <v>2581</v>
      </c>
      <c r="B89" t="s">
        <v>2583</v>
      </c>
      <c r="C89" t="s">
        <v>2582</v>
      </c>
      <c r="D89" t="s">
        <v>2587</v>
      </c>
      <c r="E89" t="s">
        <v>2588</v>
      </c>
      <c r="F89" t="s">
        <v>2606</v>
      </c>
      <c r="G89" t="s">
        <v>2244</v>
      </c>
      <c r="H89" t="s">
        <v>2231</v>
      </c>
    </row>
    <row r="90" spans="1:8" x14ac:dyDescent="0.25">
      <c r="A90" t="s">
        <v>2216</v>
      </c>
      <c r="B90" t="s">
        <v>2217</v>
      </c>
      <c r="C90" t="s">
        <v>2583</v>
      </c>
      <c r="D90" t="s">
        <v>2221</v>
      </c>
      <c r="E90" t="s">
        <v>2589</v>
      </c>
      <c r="F90" t="s">
        <v>2242</v>
      </c>
      <c r="G90" t="s">
        <v>2245</v>
      </c>
      <c r="H90" t="s">
        <v>2597</v>
      </c>
    </row>
    <row r="91" spans="1:8" x14ac:dyDescent="0.25">
      <c r="A91" t="s">
        <v>2582</v>
      </c>
      <c r="B91" t="s">
        <v>2584</v>
      </c>
      <c r="C91" t="s">
        <v>2217</v>
      </c>
      <c r="D91" t="s">
        <v>2588</v>
      </c>
      <c r="E91" t="s">
        <v>2223</v>
      </c>
      <c r="F91" t="s">
        <v>2243</v>
      </c>
      <c r="G91" t="s">
        <v>2609</v>
      </c>
      <c r="H91" t="s">
        <v>2598</v>
      </c>
    </row>
    <row r="92" spans="1:8" x14ac:dyDescent="0.25">
      <c r="A92" t="s">
        <v>2583</v>
      </c>
      <c r="B92" t="s">
        <v>2218</v>
      </c>
      <c r="C92" t="s">
        <v>2584</v>
      </c>
      <c r="D92" t="s">
        <v>2589</v>
      </c>
      <c r="E92" t="s">
        <v>2224</v>
      </c>
      <c r="F92" t="s">
        <v>2608</v>
      </c>
      <c r="G92" t="s">
        <v>2246</v>
      </c>
      <c r="H92" t="s">
        <v>2599</v>
      </c>
    </row>
    <row r="93" spans="1:8" x14ac:dyDescent="0.25">
      <c r="A93" t="s">
        <v>2217</v>
      </c>
      <c r="B93" t="s">
        <v>2219</v>
      </c>
      <c r="C93" t="s">
        <v>2218</v>
      </c>
      <c r="D93" t="s">
        <v>2223</v>
      </c>
      <c r="E93" t="s">
        <v>2591</v>
      </c>
      <c r="F93" t="s">
        <v>2244</v>
      </c>
      <c r="G93" t="s">
        <v>2247</v>
      </c>
      <c r="H93" t="s">
        <v>2600</v>
      </c>
    </row>
    <row r="94" spans="1:8" x14ac:dyDescent="0.25">
      <c r="A94" t="s">
        <v>2584</v>
      </c>
      <c r="B94" t="s">
        <v>2585</v>
      </c>
      <c r="C94" t="s">
        <v>2219</v>
      </c>
      <c r="D94" t="s">
        <v>2224</v>
      </c>
      <c r="E94" t="s">
        <v>2225</v>
      </c>
      <c r="F94" t="s">
        <v>2245</v>
      </c>
      <c r="G94" t="s">
        <v>2613</v>
      </c>
      <c r="H94" t="s">
        <v>2232</v>
      </c>
    </row>
    <row r="95" spans="1:8" x14ac:dyDescent="0.25">
      <c r="A95" t="s">
        <v>2218</v>
      </c>
      <c r="B95" t="s">
        <v>2586</v>
      </c>
      <c r="C95" t="s">
        <v>2585</v>
      </c>
      <c r="D95" t="s">
        <v>2591</v>
      </c>
      <c r="E95" t="s">
        <v>2592</v>
      </c>
      <c r="F95" t="s">
        <v>2246</v>
      </c>
      <c r="G95" t="s">
        <v>2248</v>
      </c>
      <c r="H95" t="s">
        <v>2233</v>
      </c>
    </row>
    <row r="96" spans="1:8" x14ac:dyDescent="0.25">
      <c r="A96" t="s">
        <v>2219</v>
      </c>
      <c r="B96" t="s">
        <v>2220</v>
      </c>
      <c r="C96" t="s">
        <v>2586</v>
      </c>
      <c r="D96" t="s">
        <v>2225</v>
      </c>
      <c r="E96" t="s">
        <v>2593</v>
      </c>
      <c r="F96" t="s">
        <v>2247</v>
      </c>
      <c r="G96" t="s">
        <v>2249</v>
      </c>
      <c r="H96" t="s">
        <v>2234</v>
      </c>
    </row>
    <row r="97" spans="1:8" x14ac:dyDescent="0.25">
      <c r="A97" t="s">
        <v>2585</v>
      </c>
      <c r="B97" t="s">
        <v>2587</v>
      </c>
      <c r="C97" t="s">
        <v>2220</v>
      </c>
      <c r="D97" t="s">
        <v>2592</v>
      </c>
      <c r="E97" t="s">
        <v>2226</v>
      </c>
      <c r="F97" t="s">
        <v>2613</v>
      </c>
      <c r="G97" t="s">
        <v>2250</v>
      </c>
      <c r="H97" t="s">
        <v>2235</v>
      </c>
    </row>
    <row r="98" spans="1:8" x14ac:dyDescent="0.25">
      <c r="A98" t="s">
        <v>2586</v>
      </c>
      <c r="B98" t="s">
        <v>2221</v>
      </c>
      <c r="C98" t="s">
        <v>2587</v>
      </c>
      <c r="D98" t="s">
        <v>2593</v>
      </c>
      <c r="E98" t="s">
        <v>2227</v>
      </c>
      <c r="F98" t="s">
        <v>2248</v>
      </c>
      <c r="G98" t="s">
        <v>2251</v>
      </c>
      <c r="H98" t="s">
        <v>2236</v>
      </c>
    </row>
    <row r="99" spans="1:8" x14ac:dyDescent="0.25">
      <c r="A99" t="s">
        <v>2220</v>
      </c>
      <c r="B99" t="s">
        <v>2588</v>
      </c>
      <c r="C99" t="s">
        <v>2221</v>
      </c>
      <c r="D99" t="s">
        <v>2226</v>
      </c>
      <c r="E99" t="s">
        <v>2228</v>
      </c>
      <c r="F99" t="s">
        <v>2249</v>
      </c>
      <c r="G99" t="s">
        <v>2252</v>
      </c>
      <c r="H99" t="s">
        <v>2602</v>
      </c>
    </row>
    <row r="100" spans="1:8" x14ac:dyDescent="0.25">
      <c r="A100" t="s">
        <v>2587</v>
      </c>
      <c r="B100" t="s">
        <v>2589</v>
      </c>
      <c r="C100" t="s">
        <v>2588</v>
      </c>
      <c r="D100" t="s">
        <v>2227</v>
      </c>
      <c r="E100" t="s">
        <v>2595</v>
      </c>
      <c r="F100" t="s">
        <v>2250</v>
      </c>
      <c r="G100" t="s">
        <v>2253</v>
      </c>
      <c r="H100" t="s">
        <v>2237</v>
      </c>
    </row>
    <row r="101" spans="1:8" x14ac:dyDescent="0.25">
      <c r="A101" t="s">
        <v>2221</v>
      </c>
      <c r="B101" t="s">
        <v>2590</v>
      </c>
      <c r="C101" t="s">
        <v>2589</v>
      </c>
      <c r="D101" t="s">
        <v>2228</v>
      </c>
      <c r="E101" t="s">
        <v>2230</v>
      </c>
      <c r="F101" t="s">
        <v>2615</v>
      </c>
      <c r="G101" t="s">
        <v>2255</v>
      </c>
      <c r="H101" t="s">
        <v>2238</v>
      </c>
    </row>
    <row r="102" spans="1:8" x14ac:dyDescent="0.25">
      <c r="A102" t="s">
        <v>2588</v>
      </c>
      <c r="B102" t="s">
        <v>2222</v>
      </c>
      <c r="C102" t="s">
        <v>2590</v>
      </c>
      <c r="D102" t="s">
        <v>2595</v>
      </c>
      <c r="E102" t="s">
        <v>2596</v>
      </c>
      <c r="F102" t="s">
        <v>2252</v>
      </c>
      <c r="G102" t="s">
        <v>2256</v>
      </c>
      <c r="H102" t="s">
        <v>2605</v>
      </c>
    </row>
    <row r="103" spans="1:8" x14ac:dyDescent="0.25">
      <c r="A103" t="s">
        <v>2589</v>
      </c>
      <c r="B103" t="s">
        <v>2223</v>
      </c>
      <c r="C103" t="s">
        <v>2222</v>
      </c>
      <c r="D103" t="s">
        <v>2229</v>
      </c>
      <c r="E103" t="s">
        <v>2231</v>
      </c>
      <c r="F103" t="s">
        <v>2253</v>
      </c>
      <c r="G103" t="s">
        <v>2257</v>
      </c>
      <c r="H103" t="s">
        <v>2239</v>
      </c>
    </row>
    <row r="104" spans="1:8" x14ac:dyDescent="0.25">
      <c r="A104" t="s">
        <v>2590</v>
      </c>
      <c r="B104" t="s">
        <v>2224</v>
      </c>
      <c r="C104" t="s">
        <v>2223</v>
      </c>
      <c r="D104" t="s">
        <v>2230</v>
      </c>
      <c r="E104" t="s">
        <v>2597</v>
      </c>
      <c r="F104" t="s">
        <v>2254</v>
      </c>
      <c r="G104" t="s">
        <v>2258</v>
      </c>
      <c r="H104" t="s">
        <v>2241</v>
      </c>
    </row>
    <row r="105" spans="1:8" x14ac:dyDescent="0.25">
      <c r="A105" t="s">
        <v>2222</v>
      </c>
      <c r="B105" t="s">
        <v>2591</v>
      </c>
      <c r="C105" t="s">
        <v>2224</v>
      </c>
      <c r="D105" t="s">
        <v>2596</v>
      </c>
      <c r="E105" t="s">
        <v>2598</v>
      </c>
      <c r="F105" t="s">
        <v>2255</v>
      </c>
      <c r="G105" t="s">
        <v>2259</v>
      </c>
      <c r="H105" t="s">
        <v>2606</v>
      </c>
    </row>
    <row r="106" spans="1:8" x14ac:dyDescent="0.25">
      <c r="A106" t="s">
        <v>2223</v>
      </c>
      <c r="B106" t="s">
        <v>2225</v>
      </c>
      <c r="C106" t="s">
        <v>2591</v>
      </c>
      <c r="D106" t="s">
        <v>2231</v>
      </c>
      <c r="E106" t="s">
        <v>2599</v>
      </c>
      <c r="F106" t="s">
        <v>2256</v>
      </c>
      <c r="G106" t="s">
        <v>2621</v>
      </c>
      <c r="H106" t="s">
        <v>2242</v>
      </c>
    </row>
    <row r="107" spans="1:8" x14ac:dyDescent="0.25">
      <c r="A107" t="s">
        <v>2224</v>
      </c>
      <c r="B107" t="s">
        <v>2592</v>
      </c>
      <c r="C107" t="s">
        <v>2225</v>
      </c>
      <c r="D107" t="s">
        <v>2597</v>
      </c>
      <c r="E107" t="s">
        <v>2600</v>
      </c>
      <c r="F107" t="s">
        <v>2257</v>
      </c>
      <c r="G107" t="s">
        <v>2623</v>
      </c>
      <c r="H107" t="s">
        <v>2243</v>
      </c>
    </row>
    <row r="108" spans="1:8" x14ac:dyDescent="0.25">
      <c r="A108" t="s">
        <v>2591</v>
      </c>
      <c r="B108" t="s">
        <v>2593</v>
      </c>
      <c r="C108" t="s">
        <v>2592</v>
      </c>
      <c r="D108" t="s">
        <v>2598</v>
      </c>
      <c r="E108" t="s">
        <v>2232</v>
      </c>
      <c r="F108" t="s">
        <v>2258</v>
      </c>
      <c r="G108" t="s">
        <v>2624</v>
      </c>
      <c r="H108" t="s">
        <v>2607</v>
      </c>
    </row>
    <row r="109" spans="1:8" x14ac:dyDescent="0.25">
      <c r="A109" t="s">
        <v>2225</v>
      </c>
      <c r="B109" t="s">
        <v>2226</v>
      </c>
      <c r="C109" t="s">
        <v>2593</v>
      </c>
      <c r="D109" t="s">
        <v>2599</v>
      </c>
      <c r="E109" t="s">
        <v>2233</v>
      </c>
      <c r="F109" t="s">
        <v>2259</v>
      </c>
      <c r="G109" t="s">
        <v>2261</v>
      </c>
      <c r="H109" t="s">
        <v>2608</v>
      </c>
    </row>
    <row r="110" spans="1:8" x14ac:dyDescent="0.25">
      <c r="A110" t="s">
        <v>2592</v>
      </c>
      <c r="B110" t="s">
        <v>2227</v>
      </c>
      <c r="C110" t="s">
        <v>2226</v>
      </c>
      <c r="D110" t="s">
        <v>2600</v>
      </c>
      <c r="E110" t="s">
        <v>2601</v>
      </c>
      <c r="F110" t="s">
        <v>2621</v>
      </c>
      <c r="G110" t="s">
        <v>2262</v>
      </c>
      <c r="H110" t="s">
        <v>2244</v>
      </c>
    </row>
    <row r="111" spans="1:8" x14ac:dyDescent="0.25">
      <c r="A111" t="s">
        <v>2593</v>
      </c>
      <c r="B111" t="s">
        <v>2228</v>
      </c>
      <c r="C111" t="s">
        <v>2227</v>
      </c>
      <c r="D111" t="s">
        <v>2232</v>
      </c>
      <c r="E111" t="s">
        <v>2234</v>
      </c>
      <c r="F111" t="s">
        <v>2623</v>
      </c>
      <c r="G111" t="s">
        <v>2263</v>
      </c>
      <c r="H111" t="s">
        <v>2245</v>
      </c>
    </row>
    <row r="112" spans="1:8" x14ac:dyDescent="0.25">
      <c r="A112" t="s">
        <v>2226</v>
      </c>
      <c r="B112" t="s">
        <v>2594</v>
      </c>
      <c r="C112" t="s">
        <v>2228</v>
      </c>
      <c r="D112" t="s">
        <v>2233</v>
      </c>
      <c r="E112" t="s">
        <v>2235</v>
      </c>
      <c r="F112" t="s">
        <v>2624</v>
      </c>
      <c r="G112" t="s">
        <v>2264</v>
      </c>
      <c r="H112" t="s">
        <v>2609</v>
      </c>
    </row>
    <row r="113" spans="1:8" x14ac:dyDescent="0.25">
      <c r="A113" t="s">
        <v>2227</v>
      </c>
      <c r="B113" t="s">
        <v>2595</v>
      </c>
      <c r="C113" t="s">
        <v>2594</v>
      </c>
      <c r="D113" t="s">
        <v>2601</v>
      </c>
      <c r="E113" t="s">
        <v>2236</v>
      </c>
      <c r="F113" t="s">
        <v>2626</v>
      </c>
      <c r="G113" t="s">
        <v>2265</v>
      </c>
      <c r="H113" t="s">
        <v>2611</v>
      </c>
    </row>
    <row r="114" spans="1:8" x14ac:dyDescent="0.25">
      <c r="A114" t="s">
        <v>2228</v>
      </c>
      <c r="B114" t="s">
        <v>2229</v>
      </c>
      <c r="C114" t="s">
        <v>2595</v>
      </c>
      <c r="D114" t="s">
        <v>2234</v>
      </c>
      <c r="E114" t="s">
        <v>2602</v>
      </c>
      <c r="F114" t="s">
        <v>2261</v>
      </c>
      <c r="G114" t="s">
        <v>2266</v>
      </c>
      <c r="H114" t="s">
        <v>2246</v>
      </c>
    </row>
    <row r="115" spans="1:8" x14ac:dyDescent="0.25">
      <c r="A115" t="s">
        <v>2594</v>
      </c>
      <c r="B115" t="s">
        <v>2230</v>
      </c>
      <c r="C115" t="s">
        <v>2229</v>
      </c>
      <c r="D115" t="s">
        <v>2235</v>
      </c>
      <c r="E115" t="s">
        <v>2237</v>
      </c>
      <c r="F115" t="s">
        <v>2262</v>
      </c>
      <c r="G115" t="s">
        <v>2267</v>
      </c>
      <c r="H115" t="s">
        <v>2612</v>
      </c>
    </row>
    <row r="116" spans="1:8" x14ac:dyDescent="0.25">
      <c r="A116" t="s">
        <v>2595</v>
      </c>
      <c r="B116" t="s">
        <v>2596</v>
      </c>
      <c r="C116" t="s">
        <v>2230</v>
      </c>
      <c r="D116" t="s">
        <v>2236</v>
      </c>
      <c r="E116" t="s">
        <v>2238</v>
      </c>
      <c r="F116" t="s">
        <v>2263</v>
      </c>
      <c r="G116" t="s">
        <v>2269</v>
      </c>
      <c r="H116" t="s">
        <v>2247</v>
      </c>
    </row>
    <row r="117" spans="1:8" x14ac:dyDescent="0.25">
      <c r="A117" t="s">
        <v>2229</v>
      </c>
      <c r="B117" t="s">
        <v>2231</v>
      </c>
      <c r="C117" t="s">
        <v>2596</v>
      </c>
      <c r="D117" t="s">
        <v>2602</v>
      </c>
      <c r="E117" t="s">
        <v>2604</v>
      </c>
      <c r="F117" t="s">
        <v>2264</v>
      </c>
      <c r="G117" t="s">
        <v>2628</v>
      </c>
      <c r="H117" t="s">
        <v>2613</v>
      </c>
    </row>
    <row r="118" spans="1:8" x14ac:dyDescent="0.25">
      <c r="A118" t="s">
        <v>2230</v>
      </c>
      <c r="B118" t="s">
        <v>2597</v>
      </c>
      <c r="C118" t="s">
        <v>2231</v>
      </c>
      <c r="D118" t="s">
        <v>2237</v>
      </c>
      <c r="E118" t="s">
        <v>2605</v>
      </c>
      <c r="F118" t="s">
        <v>2265</v>
      </c>
      <c r="G118" t="s">
        <v>2270</v>
      </c>
      <c r="H118" t="s">
        <v>2248</v>
      </c>
    </row>
    <row r="119" spans="1:8" x14ac:dyDescent="0.25">
      <c r="A119" t="s">
        <v>2596</v>
      </c>
      <c r="B119" t="s">
        <v>2598</v>
      </c>
      <c r="C119" t="s">
        <v>2597</v>
      </c>
      <c r="D119" t="s">
        <v>2238</v>
      </c>
      <c r="E119" t="s">
        <v>2239</v>
      </c>
      <c r="F119" t="s">
        <v>2266</v>
      </c>
      <c r="G119" t="s">
        <v>2271</v>
      </c>
      <c r="H119" t="s">
        <v>2249</v>
      </c>
    </row>
    <row r="120" spans="1:8" x14ac:dyDescent="0.25">
      <c r="A120" t="s">
        <v>2231</v>
      </c>
      <c r="B120" t="s">
        <v>2599</v>
      </c>
      <c r="C120" t="s">
        <v>2598</v>
      </c>
      <c r="D120" t="s">
        <v>2604</v>
      </c>
      <c r="E120" t="s">
        <v>2240</v>
      </c>
      <c r="F120" t="s">
        <v>2267</v>
      </c>
      <c r="G120" t="s">
        <v>2273</v>
      </c>
      <c r="H120" t="s">
        <v>2250</v>
      </c>
    </row>
    <row r="121" spans="1:8" x14ac:dyDescent="0.25">
      <c r="A121" t="s">
        <v>2597</v>
      </c>
      <c r="B121" t="s">
        <v>2600</v>
      </c>
      <c r="C121" t="s">
        <v>2599</v>
      </c>
      <c r="D121" t="s">
        <v>2605</v>
      </c>
      <c r="E121" t="s">
        <v>2241</v>
      </c>
      <c r="F121" t="s">
        <v>2269</v>
      </c>
      <c r="G121" t="s">
        <v>2630</v>
      </c>
      <c r="H121" t="s">
        <v>2614</v>
      </c>
    </row>
    <row r="122" spans="1:8" x14ac:dyDescent="0.25">
      <c r="A122" t="s">
        <v>2598</v>
      </c>
      <c r="B122" t="s">
        <v>2232</v>
      </c>
      <c r="C122" t="s">
        <v>2600</v>
      </c>
      <c r="D122" t="s">
        <v>2239</v>
      </c>
      <c r="E122" t="s">
        <v>2606</v>
      </c>
      <c r="F122" t="s">
        <v>2628</v>
      </c>
      <c r="G122" t="s">
        <v>2274</v>
      </c>
      <c r="H122" t="s">
        <v>2615</v>
      </c>
    </row>
    <row r="123" spans="1:8" x14ac:dyDescent="0.25">
      <c r="A123" t="s">
        <v>2599</v>
      </c>
      <c r="B123" t="s">
        <v>2233</v>
      </c>
      <c r="C123" t="s">
        <v>2232</v>
      </c>
      <c r="D123" t="s">
        <v>2240</v>
      </c>
      <c r="E123" t="s">
        <v>2242</v>
      </c>
      <c r="F123" t="s">
        <v>2270</v>
      </c>
      <c r="G123" t="s">
        <v>2631</v>
      </c>
      <c r="H123" t="s">
        <v>2251</v>
      </c>
    </row>
    <row r="124" spans="1:8" x14ac:dyDescent="0.25">
      <c r="A124" t="s">
        <v>2600</v>
      </c>
      <c r="B124" t="s">
        <v>2601</v>
      </c>
      <c r="C124" t="s">
        <v>2233</v>
      </c>
      <c r="D124" t="s">
        <v>2241</v>
      </c>
      <c r="E124" t="s">
        <v>2243</v>
      </c>
      <c r="F124" t="s">
        <v>2271</v>
      </c>
      <c r="G124" t="s">
        <v>2275</v>
      </c>
      <c r="H124" t="s">
        <v>2252</v>
      </c>
    </row>
    <row r="125" spans="1:8" x14ac:dyDescent="0.25">
      <c r="A125" t="s">
        <v>2232</v>
      </c>
      <c r="B125" t="s">
        <v>2234</v>
      </c>
      <c r="C125" t="s">
        <v>2601</v>
      </c>
      <c r="D125" t="s">
        <v>2606</v>
      </c>
      <c r="E125" t="s">
        <v>2607</v>
      </c>
      <c r="F125" t="s">
        <v>2273</v>
      </c>
      <c r="G125" t="s">
        <v>2632</v>
      </c>
      <c r="H125" t="s">
        <v>2616</v>
      </c>
    </row>
    <row r="126" spans="1:8" x14ac:dyDescent="0.25">
      <c r="A126" t="s">
        <v>2233</v>
      </c>
      <c r="B126" t="s">
        <v>2235</v>
      </c>
      <c r="C126" t="s">
        <v>2234</v>
      </c>
      <c r="D126" t="s">
        <v>2242</v>
      </c>
      <c r="E126" t="s">
        <v>2608</v>
      </c>
      <c r="F126" t="s">
        <v>2630</v>
      </c>
      <c r="G126" t="s">
        <v>2276</v>
      </c>
      <c r="H126" t="s">
        <v>2253</v>
      </c>
    </row>
    <row r="127" spans="1:8" x14ac:dyDescent="0.25">
      <c r="A127" t="s">
        <v>2601</v>
      </c>
      <c r="B127" t="s">
        <v>2236</v>
      </c>
      <c r="C127" t="s">
        <v>2235</v>
      </c>
      <c r="D127" t="s">
        <v>2243</v>
      </c>
      <c r="E127" t="s">
        <v>2244</v>
      </c>
      <c r="F127" t="s">
        <v>2274</v>
      </c>
      <c r="G127" t="s">
        <v>2277</v>
      </c>
      <c r="H127" t="s">
        <v>2617</v>
      </c>
    </row>
    <row r="128" spans="1:8" x14ac:dyDescent="0.25">
      <c r="A128" t="s">
        <v>2234</v>
      </c>
      <c r="B128" t="s">
        <v>2602</v>
      </c>
      <c r="C128" t="s">
        <v>2236</v>
      </c>
      <c r="D128" t="s">
        <v>2608</v>
      </c>
      <c r="E128" t="s">
        <v>2245</v>
      </c>
      <c r="F128" t="s">
        <v>2631</v>
      </c>
      <c r="G128" t="s">
        <v>2278</v>
      </c>
      <c r="H128" t="s">
        <v>2254</v>
      </c>
    </row>
    <row r="129" spans="1:8" x14ac:dyDescent="0.25">
      <c r="A129" t="s">
        <v>2235</v>
      </c>
      <c r="B129" t="s">
        <v>2237</v>
      </c>
      <c r="C129" t="s">
        <v>2602</v>
      </c>
      <c r="D129" t="s">
        <v>2244</v>
      </c>
      <c r="E129" t="s">
        <v>2609</v>
      </c>
      <c r="F129" t="s">
        <v>2275</v>
      </c>
      <c r="G129" t="s">
        <v>2279</v>
      </c>
      <c r="H129" t="s">
        <v>2255</v>
      </c>
    </row>
    <row r="130" spans="1:8" x14ac:dyDescent="0.25">
      <c r="A130" t="s">
        <v>2236</v>
      </c>
      <c r="B130" t="s">
        <v>2238</v>
      </c>
      <c r="C130" t="s">
        <v>2237</v>
      </c>
      <c r="D130" t="s">
        <v>2245</v>
      </c>
      <c r="E130" t="s">
        <v>2610</v>
      </c>
      <c r="F130" t="s">
        <v>2632</v>
      </c>
      <c r="G130" t="s">
        <v>2634</v>
      </c>
      <c r="H130" t="s">
        <v>2619</v>
      </c>
    </row>
    <row r="131" spans="1:8" x14ac:dyDescent="0.25">
      <c r="A131" t="s">
        <v>2602</v>
      </c>
      <c r="B131" t="s">
        <v>2604</v>
      </c>
      <c r="C131" t="s">
        <v>2238</v>
      </c>
      <c r="D131" t="s">
        <v>2609</v>
      </c>
      <c r="E131" t="s">
        <v>2611</v>
      </c>
      <c r="F131" t="s">
        <v>2276</v>
      </c>
      <c r="G131" t="s">
        <v>2281</v>
      </c>
      <c r="H131" t="s">
        <v>2256</v>
      </c>
    </row>
    <row r="132" spans="1:8" x14ac:dyDescent="0.25">
      <c r="A132" t="s">
        <v>2237</v>
      </c>
      <c r="B132" t="s">
        <v>2605</v>
      </c>
      <c r="C132" t="s">
        <v>2604</v>
      </c>
      <c r="D132" t="s">
        <v>2610</v>
      </c>
      <c r="E132" t="s">
        <v>2246</v>
      </c>
      <c r="F132" t="s">
        <v>2277</v>
      </c>
      <c r="G132" t="s">
        <v>2282</v>
      </c>
      <c r="H132" t="s">
        <v>2257</v>
      </c>
    </row>
    <row r="133" spans="1:8" x14ac:dyDescent="0.25">
      <c r="A133" t="s">
        <v>2603</v>
      </c>
      <c r="B133" t="s">
        <v>2239</v>
      </c>
      <c r="C133" t="s">
        <v>2605</v>
      </c>
      <c r="D133" t="s">
        <v>2611</v>
      </c>
      <c r="E133" t="s">
        <v>2612</v>
      </c>
      <c r="F133" t="s">
        <v>2278</v>
      </c>
      <c r="G133" t="s">
        <v>2283</v>
      </c>
      <c r="H133" t="s">
        <v>2258</v>
      </c>
    </row>
    <row r="134" spans="1:8" x14ac:dyDescent="0.25">
      <c r="A134" t="s">
        <v>2238</v>
      </c>
      <c r="B134" t="s">
        <v>2240</v>
      </c>
      <c r="C134" t="s">
        <v>2239</v>
      </c>
      <c r="D134" t="s">
        <v>2246</v>
      </c>
      <c r="E134" t="s">
        <v>2247</v>
      </c>
      <c r="F134" t="s">
        <v>2279</v>
      </c>
      <c r="G134" t="s">
        <v>2639</v>
      </c>
      <c r="H134" t="s">
        <v>2259</v>
      </c>
    </row>
    <row r="135" spans="1:8" x14ac:dyDescent="0.25">
      <c r="A135" t="s">
        <v>2604</v>
      </c>
      <c r="B135" t="s">
        <v>2241</v>
      </c>
      <c r="C135" t="s">
        <v>2240</v>
      </c>
      <c r="D135" t="s">
        <v>2612</v>
      </c>
      <c r="E135" t="s">
        <v>2613</v>
      </c>
      <c r="F135" t="s">
        <v>2634</v>
      </c>
      <c r="G135" t="s">
        <v>2286</v>
      </c>
      <c r="H135" t="s">
        <v>2621</v>
      </c>
    </row>
    <row r="136" spans="1:8" x14ac:dyDescent="0.25">
      <c r="A136" t="s">
        <v>2605</v>
      </c>
      <c r="B136" t="s">
        <v>2606</v>
      </c>
      <c r="C136" t="s">
        <v>2241</v>
      </c>
      <c r="D136" t="s">
        <v>2247</v>
      </c>
      <c r="E136" t="s">
        <v>2248</v>
      </c>
      <c r="F136" t="s">
        <v>2282</v>
      </c>
      <c r="G136" t="s">
        <v>2287</v>
      </c>
      <c r="H136" t="s">
        <v>2623</v>
      </c>
    </row>
    <row r="137" spans="1:8" x14ac:dyDescent="0.25">
      <c r="A137" t="s">
        <v>2239</v>
      </c>
      <c r="B137" t="s">
        <v>2242</v>
      </c>
      <c r="C137" t="s">
        <v>2606</v>
      </c>
      <c r="D137" t="s">
        <v>2613</v>
      </c>
      <c r="E137" t="s">
        <v>2249</v>
      </c>
      <c r="F137" t="s">
        <v>2284</v>
      </c>
      <c r="G137" t="s">
        <v>2644</v>
      </c>
      <c r="H137" t="s">
        <v>2624</v>
      </c>
    </row>
    <row r="138" spans="1:8" x14ac:dyDescent="0.25">
      <c r="A138" t="s">
        <v>2240</v>
      </c>
      <c r="B138" t="s">
        <v>2243</v>
      </c>
      <c r="C138" t="s">
        <v>2242</v>
      </c>
      <c r="D138" t="s">
        <v>2248</v>
      </c>
      <c r="E138" t="s">
        <v>2250</v>
      </c>
      <c r="F138" t="s">
        <v>2639</v>
      </c>
      <c r="G138" t="s">
        <v>2288</v>
      </c>
      <c r="H138" t="s">
        <v>2625</v>
      </c>
    </row>
    <row r="139" spans="1:8" x14ac:dyDescent="0.25">
      <c r="A139" t="s">
        <v>2241</v>
      </c>
      <c r="B139" t="s">
        <v>2607</v>
      </c>
      <c r="C139" t="s">
        <v>2243</v>
      </c>
      <c r="D139" t="s">
        <v>2249</v>
      </c>
      <c r="E139" t="s">
        <v>2614</v>
      </c>
      <c r="F139" t="s">
        <v>2285</v>
      </c>
      <c r="G139" t="s">
        <v>2289</v>
      </c>
      <c r="H139" t="s">
        <v>2626</v>
      </c>
    </row>
    <row r="140" spans="1:8" x14ac:dyDescent="0.25">
      <c r="A140" t="s">
        <v>2606</v>
      </c>
      <c r="B140" t="s">
        <v>2608</v>
      </c>
      <c r="C140" t="s">
        <v>2608</v>
      </c>
      <c r="D140" t="s">
        <v>2250</v>
      </c>
      <c r="E140" t="s">
        <v>2615</v>
      </c>
      <c r="F140" t="s">
        <v>2286</v>
      </c>
      <c r="G140" t="s">
        <v>2290</v>
      </c>
      <c r="H140" t="s">
        <v>2261</v>
      </c>
    </row>
    <row r="141" spans="1:8" x14ac:dyDescent="0.25">
      <c r="A141" t="s">
        <v>2242</v>
      </c>
      <c r="B141" t="s">
        <v>2244</v>
      </c>
      <c r="C141" t="s">
        <v>2244</v>
      </c>
      <c r="D141" t="s">
        <v>2614</v>
      </c>
      <c r="E141" t="s">
        <v>2251</v>
      </c>
      <c r="F141" t="s">
        <v>2287</v>
      </c>
      <c r="G141" t="s">
        <v>2291</v>
      </c>
      <c r="H141" t="s">
        <v>2262</v>
      </c>
    </row>
    <row r="142" spans="1:8" x14ac:dyDescent="0.25">
      <c r="A142" t="s">
        <v>2243</v>
      </c>
      <c r="B142" t="s">
        <v>2245</v>
      </c>
      <c r="C142" t="s">
        <v>2245</v>
      </c>
      <c r="D142" t="s">
        <v>2615</v>
      </c>
      <c r="E142" t="s">
        <v>2252</v>
      </c>
      <c r="F142" t="s">
        <v>2640</v>
      </c>
      <c r="G142" t="s">
        <v>2646</v>
      </c>
      <c r="H142" t="s">
        <v>2263</v>
      </c>
    </row>
    <row r="143" spans="1:8" x14ac:dyDescent="0.25">
      <c r="A143" t="s">
        <v>2607</v>
      </c>
      <c r="B143" t="s">
        <v>2609</v>
      </c>
      <c r="C143" t="s">
        <v>2609</v>
      </c>
      <c r="D143" t="s">
        <v>2251</v>
      </c>
      <c r="E143" t="s">
        <v>2616</v>
      </c>
      <c r="F143" t="s">
        <v>2644</v>
      </c>
      <c r="G143" t="s">
        <v>2292</v>
      </c>
      <c r="H143" t="s">
        <v>2264</v>
      </c>
    </row>
    <row r="144" spans="1:8" x14ac:dyDescent="0.25">
      <c r="A144" t="s">
        <v>2608</v>
      </c>
      <c r="B144" t="s">
        <v>2610</v>
      </c>
      <c r="C144" t="s">
        <v>2610</v>
      </c>
      <c r="D144" t="s">
        <v>2252</v>
      </c>
      <c r="E144" t="s">
        <v>2253</v>
      </c>
      <c r="F144" t="s">
        <v>2288</v>
      </c>
      <c r="G144" t="s">
        <v>2649</v>
      </c>
      <c r="H144" t="s">
        <v>2265</v>
      </c>
    </row>
    <row r="145" spans="1:8" x14ac:dyDescent="0.25">
      <c r="A145" t="s">
        <v>2244</v>
      </c>
      <c r="B145" t="s">
        <v>2611</v>
      </c>
      <c r="C145" t="s">
        <v>2611</v>
      </c>
      <c r="D145" t="s">
        <v>2616</v>
      </c>
      <c r="E145" t="s">
        <v>2617</v>
      </c>
      <c r="F145" t="s">
        <v>2289</v>
      </c>
      <c r="G145" t="s">
        <v>2651</v>
      </c>
      <c r="H145" t="s">
        <v>2266</v>
      </c>
    </row>
    <row r="146" spans="1:8" x14ac:dyDescent="0.25">
      <c r="A146" t="s">
        <v>2245</v>
      </c>
      <c r="B146" t="s">
        <v>2246</v>
      </c>
      <c r="C146" t="s">
        <v>2246</v>
      </c>
      <c r="D146" t="s">
        <v>2253</v>
      </c>
      <c r="E146" t="s">
        <v>2254</v>
      </c>
      <c r="F146" t="s">
        <v>2290</v>
      </c>
      <c r="G146" t="s">
        <v>2294</v>
      </c>
      <c r="H146" t="s">
        <v>2267</v>
      </c>
    </row>
    <row r="147" spans="1:8" x14ac:dyDescent="0.25">
      <c r="A147" t="s">
        <v>2609</v>
      </c>
      <c r="B147" t="s">
        <v>2612</v>
      </c>
      <c r="C147" t="s">
        <v>2612</v>
      </c>
      <c r="D147" t="s">
        <v>2617</v>
      </c>
      <c r="E147" t="s">
        <v>2255</v>
      </c>
      <c r="F147" t="s">
        <v>2291</v>
      </c>
      <c r="G147" t="s">
        <v>2654</v>
      </c>
      <c r="H147" t="s">
        <v>2269</v>
      </c>
    </row>
    <row r="148" spans="1:8" x14ac:dyDescent="0.25">
      <c r="A148" t="s">
        <v>2610</v>
      </c>
      <c r="B148" t="s">
        <v>2247</v>
      </c>
      <c r="C148" t="s">
        <v>2247</v>
      </c>
      <c r="D148" t="s">
        <v>2254</v>
      </c>
      <c r="E148" t="s">
        <v>2618</v>
      </c>
      <c r="F148" t="s">
        <v>2646</v>
      </c>
      <c r="G148" t="s">
        <v>2295</v>
      </c>
      <c r="H148" t="s">
        <v>2628</v>
      </c>
    </row>
    <row r="149" spans="1:8" x14ac:dyDescent="0.25">
      <c r="A149" t="s">
        <v>2611</v>
      </c>
      <c r="B149" t="s">
        <v>2613</v>
      </c>
      <c r="C149" t="s">
        <v>2613</v>
      </c>
      <c r="D149" t="s">
        <v>2255</v>
      </c>
      <c r="E149" t="s">
        <v>2619</v>
      </c>
      <c r="F149" t="s">
        <v>2292</v>
      </c>
      <c r="G149" t="s">
        <v>2296</v>
      </c>
      <c r="H149" t="s">
        <v>2270</v>
      </c>
    </row>
    <row r="150" spans="1:8" x14ac:dyDescent="0.25">
      <c r="A150" t="s">
        <v>2246</v>
      </c>
      <c r="B150" t="s">
        <v>2248</v>
      </c>
      <c r="C150" t="s">
        <v>2248</v>
      </c>
      <c r="D150" t="s">
        <v>2618</v>
      </c>
      <c r="E150" t="s">
        <v>2256</v>
      </c>
      <c r="F150" t="s">
        <v>2647</v>
      </c>
      <c r="G150" t="s">
        <v>3179</v>
      </c>
      <c r="H150" t="s">
        <v>2271</v>
      </c>
    </row>
    <row r="151" spans="1:8" x14ac:dyDescent="0.25">
      <c r="A151" t="s">
        <v>2612</v>
      </c>
      <c r="B151" t="s">
        <v>2249</v>
      </c>
      <c r="C151" t="s">
        <v>2249</v>
      </c>
      <c r="D151" t="s">
        <v>2619</v>
      </c>
      <c r="E151" t="s">
        <v>2257</v>
      </c>
      <c r="F151" t="s">
        <v>2649</v>
      </c>
      <c r="G151" t="s">
        <v>786</v>
      </c>
      <c r="H151" t="s">
        <v>2272</v>
      </c>
    </row>
    <row r="152" spans="1:8" x14ac:dyDescent="0.25">
      <c r="A152" t="s">
        <v>2247</v>
      </c>
      <c r="B152" t="s">
        <v>2250</v>
      </c>
      <c r="C152" t="s">
        <v>2250</v>
      </c>
      <c r="D152" t="s">
        <v>2256</v>
      </c>
      <c r="E152" t="s">
        <v>2258</v>
      </c>
      <c r="F152" t="s">
        <v>2651</v>
      </c>
      <c r="G152" t="s">
        <v>788</v>
      </c>
      <c r="H152" t="s">
        <v>2629</v>
      </c>
    </row>
    <row r="153" spans="1:8" x14ac:dyDescent="0.25">
      <c r="A153" t="s">
        <v>2613</v>
      </c>
      <c r="B153" t="s">
        <v>2614</v>
      </c>
      <c r="C153" t="s">
        <v>2614</v>
      </c>
      <c r="D153" t="s">
        <v>2257</v>
      </c>
      <c r="E153" t="s">
        <v>2259</v>
      </c>
      <c r="F153" t="s">
        <v>2294</v>
      </c>
      <c r="G153" t="s">
        <v>789</v>
      </c>
      <c r="H153" t="s">
        <v>2273</v>
      </c>
    </row>
    <row r="154" spans="1:8" x14ac:dyDescent="0.25">
      <c r="A154" t="s">
        <v>2248</v>
      </c>
      <c r="B154" t="s">
        <v>2615</v>
      </c>
      <c r="C154" t="s">
        <v>2615</v>
      </c>
      <c r="D154" t="s">
        <v>2258</v>
      </c>
      <c r="E154" t="s">
        <v>2621</v>
      </c>
      <c r="F154" t="s">
        <v>2654</v>
      </c>
      <c r="G154" t="s">
        <v>791</v>
      </c>
      <c r="H154" t="s">
        <v>2630</v>
      </c>
    </row>
    <row r="155" spans="1:8" x14ac:dyDescent="0.25">
      <c r="A155" t="s">
        <v>2249</v>
      </c>
      <c r="B155" t="s">
        <v>2251</v>
      </c>
      <c r="C155" t="s">
        <v>2251</v>
      </c>
      <c r="D155" t="s">
        <v>2259</v>
      </c>
      <c r="E155" t="s">
        <v>2623</v>
      </c>
      <c r="F155" t="s">
        <v>2295</v>
      </c>
      <c r="G155" t="s">
        <v>792</v>
      </c>
      <c r="H155" t="s">
        <v>2274</v>
      </c>
    </row>
    <row r="156" spans="1:8" x14ac:dyDescent="0.25">
      <c r="A156" t="s">
        <v>2250</v>
      </c>
      <c r="B156" t="s">
        <v>2252</v>
      </c>
      <c r="C156" t="s">
        <v>2252</v>
      </c>
      <c r="D156" t="s">
        <v>2620</v>
      </c>
      <c r="E156" t="s">
        <v>2260</v>
      </c>
      <c r="F156" t="s">
        <v>2296</v>
      </c>
      <c r="G156" t="s">
        <v>794</v>
      </c>
      <c r="H156" t="s">
        <v>2631</v>
      </c>
    </row>
    <row r="157" spans="1:8" x14ac:dyDescent="0.25">
      <c r="A157" t="s">
        <v>2614</v>
      </c>
      <c r="B157" t="s">
        <v>2616</v>
      </c>
      <c r="C157" t="s">
        <v>2616</v>
      </c>
      <c r="D157" t="s">
        <v>2621</v>
      </c>
      <c r="E157" t="s">
        <v>2624</v>
      </c>
      <c r="F157" t="s">
        <v>3179</v>
      </c>
      <c r="G157" t="s">
        <v>796</v>
      </c>
      <c r="H157" t="s">
        <v>2275</v>
      </c>
    </row>
    <row r="158" spans="1:8" x14ac:dyDescent="0.25">
      <c r="A158" t="s">
        <v>2615</v>
      </c>
      <c r="B158" t="s">
        <v>2253</v>
      </c>
      <c r="C158" t="s">
        <v>2253</v>
      </c>
      <c r="D158" t="s">
        <v>2622</v>
      </c>
      <c r="E158" t="s">
        <v>2625</v>
      </c>
      <c r="F158" t="s">
        <v>786</v>
      </c>
      <c r="G158" t="s">
        <v>798</v>
      </c>
      <c r="H158" t="s">
        <v>2632</v>
      </c>
    </row>
    <row r="159" spans="1:8" x14ac:dyDescent="0.25">
      <c r="A159" t="s">
        <v>2251</v>
      </c>
      <c r="B159" t="s">
        <v>2617</v>
      </c>
      <c r="C159" t="s">
        <v>2617</v>
      </c>
      <c r="D159" t="s">
        <v>2623</v>
      </c>
      <c r="E159" t="s">
        <v>2626</v>
      </c>
      <c r="F159" t="s">
        <v>788</v>
      </c>
      <c r="G159" t="s">
        <v>799</v>
      </c>
      <c r="H159" t="s">
        <v>2276</v>
      </c>
    </row>
    <row r="160" spans="1:8" x14ac:dyDescent="0.25">
      <c r="A160" t="s">
        <v>2252</v>
      </c>
      <c r="B160" t="s">
        <v>2254</v>
      </c>
      <c r="C160" t="s">
        <v>2254</v>
      </c>
      <c r="D160" t="s">
        <v>2260</v>
      </c>
      <c r="E160" t="s">
        <v>2261</v>
      </c>
      <c r="F160" t="s">
        <v>789</v>
      </c>
      <c r="G160" t="s">
        <v>2297</v>
      </c>
      <c r="H160" t="s">
        <v>2277</v>
      </c>
    </row>
    <row r="161" spans="1:8" x14ac:dyDescent="0.25">
      <c r="A161" t="s">
        <v>2616</v>
      </c>
      <c r="B161" t="s">
        <v>2255</v>
      </c>
      <c r="C161" t="s">
        <v>2255</v>
      </c>
      <c r="D161" t="s">
        <v>2624</v>
      </c>
      <c r="E161" t="s">
        <v>2262</v>
      </c>
      <c r="F161" t="s">
        <v>791</v>
      </c>
      <c r="G161" t="s">
        <v>802</v>
      </c>
      <c r="H161" t="s">
        <v>2278</v>
      </c>
    </row>
    <row r="162" spans="1:8" x14ac:dyDescent="0.25">
      <c r="A162" t="s">
        <v>2253</v>
      </c>
      <c r="B162" t="s">
        <v>2618</v>
      </c>
      <c r="C162" t="s">
        <v>2618</v>
      </c>
      <c r="D162" t="s">
        <v>2625</v>
      </c>
      <c r="E162" t="s">
        <v>2263</v>
      </c>
      <c r="F162" t="s">
        <v>792</v>
      </c>
      <c r="G162" t="s">
        <v>2298</v>
      </c>
      <c r="H162" t="s">
        <v>2279</v>
      </c>
    </row>
    <row r="163" spans="1:8" x14ac:dyDescent="0.25">
      <c r="A163" t="s">
        <v>2617</v>
      </c>
      <c r="B163" t="s">
        <v>2619</v>
      </c>
      <c r="C163" t="s">
        <v>2619</v>
      </c>
      <c r="D163" t="s">
        <v>2626</v>
      </c>
      <c r="E163" t="s">
        <v>2264</v>
      </c>
      <c r="F163" t="s">
        <v>794</v>
      </c>
      <c r="G163" t="s">
        <v>3315</v>
      </c>
      <c r="H163" t="s">
        <v>2634</v>
      </c>
    </row>
    <row r="164" spans="1:8" x14ac:dyDescent="0.25">
      <c r="A164" t="s">
        <v>2254</v>
      </c>
      <c r="B164" t="s">
        <v>2256</v>
      </c>
      <c r="C164" t="s">
        <v>2256</v>
      </c>
      <c r="D164" t="s">
        <v>2261</v>
      </c>
      <c r="E164" t="s">
        <v>2265</v>
      </c>
      <c r="F164" t="s">
        <v>796</v>
      </c>
      <c r="G164" t="s">
        <v>843</v>
      </c>
      <c r="H164" t="s">
        <v>2281</v>
      </c>
    </row>
    <row r="165" spans="1:8" x14ac:dyDescent="0.25">
      <c r="A165" t="s">
        <v>2255</v>
      </c>
      <c r="B165" t="s">
        <v>2257</v>
      </c>
      <c r="C165" t="s">
        <v>2257</v>
      </c>
      <c r="D165" t="s">
        <v>2262</v>
      </c>
      <c r="E165" t="s">
        <v>2266</v>
      </c>
      <c r="F165" t="s">
        <v>798</v>
      </c>
      <c r="G165" t="s">
        <v>2299</v>
      </c>
      <c r="H165" t="s">
        <v>2282</v>
      </c>
    </row>
    <row r="166" spans="1:8" x14ac:dyDescent="0.25">
      <c r="A166" t="s">
        <v>2618</v>
      </c>
      <c r="B166" t="s">
        <v>2258</v>
      </c>
      <c r="C166" t="s">
        <v>2258</v>
      </c>
      <c r="D166" t="s">
        <v>2263</v>
      </c>
      <c r="E166" t="s">
        <v>2267</v>
      </c>
      <c r="F166" t="s">
        <v>799</v>
      </c>
      <c r="G166" t="s">
        <v>1082</v>
      </c>
      <c r="H166" t="s">
        <v>2283</v>
      </c>
    </row>
    <row r="167" spans="1:8" x14ac:dyDescent="0.25">
      <c r="A167" t="s">
        <v>2619</v>
      </c>
      <c r="B167" t="s">
        <v>2259</v>
      </c>
      <c r="C167" t="s">
        <v>2259</v>
      </c>
      <c r="D167" t="s">
        <v>2264</v>
      </c>
      <c r="E167" t="s">
        <v>2268</v>
      </c>
      <c r="F167" t="s">
        <v>2297</v>
      </c>
      <c r="G167" t="s">
        <v>2300</v>
      </c>
      <c r="H167" t="s">
        <v>2284</v>
      </c>
    </row>
    <row r="168" spans="1:8" x14ac:dyDescent="0.25">
      <c r="A168" t="s">
        <v>2256</v>
      </c>
      <c r="B168" t="s">
        <v>2620</v>
      </c>
      <c r="C168" t="s">
        <v>2620</v>
      </c>
      <c r="D168" t="s">
        <v>2265</v>
      </c>
      <c r="E168" t="s">
        <v>2269</v>
      </c>
      <c r="F168" t="s">
        <v>802</v>
      </c>
      <c r="G168" t="s">
        <v>2301</v>
      </c>
      <c r="H168" t="s">
        <v>2639</v>
      </c>
    </row>
    <row r="169" spans="1:8" x14ac:dyDescent="0.25">
      <c r="A169" t="s">
        <v>2257</v>
      </c>
      <c r="B169" t="s">
        <v>2621</v>
      </c>
      <c r="C169" t="s">
        <v>2621</v>
      </c>
      <c r="D169" t="s">
        <v>2266</v>
      </c>
      <c r="E169" t="s">
        <v>2627</v>
      </c>
      <c r="F169" t="s">
        <v>2298</v>
      </c>
      <c r="G169" t="s">
        <v>2302</v>
      </c>
      <c r="H169" t="s">
        <v>2285</v>
      </c>
    </row>
    <row r="170" spans="1:8" x14ac:dyDescent="0.25">
      <c r="A170" t="s">
        <v>2258</v>
      </c>
      <c r="B170" t="s">
        <v>2622</v>
      </c>
      <c r="C170" t="s">
        <v>2622</v>
      </c>
      <c r="D170" t="s">
        <v>2267</v>
      </c>
      <c r="E170" t="s">
        <v>2628</v>
      </c>
      <c r="F170" t="s">
        <v>3315</v>
      </c>
      <c r="G170" t="s">
        <v>804</v>
      </c>
      <c r="H170" t="s">
        <v>2286</v>
      </c>
    </row>
    <row r="171" spans="1:8" x14ac:dyDescent="0.25">
      <c r="A171" t="s">
        <v>2259</v>
      </c>
      <c r="B171" t="s">
        <v>2623</v>
      </c>
      <c r="C171" t="s">
        <v>2623</v>
      </c>
      <c r="D171" t="s">
        <v>2268</v>
      </c>
      <c r="E171" t="s">
        <v>2270</v>
      </c>
      <c r="F171" t="s">
        <v>843</v>
      </c>
      <c r="G171" t="s">
        <v>806</v>
      </c>
      <c r="H171" t="s">
        <v>2287</v>
      </c>
    </row>
    <row r="172" spans="1:8" x14ac:dyDescent="0.25">
      <c r="A172" t="s">
        <v>2620</v>
      </c>
      <c r="B172" t="s">
        <v>2260</v>
      </c>
      <c r="C172" t="s">
        <v>2260</v>
      </c>
      <c r="D172" t="s">
        <v>2269</v>
      </c>
      <c r="E172" t="s">
        <v>2271</v>
      </c>
      <c r="F172" t="s">
        <v>2655</v>
      </c>
      <c r="G172" t="s">
        <v>807</v>
      </c>
      <c r="H172" t="s">
        <v>2642</v>
      </c>
    </row>
    <row r="173" spans="1:8" x14ac:dyDescent="0.25">
      <c r="A173" t="s">
        <v>2621</v>
      </c>
      <c r="B173" t="s">
        <v>2624</v>
      </c>
      <c r="C173" t="s">
        <v>2624</v>
      </c>
      <c r="D173" t="s">
        <v>2627</v>
      </c>
      <c r="E173" t="s">
        <v>2272</v>
      </c>
      <c r="F173" t="s">
        <v>2299</v>
      </c>
      <c r="G173" t="s">
        <v>808</v>
      </c>
      <c r="H173" t="s">
        <v>2643</v>
      </c>
    </row>
    <row r="174" spans="1:8" x14ac:dyDescent="0.25">
      <c r="A174" t="s">
        <v>2622</v>
      </c>
      <c r="B174" t="s">
        <v>2625</v>
      </c>
      <c r="C174" t="s">
        <v>2625</v>
      </c>
      <c r="D174" t="s">
        <v>2628</v>
      </c>
      <c r="E174" t="s">
        <v>2629</v>
      </c>
      <c r="F174" t="s">
        <v>1082</v>
      </c>
      <c r="G174" t="s">
        <v>809</v>
      </c>
      <c r="H174" t="s">
        <v>2644</v>
      </c>
    </row>
    <row r="175" spans="1:8" x14ac:dyDescent="0.25">
      <c r="A175" t="s">
        <v>2623</v>
      </c>
      <c r="B175" t="s">
        <v>2626</v>
      </c>
      <c r="C175" t="s">
        <v>2626</v>
      </c>
      <c r="D175" t="s">
        <v>2270</v>
      </c>
      <c r="E175" t="s">
        <v>2273</v>
      </c>
      <c r="F175" t="s">
        <v>2300</v>
      </c>
      <c r="G175" t="s">
        <v>1039</v>
      </c>
      <c r="H175" t="s">
        <v>2288</v>
      </c>
    </row>
    <row r="176" spans="1:8" x14ac:dyDescent="0.25">
      <c r="A176" t="s">
        <v>2260</v>
      </c>
      <c r="B176" t="s">
        <v>2261</v>
      </c>
      <c r="C176" t="s">
        <v>2261</v>
      </c>
      <c r="D176" t="s">
        <v>2271</v>
      </c>
      <c r="E176" t="s">
        <v>2630</v>
      </c>
      <c r="F176" t="s">
        <v>2301</v>
      </c>
      <c r="G176" t="s">
        <v>812</v>
      </c>
      <c r="H176" t="s">
        <v>2289</v>
      </c>
    </row>
    <row r="177" spans="1:8" x14ac:dyDescent="0.25">
      <c r="A177" t="s">
        <v>2624</v>
      </c>
      <c r="B177" t="s">
        <v>2262</v>
      </c>
      <c r="C177" t="s">
        <v>2262</v>
      </c>
      <c r="D177" t="s">
        <v>2272</v>
      </c>
      <c r="E177" t="s">
        <v>2274</v>
      </c>
      <c r="F177" t="s">
        <v>2302</v>
      </c>
      <c r="G177" t="s">
        <v>813</v>
      </c>
      <c r="H177" t="s">
        <v>2290</v>
      </c>
    </row>
    <row r="178" spans="1:8" x14ac:dyDescent="0.25">
      <c r="A178" t="s">
        <v>2625</v>
      </c>
      <c r="B178" t="s">
        <v>2263</v>
      </c>
      <c r="C178" t="s">
        <v>2263</v>
      </c>
      <c r="D178" t="s">
        <v>2273</v>
      </c>
      <c r="E178" t="s">
        <v>2631</v>
      </c>
      <c r="F178" t="s">
        <v>804</v>
      </c>
      <c r="G178" t="s">
        <v>814</v>
      </c>
      <c r="H178" t="s">
        <v>2291</v>
      </c>
    </row>
    <row r="179" spans="1:8" x14ac:dyDescent="0.25">
      <c r="A179" t="s">
        <v>2626</v>
      </c>
      <c r="B179" t="s">
        <v>2264</v>
      </c>
      <c r="C179" t="s">
        <v>2264</v>
      </c>
      <c r="D179" t="s">
        <v>2630</v>
      </c>
      <c r="E179" t="s">
        <v>2275</v>
      </c>
      <c r="F179" t="s">
        <v>806</v>
      </c>
      <c r="G179" t="s">
        <v>815</v>
      </c>
      <c r="H179" t="s">
        <v>2646</v>
      </c>
    </row>
    <row r="180" spans="1:8" x14ac:dyDescent="0.25">
      <c r="A180" t="s">
        <v>2261</v>
      </c>
      <c r="B180" t="s">
        <v>2265</v>
      </c>
      <c r="C180" t="s">
        <v>2265</v>
      </c>
      <c r="D180" t="s">
        <v>2274</v>
      </c>
      <c r="E180" t="s">
        <v>2632</v>
      </c>
      <c r="F180" t="s">
        <v>807</v>
      </c>
      <c r="G180" t="s">
        <v>2656</v>
      </c>
      <c r="H180" t="s">
        <v>2292</v>
      </c>
    </row>
    <row r="181" spans="1:8" x14ac:dyDescent="0.25">
      <c r="A181" t="s">
        <v>2262</v>
      </c>
      <c r="B181" t="s">
        <v>2266</v>
      </c>
      <c r="C181" t="s">
        <v>2266</v>
      </c>
      <c r="D181" t="s">
        <v>2631</v>
      </c>
      <c r="E181" t="s">
        <v>2276</v>
      </c>
      <c r="F181" t="s">
        <v>808</v>
      </c>
      <c r="G181" t="s">
        <v>3149</v>
      </c>
      <c r="H181" t="s">
        <v>2647</v>
      </c>
    </row>
    <row r="182" spans="1:8" x14ac:dyDescent="0.25">
      <c r="A182" t="s">
        <v>2263</v>
      </c>
      <c r="B182" t="s">
        <v>2267</v>
      </c>
      <c r="C182" t="s">
        <v>2267</v>
      </c>
      <c r="D182" t="s">
        <v>2275</v>
      </c>
      <c r="E182" t="s">
        <v>2277</v>
      </c>
      <c r="F182" t="s">
        <v>809</v>
      </c>
      <c r="G182" t="s">
        <v>2659</v>
      </c>
      <c r="H182" t="s">
        <v>2649</v>
      </c>
    </row>
    <row r="183" spans="1:8" x14ac:dyDescent="0.25">
      <c r="A183" t="s">
        <v>2264</v>
      </c>
      <c r="B183" t="s">
        <v>2268</v>
      </c>
      <c r="C183" t="s">
        <v>2268</v>
      </c>
      <c r="D183" t="s">
        <v>2632</v>
      </c>
      <c r="E183" t="s">
        <v>2278</v>
      </c>
      <c r="F183" t="s">
        <v>2303</v>
      </c>
      <c r="G183" t="s">
        <v>3341</v>
      </c>
      <c r="H183" t="s">
        <v>2650</v>
      </c>
    </row>
    <row r="184" spans="1:8" x14ac:dyDescent="0.25">
      <c r="A184" t="s">
        <v>2265</v>
      </c>
      <c r="B184" t="s">
        <v>2269</v>
      </c>
      <c r="C184" t="s">
        <v>2269</v>
      </c>
      <c r="D184" t="s">
        <v>2276</v>
      </c>
      <c r="E184" t="s">
        <v>2279</v>
      </c>
      <c r="F184" t="s">
        <v>1039</v>
      </c>
      <c r="G184" t="s">
        <v>818</v>
      </c>
      <c r="H184" t="s">
        <v>2651</v>
      </c>
    </row>
    <row r="185" spans="1:8" x14ac:dyDescent="0.25">
      <c r="A185" t="s">
        <v>2266</v>
      </c>
      <c r="B185" t="s">
        <v>2627</v>
      </c>
      <c r="C185" t="s">
        <v>2627</v>
      </c>
      <c r="D185" t="s">
        <v>2277</v>
      </c>
      <c r="E185" t="s">
        <v>2633</v>
      </c>
      <c r="F185" t="s">
        <v>810</v>
      </c>
      <c r="G185" t="s">
        <v>823</v>
      </c>
      <c r="H185" t="s">
        <v>2294</v>
      </c>
    </row>
    <row r="186" spans="1:8" x14ac:dyDescent="0.25">
      <c r="A186" t="s">
        <v>2267</v>
      </c>
      <c r="B186" t="s">
        <v>2628</v>
      </c>
      <c r="C186" t="s">
        <v>2628</v>
      </c>
      <c r="D186" t="s">
        <v>2278</v>
      </c>
      <c r="E186" t="s">
        <v>2280</v>
      </c>
      <c r="F186" t="s">
        <v>812</v>
      </c>
      <c r="G186" t="s">
        <v>1061</v>
      </c>
      <c r="H186" t="s">
        <v>2654</v>
      </c>
    </row>
    <row r="187" spans="1:8" x14ac:dyDescent="0.25">
      <c r="A187" t="s">
        <v>2268</v>
      </c>
      <c r="B187" t="s">
        <v>2270</v>
      </c>
      <c r="C187" t="s">
        <v>2270</v>
      </c>
      <c r="D187" t="s">
        <v>2279</v>
      </c>
      <c r="E187" t="s">
        <v>2634</v>
      </c>
      <c r="F187" t="s">
        <v>813</v>
      </c>
      <c r="G187" t="s">
        <v>826</v>
      </c>
      <c r="H187" t="s">
        <v>2295</v>
      </c>
    </row>
    <row r="188" spans="1:8" x14ac:dyDescent="0.25">
      <c r="A188" t="s">
        <v>2269</v>
      </c>
      <c r="B188" t="s">
        <v>2271</v>
      </c>
      <c r="C188" t="s">
        <v>2271</v>
      </c>
      <c r="D188" t="s">
        <v>2633</v>
      </c>
      <c r="E188" t="s">
        <v>2635</v>
      </c>
      <c r="F188" t="s">
        <v>814</v>
      </c>
      <c r="G188" t="s">
        <v>2305</v>
      </c>
      <c r="H188" t="s">
        <v>2296</v>
      </c>
    </row>
    <row r="189" spans="1:8" x14ac:dyDescent="0.25">
      <c r="A189" t="s">
        <v>2627</v>
      </c>
      <c r="B189" t="s">
        <v>2272</v>
      </c>
      <c r="C189" t="s">
        <v>2272</v>
      </c>
      <c r="D189" t="s">
        <v>2280</v>
      </c>
      <c r="E189" t="s">
        <v>2281</v>
      </c>
      <c r="F189" t="s">
        <v>815</v>
      </c>
      <c r="G189" t="s">
        <v>830</v>
      </c>
      <c r="H189" t="s">
        <v>3179</v>
      </c>
    </row>
    <row r="190" spans="1:8" x14ac:dyDescent="0.25">
      <c r="A190" t="s">
        <v>2628</v>
      </c>
      <c r="B190" t="s">
        <v>2629</v>
      </c>
      <c r="C190" t="s">
        <v>2629</v>
      </c>
      <c r="D190" t="s">
        <v>2634</v>
      </c>
      <c r="E190" t="s">
        <v>2282</v>
      </c>
      <c r="F190" t="s">
        <v>816</v>
      </c>
      <c r="G190" t="s">
        <v>1065</v>
      </c>
      <c r="H190" t="s">
        <v>786</v>
      </c>
    </row>
    <row r="191" spans="1:8" x14ac:dyDescent="0.25">
      <c r="A191" t="s">
        <v>2270</v>
      </c>
      <c r="B191" t="s">
        <v>2273</v>
      </c>
      <c r="C191" t="s">
        <v>2273</v>
      </c>
      <c r="D191" t="s">
        <v>2635</v>
      </c>
      <c r="E191" t="s">
        <v>2283</v>
      </c>
      <c r="F191" t="s">
        <v>2656</v>
      </c>
      <c r="G191" t="s">
        <v>831</v>
      </c>
      <c r="H191" t="s">
        <v>788</v>
      </c>
    </row>
    <row r="192" spans="1:8" x14ac:dyDescent="0.25">
      <c r="A192" t="s">
        <v>2271</v>
      </c>
      <c r="B192" t="s">
        <v>2630</v>
      </c>
      <c r="C192" t="s">
        <v>2630</v>
      </c>
      <c r="D192" t="s">
        <v>2281</v>
      </c>
      <c r="E192" t="s">
        <v>2636</v>
      </c>
      <c r="F192" t="s">
        <v>3149</v>
      </c>
      <c r="G192" t="s">
        <v>2661</v>
      </c>
      <c r="H192" t="s">
        <v>789</v>
      </c>
    </row>
    <row r="193" spans="1:8" x14ac:dyDescent="0.25">
      <c r="A193" t="s">
        <v>2272</v>
      </c>
      <c r="B193" t="s">
        <v>2274</v>
      </c>
      <c r="C193" t="s">
        <v>2274</v>
      </c>
      <c r="D193" t="s">
        <v>2282</v>
      </c>
      <c r="E193" t="s">
        <v>2284</v>
      </c>
      <c r="F193" t="s">
        <v>2659</v>
      </c>
      <c r="G193" t="s">
        <v>2662</v>
      </c>
      <c r="H193" t="s">
        <v>791</v>
      </c>
    </row>
    <row r="194" spans="1:8" x14ac:dyDescent="0.25">
      <c r="A194" t="s">
        <v>2629</v>
      </c>
      <c r="B194" t="s">
        <v>2631</v>
      </c>
      <c r="C194" t="s">
        <v>2631</v>
      </c>
      <c r="D194" t="s">
        <v>2283</v>
      </c>
      <c r="E194" t="s">
        <v>2639</v>
      </c>
      <c r="F194" t="s">
        <v>818</v>
      </c>
      <c r="G194" t="s">
        <v>2663</v>
      </c>
      <c r="H194" t="s">
        <v>792</v>
      </c>
    </row>
    <row r="195" spans="1:8" x14ac:dyDescent="0.25">
      <c r="A195" t="s">
        <v>2273</v>
      </c>
      <c r="B195" t="s">
        <v>2275</v>
      </c>
      <c r="C195" t="s">
        <v>2275</v>
      </c>
      <c r="D195" t="s">
        <v>2636</v>
      </c>
      <c r="E195" t="s">
        <v>2285</v>
      </c>
      <c r="F195" t="s">
        <v>826</v>
      </c>
      <c r="G195" t="s">
        <v>3310</v>
      </c>
      <c r="H195" t="s">
        <v>794</v>
      </c>
    </row>
    <row r="196" spans="1:8" x14ac:dyDescent="0.25">
      <c r="A196" t="s">
        <v>2630</v>
      </c>
      <c r="B196" t="s">
        <v>2632</v>
      </c>
      <c r="C196" t="s">
        <v>2632</v>
      </c>
      <c r="D196" t="s">
        <v>2637</v>
      </c>
      <c r="E196" t="s">
        <v>2286</v>
      </c>
      <c r="F196" t="s">
        <v>2305</v>
      </c>
      <c r="G196" t="s">
        <v>3316</v>
      </c>
      <c r="H196" t="s">
        <v>796</v>
      </c>
    </row>
    <row r="197" spans="1:8" x14ac:dyDescent="0.25">
      <c r="A197" t="s">
        <v>2274</v>
      </c>
      <c r="B197" t="s">
        <v>2276</v>
      </c>
      <c r="C197" t="s">
        <v>2276</v>
      </c>
      <c r="D197" t="s">
        <v>2284</v>
      </c>
      <c r="E197" t="s">
        <v>2287</v>
      </c>
      <c r="F197" t="s">
        <v>830</v>
      </c>
      <c r="G197" t="s">
        <v>833</v>
      </c>
      <c r="H197" t="s">
        <v>798</v>
      </c>
    </row>
    <row r="198" spans="1:8" x14ac:dyDescent="0.25">
      <c r="A198" t="s">
        <v>2631</v>
      </c>
      <c r="B198" t="s">
        <v>2277</v>
      </c>
      <c r="C198" t="s">
        <v>2277</v>
      </c>
      <c r="D198" t="s">
        <v>2639</v>
      </c>
      <c r="E198" t="s">
        <v>2640</v>
      </c>
      <c r="F198" t="s">
        <v>1065</v>
      </c>
      <c r="G198" t="s">
        <v>834</v>
      </c>
      <c r="H198" t="s">
        <v>799</v>
      </c>
    </row>
    <row r="199" spans="1:8" x14ac:dyDescent="0.25">
      <c r="A199" t="s">
        <v>2275</v>
      </c>
      <c r="B199" t="s">
        <v>2278</v>
      </c>
      <c r="C199" t="s">
        <v>2278</v>
      </c>
      <c r="D199" t="s">
        <v>2285</v>
      </c>
      <c r="E199" t="s">
        <v>2642</v>
      </c>
      <c r="F199" t="s">
        <v>831</v>
      </c>
      <c r="G199" t="s">
        <v>835</v>
      </c>
      <c r="H199" t="s">
        <v>2297</v>
      </c>
    </row>
    <row r="200" spans="1:8" x14ac:dyDescent="0.25">
      <c r="A200" t="s">
        <v>2632</v>
      </c>
      <c r="B200" t="s">
        <v>2279</v>
      </c>
      <c r="C200" t="s">
        <v>2279</v>
      </c>
      <c r="D200" t="s">
        <v>2286</v>
      </c>
      <c r="E200" t="s">
        <v>2643</v>
      </c>
      <c r="F200" t="s">
        <v>2661</v>
      </c>
      <c r="G200" t="s">
        <v>974</v>
      </c>
      <c r="H200" t="s">
        <v>802</v>
      </c>
    </row>
    <row r="201" spans="1:8" x14ac:dyDescent="0.25">
      <c r="A201" t="s">
        <v>2276</v>
      </c>
      <c r="B201" t="s">
        <v>2633</v>
      </c>
      <c r="C201" t="s">
        <v>2633</v>
      </c>
      <c r="D201" t="s">
        <v>2287</v>
      </c>
      <c r="E201" t="s">
        <v>2644</v>
      </c>
      <c r="F201" t="s">
        <v>2662</v>
      </c>
      <c r="G201" t="s">
        <v>2666</v>
      </c>
      <c r="H201" t="s">
        <v>2298</v>
      </c>
    </row>
    <row r="202" spans="1:8" x14ac:dyDescent="0.25">
      <c r="A202" t="s">
        <v>2277</v>
      </c>
      <c r="B202" t="s">
        <v>2280</v>
      </c>
      <c r="C202" t="s">
        <v>2280</v>
      </c>
      <c r="D202" t="s">
        <v>2640</v>
      </c>
      <c r="E202" t="s">
        <v>2288</v>
      </c>
      <c r="F202" t="s">
        <v>2663</v>
      </c>
      <c r="G202" t="s">
        <v>837</v>
      </c>
      <c r="H202" t="s">
        <v>3315</v>
      </c>
    </row>
    <row r="203" spans="1:8" x14ac:dyDescent="0.25">
      <c r="A203" t="s">
        <v>2278</v>
      </c>
      <c r="B203" t="s">
        <v>2634</v>
      </c>
      <c r="C203" t="s">
        <v>2634</v>
      </c>
      <c r="D203" t="s">
        <v>2641</v>
      </c>
      <c r="E203" t="s">
        <v>2289</v>
      </c>
      <c r="F203" t="s">
        <v>3304</v>
      </c>
      <c r="G203" t="s">
        <v>839</v>
      </c>
      <c r="H203" t="s">
        <v>843</v>
      </c>
    </row>
    <row r="204" spans="1:8" x14ac:dyDescent="0.25">
      <c r="A204" t="s">
        <v>2279</v>
      </c>
      <c r="B204" t="s">
        <v>2635</v>
      </c>
      <c r="C204" t="s">
        <v>2635</v>
      </c>
      <c r="D204" t="s">
        <v>2642</v>
      </c>
      <c r="E204" t="s">
        <v>2290</v>
      </c>
      <c r="F204" t="s">
        <v>3310</v>
      </c>
      <c r="G204" t="s">
        <v>841</v>
      </c>
      <c r="H204" t="s">
        <v>2655</v>
      </c>
    </row>
    <row r="205" spans="1:8" x14ac:dyDescent="0.25">
      <c r="A205" t="s">
        <v>2633</v>
      </c>
      <c r="B205" t="s">
        <v>2281</v>
      </c>
      <c r="C205" t="s">
        <v>2281</v>
      </c>
      <c r="D205" t="s">
        <v>2643</v>
      </c>
      <c r="E205" t="s">
        <v>2291</v>
      </c>
      <c r="F205" t="s">
        <v>3316</v>
      </c>
      <c r="G205" t="s">
        <v>844</v>
      </c>
      <c r="H205" t="s">
        <v>2299</v>
      </c>
    </row>
    <row r="206" spans="1:8" x14ac:dyDescent="0.25">
      <c r="A206" t="s">
        <v>2280</v>
      </c>
      <c r="B206" t="s">
        <v>2282</v>
      </c>
      <c r="C206" t="s">
        <v>2282</v>
      </c>
      <c r="D206" t="s">
        <v>2644</v>
      </c>
      <c r="E206" t="s">
        <v>2646</v>
      </c>
      <c r="F206" t="s">
        <v>835</v>
      </c>
      <c r="G206" t="s">
        <v>2671</v>
      </c>
      <c r="H206" t="s">
        <v>1082</v>
      </c>
    </row>
    <row r="207" spans="1:8" x14ac:dyDescent="0.25">
      <c r="A207" t="s">
        <v>2634</v>
      </c>
      <c r="B207" t="s">
        <v>2283</v>
      </c>
      <c r="C207" t="s">
        <v>2283</v>
      </c>
      <c r="D207" t="s">
        <v>2645</v>
      </c>
      <c r="E207" t="s">
        <v>2292</v>
      </c>
      <c r="F207" t="s">
        <v>3317</v>
      </c>
      <c r="G207" t="s">
        <v>2308</v>
      </c>
      <c r="H207" t="s">
        <v>2300</v>
      </c>
    </row>
    <row r="208" spans="1:8" x14ac:dyDescent="0.25">
      <c r="A208" t="s">
        <v>2635</v>
      </c>
      <c r="B208" t="s">
        <v>2636</v>
      </c>
      <c r="C208" t="s">
        <v>2636</v>
      </c>
      <c r="D208" t="s">
        <v>2288</v>
      </c>
      <c r="E208" t="s">
        <v>2647</v>
      </c>
      <c r="F208" t="s">
        <v>974</v>
      </c>
      <c r="G208" t="s">
        <v>3300</v>
      </c>
      <c r="H208" t="s">
        <v>2301</v>
      </c>
    </row>
    <row r="209" spans="1:8" x14ac:dyDescent="0.25">
      <c r="A209" t="s">
        <v>2281</v>
      </c>
      <c r="B209" t="s">
        <v>2637</v>
      </c>
      <c r="C209" t="s">
        <v>2637</v>
      </c>
      <c r="D209" t="s">
        <v>2289</v>
      </c>
      <c r="E209" t="s">
        <v>2648</v>
      </c>
      <c r="F209" t="s">
        <v>2666</v>
      </c>
      <c r="G209" t="s">
        <v>886</v>
      </c>
      <c r="H209" t="s">
        <v>2302</v>
      </c>
    </row>
    <row r="210" spans="1:8" x14ac:dyDescent="0.25">
      <c r="A210" t="s">
        <v>2282</v>
      </c>
      <c r="B210" t="s">
        <v>2284</v>
      </c>
      <c r="C210" t="s">
        <v>2284</v>
      </c>
      <c r="D210" t="s">
        <v>2290</v>
      </c>
      <c r="E210" t="s">
        <v>2649</v>
      </c>
      <c r="F210" t="s">
        <v>1076</v>
      </c>
      <c r="G210" t="s">
        <v>846</v>
      </c>
      <c r="H210" t="s">
        <v>804</v>
      </c>
    </row>
    <row r="211" spans="1:8" x14ac:dyDescent="0.25">
      <c r="A211" t="s">
        <v>2283</v>
      </c>
      <c r="B211" t="s">
        <v>2638</v>
      </c>
      <c r="C211" t="s">
        <v>2638</v>
      </c>
      <c r="D211" t="s">
        <v>2291</v>
      </c>
      <c r="E211" t="s">
        <v>2650</v>
      </c>
      <c r="F211" t="s">
        <v>839</v>
      </c>
      <c r="G211" t="s">
        <v>847</v>
      </c>
      <c r="H211" t="s">
        <v>806</v>
      </c>
    </row>
    <row r="212" spans="1:8" x14ac:dyDescent="0.25">
      <c r="A212" t="s">
        <v>2636</v>
      </c>
      <c r="B212" t="s">
        <v>2639</v>
      </c>
      <c r="C212" t="s">
        <v>2639</v>
      </c>
      <c r="D212" t="s">
        <v>2646</v>
      </c>
      <c r="E212" t="s">
        <v>2651</v>
      </c>
      <c r="F212" t="s">
        <v>842</v>
      </c>
      <c r="G212" t="s">
        <v>848</v>
      </c>
      <c r="H212" t="s">
        <v>807</v>
      </c>
    </row>
    <row r="213" spans="1:8" x14ac:dyDescent="0.25">
      <c r="A213" t="s">
        <v>2637</v>
      </c>
      <c r="B213" t="s">
        <v>2285</v>
      </c>
      <c r="C213" t="s">
        <v>2285</v>
      </c>
      <c r="D213" t="s">
        <v>2292</v>
      </c>
      <c r="E213" t="s">
        <v>2653</v>
      </c>
      <c r="F213" t="s">
        <v>844</v>
      </c>
      <c r="G213" t="s">
        <v>849</v>
      </c>
      <c r="H213" t="s">
        <v>808</v>
      </c>
    </row>
    <row r="214" spans="1:8" x14ac:dyDescent="0.25">
      <c r="A214" t="s">
        <v>2284</v>
      </c>
      <c r="B214" t="s">
        <v>2286</v>
      </c>
      <c r="C214" t="s">
        <v>2286</v>
      </c>
      <c r="D214" t="s">
        <v>2647</v>
      </c>
      <c r="E214" t="s">
        <v>2294</v>
      </c>
      <c r="F214" t="s">
        <v>3300</v>
      </c>
      <c r="G214" t="s">
        <v>2309</v>
      </c>
      <c r="H214" t="s">
        <v>809</v>
      </c>
    </row>
    <row r="215" spans="1:8" x14ac:dyDescent="0.25">
      <c r="A215" t="s">
        <v>2638</v>
      </c>
      <c r="B215" t="s">
        <v>2287</v>
      </c>
      <c r="C215" t="s">
        <v>2287</v>
      </c>
      <c r="D215" t="s">
        <v>2648</v>
      </c>
      <c r="E215" t="s">
        <v>2654</v>
      </c>
      <c r="F215" t="s">
        <v>846</v>
      </c>
      <c r="G215" t="s">
        <v>3303</v>
      </c>
      <c r="H215" t="s">
        <v>1039</v>
      </c>
    </row>
    <row r="216" spans="1:8" x14ac:dyDescent="0.25">
      <c r="A216" t="s">
        <v>2639</v>
      </c>
      <c r="B216" t="s">
        <v>2640</v>
      </c>
      <c r="C216" t="s">
        <v>2640</v>
      </c>
      <c r="D216" t="s">
        <v>2649</v>
      </c>
      <c r="E216" t="s">
        <v>2295</v>
      </c>
      <c r="F216" t="s">
        <v>848</v>
      </c>
      <c r="G216" t="s">
        <v>2310</v>
      </c>
      <c r="H216" t="s">
        <v>810</v>
      </c>
    </row>
    <row r="217" spans="1:8" x14ac:dyDescent="0.25">
      <c r="A217" t="s">
        <v>2285</v>
      </c>
      <c r="B217" t="s">
        <v>2641</v>
      </c>
      <c r="C217" t="s">
        <v>2641</v>
      </c>
      <c r="D217" t="s">
        <v>2650</v>
      </c>
      <c r="E217" t="s">
        <v>2296</v>
      </c>
      <c r="F217" t="s">
        <v>2309</v>
      </c>
      <c r="G217" t="s">
        <v>3093</v>
      </c>
      <c r="H217" t="s">
        <v>812</v>
      </c>
    </row>
    <row r="218" spans="1:8" x14ac:dyDescent="0.25">
      <c r="A218" t="s">
        <v>2286</v>
      </c>
      <c r="B218" t="s">
        <v>2642</v>
      </c>
      <c r="C218" t="s">
        <v>2642</v>
      </c>
      <c r="D218" t="s">
        <v>2651</v>
      </c>
      <c r="E218" t="s">
        <v>3179</v>
      </c>
      <c r="F218" t="s">
        <v>3303</v>
      </c>
      <c r="G218" t="s">
        <v>850</v>
      </c>
      <c r="H218" t="s">
        <v>813</v>
      </c>
    </row>
    <row r="219" spans="1:8" x14ac:dyDescent="0.25">
      <c r="A219" t="s">
        <v>2287</v>
      </c>
      <c r="B219" t="s">
        <v>2643</v>
      </c>
      <c r="C219" t="s">
        <v>2643</v>
      </c>
      <c r="D219" t="s">
        <v>2652</v>
      </c>
      <c r="E219" t="s">
        <v>786</v>
      </c>
      <c r="F219" t="s">
        <v>2310</v>
      </c>
      <c r="G219" t="s">
        <v>2673</v>
      </c>
      <c r="H219" t="s">
        <v>814</v>
      </c>
    </row>
    <row r="220" spans="1:8" x14ac:dyDescent="0.25">
      <c r="A220" t="s">
        <v>2640</v>
      </c>
      <c r="B220" t="s">
        <v>2644</v>
      </c>
      <c r="C220" t="s">
        <v>2644</v>
      </c>
      <c r="D220" t="s">
        <v>2653</v>
      </c>
      <c r="E220" t="s">
        <v>788</v>
      </c>
      <c r="F220" t="s">
        <v>3093</v>
      </c>
      <c r="G220" t="s">
        <v>2677</v>
      </c>
      <c r="H220" t="s">
        <v>815</v>
      </c>
    </row>
    <row r="221" spans="1:8" x14ac:dyDescent="0.25">
      <c r="A221" t="s">
        <v>2641</v>
      </c>
      <c r="B221" t="s">
        <v>2645</v>
      </c>
      <c r="C221" t="s">
        <v>2645</v>
      </c>
      <c r="D221" t="s">
        <v>2294</v>
      </c>
      <c r="E221" t="s">
        <v>789</v>
      </c>
      <c r="F221" t="s">
        <v>2672</v>
      </c>
      <c r="G221" t="s">
        <v>2313</v>
      </c>
      <c r="H221" t="s">
        <v>2656</v>
      </c>
    </row>
    <row r="222" spans="1:8" x14ac:dyDescent="0.25">
      <c r="A222" t="s">
        <v>2642</v>
      </c>
      <c r="B222" t="s">
        <v>2288</v>
      </c>
      <c r="C222" t="s">
        <v>2288</v>
      </c>
      <c r="D222" t="s">
        <v>2654</v>
      </c>
      <c r="E222" t="s">
        <v>791</v>
      </c>
      <c r="F222" t="s">
        <v>851</v>
      </c>
      <c r="G222" t="s">
        <v>853</v>
      </c>
      <c r="H222" t="s">
        <v>3149</v>
      </c>
    </row>
    <row r="223" spans="1:8" x14ac:dyDescent="0.25">
      <c r="A223" t="s">
        <v>2643</v>
      </c>
      <c r="B223" t="s">
        <v>2289</v>
      </c>
      <c r="C223" t="s">
        <v>2289</v>
      </c>
      <c r="D223" t="s">
        <v>2295</v>
      </c>
      <c r="E223" t="s">
        <v>792</v>
      </c>
      <c r="F223" t="s">
        <v>3152</v>
      </c>
      <c r="G223" t="s">
        <v>854</v>
      </c>
      <c r="H223" t="s">
        <v>2304</v>
      </c>
    </row>
    <row r="224" spans="1:8" x14ac:dyDescent="0.25">
      <c r="A224" t="s">
        <v>2644</v>
      </c>
      <c r="B224" t="s">
        <v>2290</v>
      </c>
      <c r="C224" t="s">
        <v>2290</v>
      </c>
      <c r="D224" t="s">
        <v>2296</v>
      </c>
      <c r="E224" t="s">
        <v>794</v>
      </c>
      <c r="F224" t="s">
        <v>2677</v>
      </c>
      <c r="G224" t="s">
        <v>898</v>
      </c>
      <c r="H224" t="s">
        <v>2659</v>
      </c>
    </row>
    <row r="225" spans="1:8" x14ac:dyDescent="0.25">
      <c r="A225" t="s">
        <v>2645</v>
      </c>
      <c r="B225" t="s">
        <v>2291</v>
      </c>
      <c r="C225" t="s">
        <v>2291</v>
      </c>
      <c r="D225" t="s">
        <v>3179</v>
      </c>
      <c r="E225" t="s">
        <v>796</v>
      </c>
      <c r="F225" t="s">
        <v>2312</v>
      </c>
      <c r="G225" t="s">
        <v>900</v>
      </c>
      <c r="H225" t="s">
        <v>818</v>
      </c>
    </row>
    <row r="226" spans="1:8" x14ac:dyDescent="0.25">
      <c r="A226" t="s">
        <v>2288</v>
      </c>
      <c r="B226" t="s">
        <v>2646</v>
      </c>
      <c r="C226" t="s">
        <v>2646</v>
      </c>
      <c r="D226" t="s">
        <v>786</v>
      </c>
      <c r="E226" t="s">
        <v>798</v>
      </c>
      <c r="F226" t="s">
        <v>2313</v>
      </c>
      <c r="G226" t="s">
        <v>3278</v>
      </c>
      <c r="H226" t="s">
        <v>826</v>
      </c>
    </row>
    <row r="227" spans="1:8" x14ac:dyDescent="0.25">
      <c r="A227" t="s">
        <v>2289</v>
      </c>
      <c r="B227" t="s">
        <v>2292</v>
      </c>
      <c r="C227" t="s">
        <v>2292</v>
      </c>
      <c r="D227" t="s">
        <v>788</v>
      </c>
      <c r="E227" t="s">
        <v>799</v>
      </c>
      <c r="F227" t="s">
        <v>3065</v>
      </c>
      <c r="G227" t="s">
        <v>855</v>
      </c>
      <c r="H227" t="s">
        <v>2305</v>
      </c>
    </row>
    <row r="228" spans="1:8" x14ac:dyDescent="0.25">
      <c r="A228" t="s">
        <v>2290</v>
      </c>
      <c r="B228" t="s">
        <v>2647</v>
      </c>
      <c r="C228" t="s">
        <v>2647</v>
      </c>
      <c r="D228" t="s">
        <v>789</v>
      </c>
      <c r="E228" t="s">
        <v>2297</v>
      </c>
      <c r="F228" t="s">
        <v>853</v>
      </c>
      <c r="G228" t="s">
        <v>857</v>
      </c>
      <c r="H228" t="s">
        <v>830</v>
      </c>
    </row>
    <row r="229" spans="1:8" x14ac:dyDescent="0.25">
      <c r="A229" t="s">
        <v>2291</v>
      </c>
      <c r="B229" t="s">
        <v>2648</v>
      </c>
      <c r="C229" t="s">
        <v>2648</v>
      </c>
      <c r="D229" t="s">
        <v>791</v>
      </c>
      <c r="E229" t="s">
        <v>802</v>
      </c>
      <c r="F229" t="s">
        <v>854</v>
      </c>
      <c r="G229" t="s">
        <v>3094</v>
      </c>
      <c r="H229" t="s">
        <v>1065</v>
      </c>
    </row>
    <row r="230" spans="1:8" x14ac:dyDescent="0.25">
      <c r="A230" t="s">
        <v>2646</v>
      </c>
      <c r="B230" t="s">
        <v>2649</v>
      </c>
      <c r="C230" t="s">
        <v>2649</v>
      </c>
      <c r="D230" t="s">
        <v>792</v>
      </c>
      <c r="E230" t="s">
        <v>2298</v>
      </c>
      <c r="F230" t="s">
        <v>898</v>
      </c>
      <c r="G230" t="s">
        <v>3232</v>
      </c>
      <c r="H230" t="s">
        <v>2661</v>
      </c>
    </row>
    <row r="231" spans="1:8" x14ac:dyDescent="0.25">
      <c r="A231" t="s">
        <v>2292</v>
      </c>
      <c r="B231" t="s">
        <v>2650</v>
      </c>
      <c r="C231" t="s">
        <v>2650</v>
      </c>
      <c r="D231" t="s">
        <v>794</v>
      </c>
      <c r="E231" t="s">
        <v>843</v>
      </c>
      <c r="F231" t="s">
        <v>3278</v>
      </c>
      <c r="G231" t="s">
        <v>2681</v>
      </c>
      <c r="H231" t="s">
        <v>2662</v>
      </c>
    </row>
    <row r="232" spans="1:8" x14ac:dyDescent="0.25">
      <c r="A232" t="s">
        <v>2647</v>
      </c>
      <c r="B232" t="s">
        <v>2651</v>
      </c>
      <c r="C232" t="s">
        <v>2651</v>
      </c>
      <c r="D232" t="s">
        <v>796</v>
      </c>
      <c r="E232" t="s">
        <v>2655</v>
      </c>
      <c r="F232" t="s">
        <v>855</v>
      </c>
      <c r="G232" t="s">
        <v>2314</v>
      </c>
      <c r="H232" t="s">
        <v>2663</v>
      </c>
    </row>
    <row r="233" spans="1:8" x14ac:dyDescent="0.25">
      <c r="A233" t="s">
        <v>2293</v>
      </c>
      <c r="B233" t="s">
        <v>2652</v>
      </c>
      <c r="C233" t="s">
        <v>2652</v>
      </c>
      <c r="D233" t="s">
        <v>798</v>
      </c>
      <c r="E233" t="s">
        <v>1082</v>
      </c>
      <c r="F233" t="s">
        <v>857</v>
      </c>
      <c r="G233" t="s">
        <v>2682</v>
      </c>
      <c r="H233" t="s">
        <v>3310</v>
      </c>
    </row>
    <row r="234" spans="1:8" x14ac:dyDescent="0.25">
      <c r="A234" t="s">
        <v>2648</v>
      </c>
      <c r="B234" t="s">
        <v>2653</v>
      </c>
      <c r="C234" t="s">
        <v>2653</v>
      </c>
      <c r="D234" t="s">
        <v>799</v>
      </c>
      <c r="E234" t="s">
        <v>2301</v>
      </c>
      <c r="F234" t="s">
        <v>3094</v>
      </c>
      <c r="G234" t="s">
        <v>2683</v>
      </c>
      <c r="H234" t="s">
        <v>3316</v>
      </c>
    </row>
    <row r="235" spans="1:8" x14ac:dyDescent="0.25">
      <c r="A235" t="s">
        <v>2649</v>
      </c>
      <c r="B235" t="s">
        <v>2294</v>
      </c>
      <c r="C235" t="s">
        <v>2294</v>
      </c>
      <c r="D235" t="s">
        <v>2297</v>
      </c>
      <c r="E235" t="s">
        <v>2302</v>
      </c>
      <c r="F235" t="s">
        <v>3232</v>
      </c>
      <c r="G235" t="s">
        <v>2315</v>
      </c>
      <c r="H235" t="s">
        <v>835</v>
      </c>
    </row>
    <row r="236" spans="1:8" x14ac:dyDescent="0.25">
      <c r="A236" t="s">
        <v>2650</v>
      </c>
      <c r="B236" t="s">
        <v>2654</v>
      </c>
      <c r="C236" t="s">
        <v>2654</v>
      </c>
      <c r="D236" t="s">
        <v>802</v>
      </c>
      <c r="E236" t="s">
        <v>804</v>
      </c>
      <c r="F236" t="s">
        <v>2681</v>
      </c>
      <c r="G236" t="s">
        <v>2684</v>
      </c>
      <c r="H236" t="s">
        <v>974</v>
      </c>
    </row>
    <row r="237" spans="1:8" x14ac:dyDescent="0.25">
      <c r="A237" t="s">
        <v>2651</v>
      </c>
      <c r="B237" t="s">
        <v>2295</v>
      </c>
      <c r="C237" t="s">
        <v>2295</v>
      </c>
      <c r="D237" t="s">
        <v>2298</v>
      </c>
      <c r="E237" t="s">
        <v>806</v>
      </c>
      <c r="F237" t="s">
        <v>2314</v>
      </c>
      <c r="G237" t="s">
        <v>2685</v>
      </c>
      <c r="H237" t="s">
        <v>2666</v>
      </c>
    </row>
    <row r="238" spans="1:8" x14ac:dyDescent="0.25">
      <c r="A238" t="s">
        <v>2652</v>
      </c>
      <c r="B238" t="s">
        <v>2296</v>
      </c>
      <c r="C238" t="s">
        <v>2296</v>
      </c>
      <c r="D238" t="s">
        <v>843</v>
      </c>
      <c r="E238" t="s">
        <v>807</v>
      </c>
      <c r="F238" t="s">
        <v>2682</v>
      </c>
      <c r="G238" t="s">
        <v>2686</v>
      </c>
      <c r="H238" t="s">
        <v>1076</v>
      </c>
    </row>
    <row r="239" spans="1:8" x14ac:dyDescent="0.25">
      <c r="A239" t="s">
        <v>2653</v>
      </c>
      <c r="B239" t="s">
        <v>786</v>
      </c>
      <c r="C239" t="s">
        <v>3179</v>
      </c>
      <c r="D239" t="s">
        <v>1082</v>
      </c>
      <c r="E239" t="s">
        <v>808</v>
      </c>
      <c r="F239" t="s">
        <v>2683</v>
      </c>
      <c r="G239" t="s">
        <v>3272</v>
      </c>
      <c r="H239" t="s">
        <v>2667</v>
      </c>
    </row>
    <row r="240" spans="1:8" x14ac:dyDescent="0.25">
      <c r="A240" t="s">
        <v>2294</v>
      </c>
      <c r="B240" t="s">
        <v>788</v>
      </c>
      <c r="C240" t="s">
        <v>786</v>
      </c>
      <c r="D240" t="s">
        <v>2301</v>
      </c>
      <c r="E240" t="s">
        <v>809</v>
      </c>
      <c r="F240" t="s">
        <v>2315</v>
      </c>
      <c r="G240" t="s">
        <v>3154</v>
      </c>
      <c r="H240" t="s">
        <v>839</v>
      </c>
    </row>
    <row r="241" spans="1:8" x14ac:dyDescent="0.25">
      <c r="A241" t="s">
        <v>2654</v>
      </c>
      <c r="B241" t="s">
        <v>789</v>
      </c>
      <c r="C241" t="s">
        <v>788</v>
      </c>
      <c r="D241" t="s">
        <v>2302</v>
      </c>
      <c r="E241" t="s">
        <v>1039</v>
      </c>
      <c r="F241" t="s">
        <v>2685</v>
      </c>
      <c r="G241" t="s">
        <v>3066</v>
      </c>
      <c r="H241" t="s">
        <v>841</v>
      </c>
    </row>
    <row r="242" spans="1:8" x14ac:dyDescent="0.25">
      <c r="A242" t="s">
        <v>2295</v>
      </c>
      <c r="B242" t="s">
        <v>791</v>
      </c>
      <c r="C242" t="s">
        <v>789</v>
      </c>
      <c r="D242" t="s">
        <v>804</v>
      </c>
      <c r="E242" t="s">
        <v>810</v>
      </c>
      <c r="F242" t="s">
        <v>2686</v>
      </c>
      <c r="G242" t="s">
        <v>3067</v>
      </c>
      <c r="H242" t="s">
        <v>844</v>
      </c>
    </row>
    <row r="243" spans="1:8" x14ac:dyDescent="0.25">
      <c r="A243" t="s">
        <v>2296</v>
      </c>
      <c r="B243" t="s">
        <v>792</v>
      </c>
      <c r="C243" t="s">
        <v>791</v>
      </c>
      <c r="D243" t="s">
        <v>806</v>
      </c>
      <c r="E243" t="s">
        <v>2656</v>
      </c>
      <c r="F243" t="s">
        <v>3272</v>
      </c>
      <c r="G243" t="s">
        <v>2687</v>
      </c>
      <c r="H243" t="s">
        <v>3300</v>
      </c>
    </row>
    <row r="244" spans="1:8" x14ac:dyDescent="0.25">
      <c r="A244" t="s">
        <v>786</v>
      </c>
      <c r="B244" t="s">
        <v>794</v>
      </c>
      <c r="C244" t="s">
        <v>792</v>
      </c>
      <c r="D244" t="s">
        <v>807</v>
      </c>
      <c r="E244" t="s">
        <v>3092</v>
      </c>
      <c r="F244" t="s">
        <v>3154</v>
      </c>
      <c r="G244" t="s">
        <v>2688</v>
      </c>
      <c r="H244" t="s">
        <v>846</v>
      </c>
    </row>
    <row r="245" spans="1:8" x14ac:dyDescent="0.25">
      <c r="A245" t="s">
        <v>788</v>
      </c>
      <c r="B245" t="s">
        <v>796</v>
      </c>
      <c r="C245" t="s">
        <v>794</v>
      </c>
      <c r="D245" t="s">
        <v>808</v>
      </c>
      <c r="E245" t="s">
        <v>818</v>
      </c>
      <c r="F245" t="s">
        <v>3066</v>
      </c>
      <c r="G245" t="s">
        <v>3187</v>
      </c>
      <c r="H245" t="s">
        <v>847</v>
      </c>
    </row>
    <row r="246" spans="1:8" x14ac:dyDescent="0.25">
      <c r="A246" t="s">
        <v>789</v>
      </c>
      <c r="B246" t="s">
        <v>798</v>
      </c>
      <c r="C246" t="s">
        <v>796</v>
      </c>
      <c r="D246" t="s">
        <v>809</v>
      </c>
      <c r="E246" t="s">
        <v>826</v>
      </c>
      <c r="F246" t="s">
        <v>3067</v>
      </c>
      <c r="G246" t="s">
        <v>2689</v>
      </c>
      <c r="H246" t="s">
        <v>849</v>
      </c>
    </row>
    <row r="247" spans="1:8" x14ac:dyDescent="0.25">
      <c r="A247" t="s">
        <v>791</v>
      </c>
      <c r="B247" t="s">
        <v>799</v>
      </c>
      <c r="C247" t="s">
        <v>798</v>
      </c>
      <c r="D247" t="s">
        <v>2303</v>
      </c>
      <c r="E247" t="s">
        <v>2305</v>
      </c>
      <c r="F247" t="s">
        <v>2687</v>
      </c>
      <c r="G247" t="s">
        <v>876</v>
      </c>
      <c r="H247" t="s">
        <v>2309</v>
      </c>
    </row>
    <row r="248" spans="1:8" x14ac:dyDescent="0.25">
      <c r="A248" t="s">
        <v>792</v>
      </c>
      <c r="B248" t="s">
        <v>2297</v>
      </c>
      <c r="C248" t="s">
        <v>799</v>
      </c>
      <c r="D248" t="s">
        <v>1039</v>
      </c>
      <c r="E248" t="s">
        <v>830</v>
      </c>
      <c r="F248" t="s">
        <v>2688</v>
      </c>
      <c r="G248" t="s">
        <v>2690</v>
      </c>
      <c r="H248" t="s">
        <v>3303</v>
      </c>
    </row>
    <row r="249" spans="1:8" x14ac:dyDescent="0.25">
      <c r="A249" t="s">
        <v>794</v>
      </c>
      <c r="B249" t="s">
        <v>802</v>
      </c>
      <c r="C249" t="s">
        <v>2297</v>
      </c>
      <c r="D249" t="s">
        <v>810</v>
      </c>
      <c r="E249" t="s">
        <v>1065</v>
      </c>
      <c r="F249" t="s">
        <v>3185</v>
      </c>
      <c r="G249" t="s">
        <v>877</v>
      </c>
      <c r="H249" t="s">
        <v>2310</v>
      </c>
    </row>
    <row r="250" spans="1:8" x14ac:dyDescent="0.25">
      <c r="A250" t="s">
        <v>796</v>
      </c>
      <c r="B250" t="s">
        <v>2298</v>
      </c>
      <c r="C250" t="s">
        <v>802</v>
      </c>
      <c r="D250" t="s">
        <v>2656</v>
      </c>
      <c r="E250" t="s">
        <v>831</v>
      </c>
      <c r="F250" t="s">
        <v>3186</v>
      </c>
      <c r="G250" t="s">
        <v>3189</v>
      </c>
      <c r="H250" t="s">
        <v>3093</v>
      </c>
    </row>
    <row r="251" spans="1:8" x14ac:dyDescent="0.25">
      <c r="A251" t="s">
        <v>798</v>
      </c>
      <c r="B251" t="s">
        <v>843</v>
      </c>
      <c r="C251" t="s">
        <v>2298</v>
      </c>
      <c r="D251" t="s">
        <v>3092</v>
      </c>
      <c r="E251" t="s">
        <v>2661</v>
      </c>
      <c r="F251" t="s">
        <v>3187</v>
      </c>
      <c r="G251" t="s">
        <v>879</v>
      </c>
      <c r="H251" t="s">
        <v>850</v>
      </c>
    </row>
    <row r="252" spans="1:8" x14ac:dyDescent="0.25">
      <c r="A252" t="s">
        <v>799</v>
      </c>
      <c r="B252" t="s">
        <v>803</v>
      </c>
      <c r="C252" t="s">
        <v>843</v>
      </c>
      <c r="D252" t="s">
        <v>2305</v>
      </c>
      <c r="E252" t="s">
        <v>2662</v>
      </c>
      <c r="F252" t="s">
        <v>2689</v>
      </c>
      <c r="G252" t="s">
        <v>882</v>
      </c>
      <c r="H252" t="s">
        <v>3181</v>
      </c>
    </row>
    <row r="253" spans="1:8" x14ac:dyDescent="0.25">
      <c r="A253" t="s">
        <v>2297</v>
      </c>
      <c r="B253" t="s">
        <v>2655</v>
      </c>
      <c r="C253" t="s">
        <v>803</v>
      </c>
      <c r="D253" t="s">
        <v>830</v>
      </c>
      <c r="E253" t="s">
        <v>2663</v>
      </c>
      <c r="F253" t="s">
        <v>876</v>
      </c>
      <c r="G253" t="s">
        <v>2316</v>
      </c>
      <c r="H253" t="s">
        <v>2673</v>
      </c>
    </row>
    <row r="254" spans="1:8" x14ac:dyDescent="0.25">
      <c r="A254" t="s">
        <v>802</v>
      </c>
      <c r="B254" t="s">
        <v>1082</v>
      </c>
      <c r="C254" t="s">
        <v>2655</v>
      </c>
      <c r="D254" t="s">
        <v>1065</v>
      </c>
      <c r="E254" t="s">
        <v>2666</v>
      </c>
      <c r="F254" t="s">
        <v>3189</v>
      </c>
      <c r="G254" t="s">
        <v>2695</v>
      </c>
      <c r="H254" t="s">
        <v>2677</v>
      </c>
    </row>
    <row r="255" spans="1:8" x14ac:dyDescent="0.25">
      <c r="A255" t="s">
        <v>2298</v>
      </c>
      <c r="B255" t="s">
        <v>2300</v>
      </c>
      <c r="C255" t="s">
        <v>1082</v>
      </c>
      <c r="D255" t="s">
        <v>2661</v>
      </c>
      <c r="E255" t="s">
        <v>1076</v>
      </c>
      <c r="F255" t="s">
        <v>880</v>
      </c>
      <c r="G255" t="s">
        <v>3279</v>
      </c>
      <c r="H255" t="s">
        <v>2313</v>
      </c>
    </row>
    <row r="256" spans="1:8" x14ac:dyDescent="0.25">
      <c r="A256" t="s">
        <v>843</v>
      </c>
      <c r="B256" t="s">
        <v>2301</v>
      </c>
      <c r="C256" t="s">
        <v>2300</v>
      </c>
      <c r="D256" t="s">
        <v>2662</v>
      </c>
      <c r="E256" t="s">
        <v>839</v>
      </c>
      <c r="F256" t="s">
        <v>2316</v>
      </c>
      <c r="G256" t="s">
        <v>883</v>
      </c>
      <c r="H256" t="s">
        <v>3065</v>
      </c>
    </row>
    <row r="257" spans="1:8" x14ac:dyDescent="0.25">
      <c r="A257" t="s">
        <v>803</v>
      </c>
      <c r="B257" t="s">
        <v>2302</v>
      </c>
      <c r="C257" t="s">
        <v>2301</v>
      </c>
      <c r="D257" t="s">
        <v>2663</v>
      </c>
      <c r="E257" t="s">
        <v>2668</v>
      </c>
      <c r="F257" t="s">
        <v>2695</v>
      </c>
      <c r="G257" t="s">
        <v>3280</v>
      </c>
      <c r="H257" t="s">
        <v>853</v>
      </c>
    </row>
    <row r="258" spans="1:8" x14ac:dyDescent="0.25">
      <c r="A258" t="s">
        <v>2655</v>
      </c>
      <c r="B258" t="s">
        <v>804</v>
      </c>
      <c r="C258" t="s">
        <v>2302</v>
      </c>
      <c r="D258" t="s">
        <v>2665</v>
      </c>
      <c r="E258" t="s">
        <v>841</v>
      </c>
      <c r="F258" t="s">
        <v>883</v>
      </c>
      <c r="G258" t="s">
        <v>2317</v>
      </c>
      <c r="H258" t="s">
        <v>854</v>
      </c>
    </row>
    <row r="259" spans="1:8" x14ac:dyDescent="0.25">
      <c r="A259" t="s">
        <v>2299</v>
      </c>
      <c r="B259" t="s">
        <v>806</v>
      </c>
      <c r="C259" t="s">
        <v>804</v>
      </c>
      <c r="D259" t="s">
        <v>1076</v>
      </c>
      <c r="E259" t="s">
        <v>2669</v>
      </c>
      <c r="F259" t="s">
        <v>2317</v>
      </c>
      <c r="G259" t="s">
        <v>2318</v>
      </c>
      <c r="H259" t="s">
        <v>898</v>
      </c>
    </row>
    <row r="260" spans="1:8" x14ac:dyDescent="0.25">
      <c r="A260" t="s">
        <v>1082</v>
      </c>
      <c r="B260" t="s">
        <v>807</v>
      </c>
      <c r="C260" t="s">
        <v>806</v>
      </c>
      <c r="D260" t="s">
        <v>839</v>
      </c>
      <c r="E260" t="s">
        <v>844</v>
      </c>
      <c r="F260" t="s">
        <v>2318</v>
      </c>
      <c r="G260" t="s">
        <v>2697</v>
      </c>
      <c r="H260" t="s">
        <v>900</v>
      </c>
    </row>
    <row r="261" spans="1:8" x14ac:dyDescent="0.25">
      <c r="A261" t="s">
        <v>2300</v>
      </c>
      <c r="B261" t="s">
        <v>808</v>
      </c>
      <c r="C261" t="s">
        <v>807</v>
      </c>
      <c r="D261" t="s">
        <v>2668</v>
      </c>
      <c r="E261" t="s">
        <v>3300</v>
      </c>
      <c r="F261" t="s">
        <v>884</v>
      </c>
      <c r="G261" t="s">
        <v>2698</v>
      </c>
      <c r="H261" t="s">
        <v>3278</v>
      </c>
    </row>
    <row r="262" spans="1:8" x14ac:dyDescent="0.25">
      <c r="A262" t="s">
        <v>2301</v>
      </c>
      <c r="B262" t="s">
        <v>809</v>
      </c>
      <c r="C262" t="s">
        <v>808</v>
      </c>
      <c r="D262" t="s">
        <v>841</v>
      </c>
      <c r="E262" t="s">
        <v>846</v>
      </c>
      <c r="F262" t="s">
        <v>2697</v>
      </c>
      <c r="G262" t="s">
        <v>2699</v>
      </c>
      <c r="H262" t="s">
        <v>855</v>
      </c>
    </row>
    <row r="263" spans="1:8" x14ac:dyDescent="0.25">
      <c r="A263" t="s">
        <v>2302</v>
      </c>
      <c r="B263" t="s">
        <v>2303</v>
      </c>
      <c r="C263" t="s">
        <v>809</v>
      </c>
      <c r="D263" t="s">
        <v>2669</v>
      </c>
      <c r="E263" t="s">
        <v>849</v>
      </c>
      <c r="F263" t="s">
        <v>2698</v>
      </c>
      <c r="G263" t="s">
        <v>2700</v>
      </c>
      <c r="H263" t="s">
        <v>857</v>
      </c>
    </row>
    <row r="264" spans="1:8" x14ac:dyDescent="0.25">
      <c r="A264" t="s">
        <v>804</v>
      </c>
      <c r="B264" t="s">
        <v>1039</v>
      </c>
      <c r="C264" t="s">
        <v>2303</v>
      </c>
      <c r="D264" t="s">
        <v>844</v>
      </c>
      <c r="E264" t="s">
        <v>2309</v>
      </c>
      <c r="F264" t="s">
        <v>2699</v>
      </c>
      <c r="G264" t="s">
        <v>2701</v>
      </c>
      <c r="H264" t="s">
        <v>3094</v>
      </c>
    </row>
    <row r="265" spans="1:8" x14ac:dyDescent="0.25">
      <c r="A265" t="s">
        <v>806</v>
      </c>
      <c r="B265" t="s">
        <v>810</v>
      </c>
      <c r="C265" t="s">
        <v>1039</v>
      </c>
      <c r="D265" t="s">
        <v>2671</v>
      </c>
      <c r="E265" t="s">
        <v>2310</v>
      </c>
      <c r="F265" t="s">
        <v>2700</v>
      </c>
      <c r="G265" t="s">
        <v>2702</v>
      </c>
      <c r="H265" t="s">
        <v>3232</v>
      </c>
    </row>
    <row r="266" spans="1:8" x14ac:dyDescent="0.25">
      <c r="A266" t="s">
        <v>807</v>
      </c>
      <c r="B266" t="s">
        <v>2656</v>
      </c>
      <c r="C266" t="s">
        <v>810</v>
      </c>
      <c r="D266" t="s">
        <v>2308</v>
      </c>
      <c r="E266" t="s">
        <v>3093</v>
      </c>
      <c r="F266" t="s">
        <v>2701</v>
      </c>
      <c r="G266" t="s">
        <v>2704</v>
      </c>
      <c r="H266" t="s">
        <v>2681</v>
      </c>
    </row>
    <row r="267" spans="1:8" x14ac:dyDescent="0.25">
      <c r="A267" t="s">
        <v>808</v>
      </c>
      <c r="B267" t="s">
        <v>2657</v>
      </c>
      <c r="C267" t="s">
        <v>2656</v>
      </c>
      <c r="D267" t="s">
        <v>886</v>
      </c>
      <c r="E267" t="s">
        <v>850</v>
      </c>
      <c r="F267" t="s">
        <v>2702</v>
      </c>
      <c r="G267" t="s">
        <v>2705</v>
      </c>
      <c r="H267" t="s">
        <v>2314</v>
      </c>
    </row>
    <row r="268" spans="1:8" x14ac:dyDescent="0.25">
      <c r="A268" t="s">
        <v>809</v>
      </c>
      <c r="B268" t="s">
        <v>2658</v>
      </c>
      <c r="C268" t="s">
        <v>3149</v>
      </c>
      <c r="D268" t="s">
        <v>846</v>
      </c>
      <c r="E268" t="s">
        <v>2672</v>
      </c>
      <c r="F268" t="s">
        <v>2703</v>
      </c>
      <c r="G268" t="s">
        <v>888</v>
      </c>
      <c r="H268" t="s">
        <v>2682</v>
      </c>
    </row>
    <row r="269" spans="1:8" x14ac:dyDescent="0.25">
      <c r="A269" t="s">
        <v>2303</v>
      </c>
      <c r="B269" t="s">
        <v>2304</v>
      </c>
      <c r="C269" t="s">
        <v>2657</v>
      </c>
      <c r="D269" t="s">
        <v>847</v>
      </c>
      <c r="E269" t="s">
        <v>2676</v>
      </c>
      <c r="F269" t="s">
        <v>2704</v>
      </c>
      <c r="G269" t="s">
        <v>889</v>
      </c>
      <c r="H269" t="s">
        <v>2683</v>
      </c>
    </row>
    <row r="270" spans="1:8" x14ac:dyDescent="0.25">
      <c r="A270" t="s">
        <v>1039</v>
      </c>
      <c r="B270" t="s">
        <v>2659</v>
      </c>
      <c r="C270" t="s">
        <v>2658</v>
      </c>
      <c r="D270" t="s">
        <v>849</v>
      </c>
      <c r="E270" t="s">
        <v>2677</v>
      </c>
      <c r="F270" t="s">
        <v>2705</v>
      </c>
      <c r="G270" t="s">
        <v>892</v>
      </c>
      <c r="H270" t="s">
        <v>2315</v>
      </c>
    </row>
    <row r="271" spans="1:8" x14ac:dyDescent="0.25">
      <c r="A271" t="s">
        <v>810</v>
      </c>
      <c r="B271" t="s">
        <v>3092</v>
      </c>
      <c r="C271" t="s">
        <v>2304</v>
      </c>
      <c r="D271" t="s">
        <v>2309</v>
      </c>
      <c r="E271" t="s">
        <v>2312</v>
      </c>
      <c r="F271" t="s">
        <v>888</v>
      </c>
      <c r="G271" t="s">
        <v>893</v>
      </c>
      <c r="H271" t="s">
        <v>2684</v>
      </c>
    </row>
    <row r="272" spans="1:8" x14ac:dyDescent="0.25">
      <c r="A272" t="s">
        <v>2656</v>
      </c>
      <c r="B272" t="s">
        <v>818</v>
      </c>
      <c r="C272" t="s">
        <v>817</v>
      </c>
      <c r="D272" t="s">
        <v>2310</v>
      </c>
      <c r="E272" t="s">
        <v>2313</v>
      </c>
      <c r="F272" t="s">
        <v>889</v>
      </c>
      <c r="G272" t="s">
        <v>2706</v>
      </c>
      <c r="H272" t="s">
        <v>2685</v>
      </c>
    </row>
    <row r="273" spans="1:8" x14ac:dyDescent="0.25">
      <c r="A273" t="s">
        <v>2657</v>
      </c>
      <c r="B273" t="s">
        <v>2660</v>
      </c>
      <c r="C273" t="s">
        <v>818</v>
      </c>
      <c r="D273" t="s">
        <v>3093</v>
      </c>
      <c r="E273" t="s">
        <v>3065</v>
      </c>
      <c r="F273" t="s">
        <v>892</v>
      </c>
      <c r="G273" t="s">
        <v>894</v>
      </c>
      <c r="H273" t="s">
        <v>2686</v>
      </c>
    </row>
    <row r="274" spans="1:8" x14ac:dyDescent="0.25">
      <c r="A274" t="s">
        <v>2658</v>
      </c>
      <c r="B274" t="s">
        <v>2305</v>
      </c>
      <c r="C274" t="s">
        <v>2660</v>
      </c>
      <c r="D274" t="s">
        <v>850</v>
      </c>
      <c r="E274" t="s">
        <v>853</v>
      </c>
      <c r="F274" t="s">
        <v>893</v>
      </c>
      <c r="G274" t="s">
        <v>2320</v>
      </c>
      <c r="H274" t="s">
        <v>3272</v>
      </c>
    </row>
    <row r="275" spans="1:8" x14ac:dyDescent="0.25">
      <c r="A275" t="s">
        <v>2304</v>
      </c>
      <c r="B275" t="s">
        <v>830</v>
      </c>
      <c r="C275" t="s">
        <v>2305</v>
      </c>
      <c r="D275" t="s">
        <v>2676</v>
      </c>
      <c r="E275" t="s">
        <v>854</v>
      </c>
      <c r="F275" t="s">
        <v>2706</v>
      </c>
      <c r="G275" t="s">
        <v>2321</v>
      </c>
      <c r="H275" t="s">
        <v>3154</v>
      </c>
    </row>
    <row r="276" spans="1:8" x14ac:dyDescent="0.25">
      <c r="A276" t="s">
        <v>2659</v>
      </c>
      <c r="B276" t="s">
        <v>1065</v>
      </c>
      <c r="C276" t="s">
        <v>830</v>
      </c>
      <c r="D276" t="s">
        <v>3183</v>
      </c>
      <c r="E276" t="s">
        <v>898</v>
      </c>
      <c r="F276" t="s">
        <v>894</v>
      </c>
      <c r="G276" t="s">
        <v>2323</v>
      </c>
      <c r="H276" t="s">
        <v>3066</v>
      </c>
    </row>
    <row r="277" spans="1:8" x14ac:dyDescent="0.25">
      <c r="A277" t="s">
        <v>817</v>
      </c>
      <c r="B277" t="s">
        <v>831</v>
      </c>
      <c r="C277" t="s">
        <v>1065</v>
      </c>
      <c r="D277" t="s">
        <v>3153</v>
      </c>
      <c r="E277" t="s">
        <v>900</v>
      </c>
      <c r="F277" t="s">
        <v>2709</v>
      </c>
      <c r="G277" t="s">
        <v>2324</v>
      </c>
      <c r="H277" t="s">
        <v>3067</v>
      </c>
    </row>
    <row r="278" spans="1:8" x14ac:dyDescent="0.25">
      <c r="A278" t="s">
        <v>818</v>
      </c>
      <c r="B278" t="s">
        <v>2661</v>
      </c>
      <c r="C278" t="s">
        <v>831</v>
      </c>
      <c r="D278" t="s">
        <v>2677</v>
      </c>
      <c r="E278" t="s">
        <v>3278</v>
      </c>
      <c r="F278" t="s">
        <v>2320</v>
      </c>
      <c r="G278" t="s">
        <v>2325</v>
      </c>
      <c r="H278" t="s">
        <v>2687</v>
      </c>
    </row>
    <row r="279" spans="1:8" x14ac:dyDescent="0.25">
      <c r="A279" t="s">
        <v>2660</v>
      </c>
      <c r="B279" t="s">
        <v>2662</v>
      </c>
      <c r="C279" t="s">
        <v>2661</v>
      </c>
      <c r="D279" t="s">
        <v>2312</v>
      </c>
      <c r="E279" t="s">
        <v>2680</v>
      </c>
      <c r="F279" t="s">
        <v>2321</v>
      </c>
      <c r="G279" t="s">
        <v>2326</v>
      </c>
      <c r="H279" t="s">
        <v>2688</v>
      </c>
    </row>
    <row r="280" spans="1:8" x14ac:dyDescent="0.25">
      <c r="A280" t="s">
        <v>2305</v>
      </c>
      <c r="B280" t="s">
        <v>2663</v>
      </c>
      <c r="C280" t="s">
        <v>2662</v>
      </c>
      <c r="D280" t="s">
        <v>2313</v>
      </c>
      <c r="E280" t="s">
        <v>855</v>
      </c>
      <c r="F280" t="s">
        <v>2322</v>
      </c>
      <c r="G280" t="s">
        <v>2327</v>
      </c>
      <c r="H280" t="s">
        <v>3185</v>
      </c>
    </row>
    <row r="281" spans="1:8" x14ac:dyDescent="0.25">
      <c r="A281" t="s">
        <v>830</v>
      </c>
      <c r="B281" t="s">
        <v>2664</v>
      </c>
      <c r="C281" t="s">
        <v>2663</v>
      </c>
      <c r="D281" t="s">
        <v>853</v>
      </c>
      <c r="E281" t="s">
        <v>857</v>
      </c>
      <c r="F281" t="s">
        <v>2323</v>
      </c>
      <c r="G281" t="s">
        <v>2328</v>
      </c>
      <c r="H281" t="s">
        <v>3186</v>
      </c>
    </row>
    <row r="282" spans="1:8" x14ac:dyDescent="0.25">
      <c r="A282" t="s">
        <v>1065</v>
      </c>
      <c r="B282" t="s">
        <v>974</v>
      </c>
      <c r="C282" t="s">
        <v>835</v>
      </c>
      <c r="D282" t="s">
        <v>854</v>
      </c>
      <c r="E282" t="s">
        <v>3094</v>
      </c>
      <c r="F282" t="s">
        <v>2324</v>
      </c>
      <c r="G282" t="s">
        <v>2711</v>
      </c>
      <c r="H282" t="s">
        <v>3187</v>
      </c>
    </row>
    <row r="283" spans="1:8" x14ac:dyDescent="0.25">
      <c r="A283" t="s">
        <v>831</v>
      </c>
      <c r="B283" t="s">
        <v>2306</v>
      </c>
      <c r="C283" t="s">
        <v>974</v>
      </c>
      <c r="D283" t="s">
        <v>900</v>
      </c>
      <c r="E283" t="s">
        <v>3232</v>
      </c>
      <c r="F283" t="s">
        <v>2325</v>
      </c>
      <c r="G283" t="s">
        <v>2712</v>
      </c>
      <c r="H283" t="s">
        <v>2689</v>
      </c>
    </row>
    <row r="284" spans="1:8" x14ac:dyDescent="0.25">
      <c r="A284" t="s">
        <v>2661</v>
      </c>
      <c r="B284" t="s">
        <v>2307</v>
      </c>
      <c r="C284" t="s">
        <v>2665</v>
      </c>
      <c r="D284" t="s">
        <v>855</v>
      </c>
      <c r="E284" t="s">
        <v>2681</v>
      </c>
      <c r="F284" t="s">
        <v>2326</v>
      </c>
      <c r="G284" t="s">
        <v>3190</v>
      </c>
      <c r="H284" t="s">
        <v>876</v>
      </c>
    </row>
    <row r="285" spans="1:8" x14ac:dyDescent="0.25">
      <c r="A285" t="s">
        <v>2662</v>
      </c>
      <c r="B285" t="s">
        <v>1076</v>
      </c>
      <c r="C285" t="s">
        <v>2306</v>
      </c>
      <c r="D285" t="s">
        <v>3094</v>
      </c>
      <c r="E285" t="s">
        <v>2314</v>
      </c>
      <c r="F285" t="s">
        <v>2327</v>
      </c>
      <c r="G285" t="s">
        <v>2713</v>
      </c>
      <c r="H285" t="s">
        <v>877</v>
      </c>
    </row>
    <row r="286" spans="1:8" x14ac:dyDescent="0.25">
      <c r="A286" t="s">
        <v>2663</v>
      </c>
      <c r="B286" t="s">
        <v>839</v>
      </c>
      <c r="C286" t="s">
        <v>2666</v>
      </c>
      <c r="D286" t="s">
        <v>3232</v>
      </c>
      <c r="E286" t="s">
        <v>2683</v>
      </c>
      <c r="F286" t="s">
        <v>2328</v>
      </c>
      <c r="G286" t="s">
        <v>2714</v>
      </c>
      <c r="H286" t="s">
        <v>3189</v>
      </c>
    </row>
    <row r="287" spans="1:8" x14ac:dyDescent="0.25">
      <c r="A287" t="s">
        <v>2664</v>
      </c>
      <c r="B287" t="s">
        <v>2668</v>
      </c>
      <c r="C287" t="s">
        <v>3150</v>
      </c>
      <c r="D287" t="s">
        <v>2681</v>
      </c>
      <c r="E287" t="s">
        <v>2315</v>
      </c>
      <c r="F287" t="s">
        <v>2711</v>
      </c>
      <c r="G287" t="s">
        <v>2715</v>
      </c>
      <c r="H287" t="s">
        <v>879</v>
      </c>
    </row>
    <row r="288" spans="1:8" x14ac:dyDescent="0.25">
      <c r="A288" t="s">
        <v>974</v>
      </c>
      <c r="B288" t="s">
        <v>841</v>
      </c>
      <c r="C288" t="s">
        <v>2307</v>
      </c>
      <c r="D288" t="s">
        <v>2314</v>
      </c>
      <c r="E288" t="s">
        <v>2684</v>
      </c>
      <c r="F288" t="s">
        <v>2712</v>
      </c>
      <c r="G288" t="s">
        <v>2716</v>
      </c>
      <c r="H288" t="s">
        <v>882</v>
      </c>
    </row>
    <row r="289" spans="1:8" x14ac:dyDescent="0.25">
      <c r="A289" t="s">
        <v>2665</v>
      </c>
      <c r="B289" t="s">
        <v>2669</v>
      </c>
      <c r="C289" t="s">
        <v>1076</v>
      </c>
      <c r="D289" t="s">
        <v>2683</v>
      </c>
      <c r="E289" t="s">
        <v>2685</v>
      </c>
      <c r="F289" t="s">
        <v>3190</v>
      </c>
      <c r="G289" t="s">
        <v>2717</v>
      </c>
      <c r="H289" t="s">
        <v>2316</v>
      </c>
    </row>
    <row r="290" spans="1:8" x14ac:dyDescent="0.25">
      <c r="A290" t="s">
        <v>2306</v>
      </c>
      <c r="B290" t="s">
        <v>2670</v>
      </c>
      <c r="C290" t="s">
        <v>839</v>
      </c>
      <c r="D290" t="s">
        <v>3184</v>
      </c>
      <c r="E290" t="s">
        <v>2686</v>
      </c>
      <c r="F290" t="s">
        <v>2713</v>
      </c>
      <c r="G290" t="s">
        <v>2718</v>
      </c>
      <c r="H290" t="s">
        <v>2695</v>
      </c>
    </row>
    <row r="291" spans="1:8" x14ac:dyDescent="0.25">
      <c r="A291" t="s">
        <v>2666</v>
      </c>
      <c r="B291" t="s">
        <v>844</v>
      </c>
      <c r="C291" t="s">
        <v>2668</v>
      </c>
      <c r="D291" t="s">
        <v>2315</v>
      </c>
      <c r="E291" t="s">
        <v>3272</v>
      </c>
      <c r="F291" t="s">
        <v>2714</v>
      </c>
      <c r="G291" t="s">
        <v>2719</v>
      </c>
      <c r="H291" t="s">
        <v>883</v>
      </c>
    </row>
    <row r="292" spans="1:8" x14ac:dyDescent="0.25">
      <c r="A292" t="s">
        <v>2307</v>
      </c>
      <c r="B292" t="s">
        <v>2671</v>
      </c>
      <c r="C292" t="s">
        <v>841</v>
      </c>
      <c r="D292" t="s">
        <v>2684</v>
      </c>
      <c r="E292" t="s">
        <v>3154</v>
      </c>
      <c r="F292" t="s">
        <v>2715</v>
      </c>
      <c r="G292" t="s">
        <v>2721</v>
      </c>
      <c r="H292" t="s">
        <v>2317</v>
      </c>
    </row>
    <row r="293" spans="1:8" x14ac:dyDescent="0.25">
      <c r="A293" t="s">
        <v>1076</v>
      </c>
      <c r="B293" t="s">
        <v>2308</v>
      </c>
      <c r="C293" t="s">
        <v>2669</v>
      </c>
      <c r="D293" t="s">
        <v>2685</v>
      </c>
      <c r="E293" t="s">
        <v>3066</v>
      </c>
      <c r="F293" t="s">
        <v>2716</v>
      </c>
      <c r="G293" t="s">
        <v>948</v>
      </c>
      <c r="H293" t="s">
        <v>2318</v>
      </c>
    </row>
    <row r="294" spans="1:8" x14ac:dyDescent="0.25">
      <c r="A294" t="s">
        <v>2667</v>
      </c>
      <c r="B294" t="s">
        <v>886</v>
      </c>
      <c r="C294" t="s">
        <v>2670</v>
      </c>
      <c r="D294" t="s">
        <v>2686</v>
      </c>
      <c r="E294" t="s">
        <v>3067</v>
      </c>
      <c r="F294" t="s">
        <v>2717</v>
      </c>
      <c r="G294" t="s">
        <v>1047</v>
      </c>
      <c r="H294" t="s">
        <v>2698</v>
      </c>
    </row>
    <row r="295" spans="1:8" x14ac:dyDescent="0.25">
      <c r="A295" t="s">
        <v>839</v>
      </c>
      <c r="B295" t="s">
        <v>846</v>
      </c>
      <c r="C295" t="s">
        <v>844</v>
      </c>
      <c r="D295" t="s">
        <v>3154</v>
      </c>
      <c r="E295" t="s">
        <v>2687</v>
      </c>
      <c r="F295" t="s">
        <v>2718</v>
      </c>
      <c r="G295" t="s">
        <v>2724</v>
      </c>
      <c r="H295" t="s">
        <v>2699</v>
      </c>
    </row>
    <row r="296" spans="1:8" x14ac:dyDescent="0.25">
      <c r="A296" t="s">
        <v>2668</v>
      </c>
      <c r="B296" t="s">
        <v>847</v>
      </c>
      <c r="C296" t="s">
        <v>2671</v>
      </c>
      <c r="D296" t="s">
        <v>3066</v>
      </c>
      <c r="E296" t="s">
        <v>2688</v>
      </c>
      <c r="F296" t="s">
        <v>2721</v>
      </c>
      <c r="G296" t="s">
        <v>3191</v>
      </c>
      <c r="H296" t="s">
        <v>2700</v>
      </c>
    </row>
    <row r="297" spans="1:8" x14ac:dyDescent="0.25">
      <c r="A297" t="s">
        <v>841</v>
      </c>
      <c r="B297" t="s">
        <v>849</v>
      </c>
      <c r="C297" t="s">
        <v>2308</v>
      </c>
      <c r="D297" t="s">
        <v>3067</v>
      </c>
      <c r="E297" t="s">
        <v>3185</v>
      </c>
      <c r="F297" t="s">
        <v>2727</v>
      </c>
      <c r="G297" t="s">
        <v>2727</v>
      </c>
      <c r="H297" t="s">
        <v>2701</v>
      </c>
    </row>
    <row r="298" spans="1:8" x14ac:dyDescent="0.25">
      <c r="A298" t="s">
        <v>2669</v>
      </c>
      <c r="B298" t="s">
        <v>2310</v>
      </c>
      <c r="C298" t="s">
        <v>886</v>
      </c>
      <c r="D298" t="s">
        <v>2687</v>
      </c>
      <c r="E298" t="s">
        <v>3186</v>
      </c>
      <c r="F298" t="s">
        <v>896</v>
      </c>
      <c r="G298" t="s">
        <v>896</v>
      </c>
      <c r="H298" t="s">
        <v>2702</v>
      </c>
    </row>
    <row r="299" spans="1:8" x14ac:dyDescent="0.25">
      <c r="A299" t="s">
        <v>2670</v>
      </c>
      <c r="B299" t="s">
        <v>3093</v>
      </c>
      <c r="C299" t="s">
        <v>846</v>
      </c>
      <c r="D299" t="s">
        <v>2688</v>
      </c>
      <c r="E299" t="s">
        <v>3187</v>
      </c>
      <c r="F299" t="s">
        <v>897</v>
      </c>
      <c r="G299" t="s">
        <v>897</v>
      </c>
      <c r="H299" t="s">
        <v>2704</v>
      </c>
    </row>
    <row r="300" spans="1:8" x14ac:dyDescent="0.25">
      <c r="A300" t="s">
        <v>844</v>
      </c>
      <c r="B300" t="s">
        <v>850</v>
      </c>
      <c r="C300" t="s">
        <v>847</v>
      </c>
      <c r="D300" t="s">
        <v>3185</v>
      </c>
      <c r="E300" t="s">
        <v>2689</v>
      </c>
      <c r="F300" t="s">
        <v>2728</v>
      </c>
      <c r="G300" t="s">
        <v>2728</v>
      </c>
      <c r="H300" t="s">
        <v>2705</v>
      </c>
    </row>
    <row r="301" spans="1:8" x14ac:dyDescent="0.25">
      <c r="A301" t="s">
        <v>2671</v>
      </c>
      <c r="B301" t="s">
        <v>2675</v>
      </c>
      <c r="C301" t="s">
        <v>849</v>
      </c>
      <c r="D301" t="s">
        <v>3186</v>
      </c>
      <c r="E301" t="s">
        <v>876</v>
      </c>
      <c r="F301" t="s">
        <v>3318</v>
      </c>
      <c r="G301" t="s">
        <v>899</v>
      </c>
      <c r="H301" t="s">
        <v>888</v>
      </c>
    </row>
    <row r="302" spans="1:8" x14ac:dyDescent="0.25">
      <c r="A302" t="s">
        <v>2308</v>
      </c>
      <c r="B302" t="s">
        <v>2676</v>
      </c>
      <c r="C302" t="s">
        <v>2310</v>
      </c>
      <c r="D302" t="s">
        <v>3187</v>
      </c>
      <c r="E302" t="s">
        <v>877</v>
      </c>
      <c r="F302" t="s">
        <v>1144</v>
      </c>
      <c r="G302" t="s">
        <v>1144</v>
      </c>
      <c r="H302" t="s">
        <v>889</v>
      </c>
    </row>
    <row r="303" spans="1:8" x14ac:dyDescent="0.25">
      <c r="A303" t="s">
        <v>886</v>
      </c>
      <c r="B303" t="s">
        <v>2311</v>
      </c>
      <c r="C303" t="s">
        <v>3093</v>
      </c>
      <c r="D303" t="s">
        <v>2689</v>
      </c>
      <c r="E303" t="s">
        <v>2691</v>
      </c>
      <c r="F303" t="s">
        <v>1147</v>
      </c>
      <c r="G303" t="s">
        <v>1147</v>
      </c>
      <c r="H303" t="s">
        <v>892</v>
      </c>
    </row>
    <row r="304" spans="1:8" x14ac:dyDescent="0.25">
      <c r="A304" t="s">
        <v>846</v>
      </c>
      <c r="B304" t="s">
        <v>2677</v>
      </c>
      <c r="C304" t="s">
        <v>3180</v>
      </c>
      <c r="D304" t="s">
        <v>867</v>
      </c>
      <c r="E304" t="s">
        <v>1031</v>
      </c>
      <c r="F304" t="s">
        <v>2729</v>
      </c>
      <c r="G304" t="s">
        <v>904</v>
      </c>
      <c r="H304" t="s">
        <v>893</v>
      </c>
    </row>
    <row r="305" spans="1:8" x14ac:dyDescent="0.25">
      <c r="A305" t="s">
        <v>847</v>
      </c>
      <c r="B305" t="s">
        <v>2312</v>
      </c>
      <c r="C305" t="s">
        <v>850</v>
      </c>
      <c r="D305" t="s">
        <v>876</v>
      </c>
      <c r="E305" t="s">
        <v>879</v>
      </c>
      <c r="F305" t="s">
        <v>904</v>
      </c>
      <c r="G305" t="s">
        <v>908</v>
      </c>
      <c r="H305" t="s">
        <v>2706</v>
      </c>
    </row>
    <row r="306" spans="1:8" x14ac:dyDescent="0.25">
      <c r="A306" t="s">
        <v>849</v>
      </c>
      <c r="B306" t="s">
        <v>2313</v>
      </c>
      <c r="C306" t="s">
        <v>3151</v>
      </c>
      <c r="D306" t="s">
        <v>2690</v>
      </c>
      <c r="E306" t="s">
        <v>2316</v>
      </c>
      <c r="F306" t="s">
        <v>908</v>
      </c>
      <c r="G306" t="s">
        <v>3235</v>
      </c>
      <c r="H306" t="s">
        <v>894</v>
      </c>
    </row>
    <row r="307" spans="1:8" x14ac:dyDescent="0.25">
      <c r="A307" t="s">
        <v>2309</v>
      </c>
      <c r="B307" t="s">
        <v>3065</v>
      </c>
      <c r="C307" t="s">
        <v>3181</v>
      </c>
      <c r="D307" t="s">
        <v>877</v>
      </c>
      <c r="E307" t="s">
        <v>2695</v>
      </c>
      <c r="F307" t="s">
        <v>3235</v>
      </c>
      <c r="G307" t="s">
        <v>961</v>
      </c>
      <c r="H307" t="s">
        <v>3155</v>
      </c>
    </row>
    <row r="308" spans="1:8" x14ac:dyDescent="0.25">
      <c r="A308" t="s">
        <v>2310</v>
      </c>
      <c r="B308" t="s">
        <v>854</v>
      </c>
      <c r="C308" t="s">
        <v>2673</v>
      </c>
      <c r="D308" t="s">
        <v>2691</v>
      </c>
      <c r="E308" t="s">
        <v>3279</v>
      </c>
      <c r="F308" t="s">
        <v>961</v>
      </c>
      <c r="G308" t="s">
        <v>1150</v>
      </c>
      <c r="H308" t="s">
        <v>2320</v>
      </c>
    </row>
    <row r="309" spans="1:8" x14ac:dyDescent="0.25">
      <c r="A309" t="s">
        <v>850</v>
      </c>
      <c r="B309" t="s">
        <v>898</v>
      </c>
      <c r="C309" t="s">
        <v>2674</v>
      </c>
      <c r="D309" t="s">
        <v>2692</v>
      </c>
      <c r="E309" t="s">
        <v>883</v>
      </c>
      <c r="F309" t="s">
        <v>1150</v>
      </c>
      <c r="G309" t="s">
        <v>2734</v>
      </c>
      <c r="H309" t="s">
        <v>2321</v>
      </c>
    </row>
    <row r="310" spans="1:8" x14ac:dyDescent="0.25">
      <c r="A310" t="s">
        <v>2672</v>
      </c>
      <c r="B310" t="s">
        <v>900</v>
      </c>
      <c r="C310" t="s">
        <v>2675</v>
      </c>
      <c r="D310" t="s">
        <v>1031</v>
      </c>
      <c r="E310" t="s">
        <v>3280</v>
      </c>
      <c r="F310" t="s">
        <v>2734</v>
      </c>
      <c r="G310" t="s">
        <v>3192</v>
      </c>
      <c r="H310" t="s">
        <v>2323</v>
      </c>
    </row>
    <row r="311" spans="1:8" x14ac:dyDescent="0.25">
      <c r="A311" t="s">
        <v>2673</v>
      </c>
      <c r="B311" t="s">
        <v>2680</v>
      </c>
      <c r="C311" t="s">
        <v>3182</v>
      </c>
      <c r="D311" t="s">
        <v>879</v>
      </c>
      <c r="E311" t="s">
        <v>2317</v>
      </c>
      <c r="F311" t="s">
        <v>3192</v>
      </c>
      <c r="G311" t="s">
        <v>909</v>
      </c>
      <c r="H311" t="s">
        <v>2324</v>
      </c>
    </row>
    <row r="312" spans="1:8" x14ac:dyDescent="0.25">
      <c r="A312" t="s">
        <v>2674</v>
      </c>
      <c r="B312" t="s">
        <v>3094</v>
      </c>
      <c r="C312" t="s">
        <v>2676</v>
      </c>
      <c r="D312" t="s">
        <v>2316</v>
      </c>
      <c r="E312" t="s">
        <v>2318</v>
      </c>
      <c r="F312" t="s">
        <v>909</v>
      </c>
      <c r="G312" t="s">
        <v>910</v>
      </c>
      <c r="H312" t="s">
        <v>2326</v>
      </c>
    </row>
    <row r="313" spans="1:8" x14ac:dyDescent="0.25">
      <c r="A313" t="s">
        <v>2675</v>
      </c>
      <c r="B313" t="s">
        <v>2681</v>
      </c>
      <c r="C313" t="s">
        <v>2311</v>
      </c>
      <c r="D313" t="s">
        <v>2695</v>
      </c>
      <c r="E313" t="s">
        <v>884</v>
      </c>
      <c r="F313" t="s">
        <v>910</v>
      </c>
      <c r="G313" t="s">
        <v>2329</v>
      </c>
      <c r="H313" t="s">
        <v>2327</v>
      </c>
    </row>
    <row r="314" spans="1:8" x14ac:dyDescent="0.25">
      <c r="A314" t="s">
        <v>2676</v>
      </c>
      <c r="B314" t="s">
        <v>2314</v>
      </c>
      <c r="C314" t="s">
        <v>3152</v>
      </c>
      <c r="D314" t="s">
        <v>2317</v>
      </c>
      <c r="E314" t="s">
        <v>2696</v>
      </c>
      <c r="F314" t="s">
        <v>955</v>
      </c>
      <c r="G314" t="s">
        <v>3070</v>
      </c>
      <c r="H314" t="s">
        <v>2328</v>
      </c>
    </row>
    <row r="315" spans="1:8" x14ac:dyDescent="0.25">
      <c r="A315" t="s">
        <v>2311</v>
      </c>
      <c r="B315" t="s">
        <v>2682</v>
      </c>
      <c r="C315" t="s">
        <v>3183</v>
      </c>
      <c r="D315" t="s">
        <v>2318</v>
      </c>
      <c r="E315" t="s">
        <v>2697</v>
      </c>
      <c r="F315" t="s">
        <v>911</v>
      </c>
      <c r="G315" t="s">
        <v>3342</v>
      </c>
      <c r="H315" t="s">
        <v>2711</v>
      </c>
    </row>
    <row r="316" spans="1:8" x14ac:dyDescent="0.25">
      <c r="A316" t="s">
        <v>2677</v>
      </c>
      <c r="B316" t="s">
        <v>2683</v>
      </c>
      <c r="C316" t="s">
        <v>3153</v>
      </c>
      <c r="D316" t="s">
        <v>884</v>
      </c>
      <c r="E316" t="s">
        <v>2698</v>
      </c>
      <c r="F316" t="s">
        <v>3285</v>
      </c>
      <c r="G316" t="s">
        <v>3079</v>
      </c>
      <c r="H316" t="s">
        <v>2712</v>
      </c>
    </row>
    <row r="317" spans="1:8" x14ac:dyDescent="0.25">
      <c r="A317" t="s">
        <v>2312</v>
      </c>
      <c r="B317" t="s">
        <v>2315</v>
      </c>
      <c r="C317" t="s">
        <v>2677</v>
      </c>
      <c r="D317" t="s">
        <v>2696</v>
      </c>
      <c r="E317" t="s">
        <v>2699</v>
      </c>
      <c r="F317" t="s">
        <v>2741</v>
      </c>
      <c r="G317" t="s">
        <v>3343</v>
      </c>
      <c r="H317" t="s">
        <v>3190</v>
      </c>
    </row>
    <row r="318" spans="1:8" x14ac:dyDescent="0.25">
      <c r="A318" t="s">
        <v>2313</v>
      </c>
      <c r="B318" t="s">
        <v>2684</v>
      </c>
      <c r="C318" t="s">
        <v>2312</v>
      </c>
      <c r="D318" t="s">
        <v>2697</v>
      </c>
      <c r="E318" t="s">
        <v>2700</v>
      </c>
      <c r="F318" t="s">
        <v>2742</v>
      </c>
      <c r="G318" t="s">
        <v>3344</v>
      </c>
      <c r="H318" t="s">
        <v>2713</v>
      </c>
    </row>
    <row r="319" spans="1:8" x14ac:dyDescent="0.25">
      <c r="A319" t="s">
        <v>853</v>
      </c>
      <c r="B319" t="s">
        <v>2685</v>
      </c>
      <c r="C319" t="s">
        <v>2313</v>
      </c>
      <c r="D319" t="s">
        <v>2698</v>
      </c>
      <c r="E319" t="s">
        <v>2701</v>
      </c>
      <c r="F319" t="s">
        <v>2744</v>
      </c>
      <c r="G319" t="s">
        <v>911</v>
      </c>
      <c r="H319" t="s">
        <v>2714</v>
      </c>
    </row>
    <row r="320" spans="1:8" x14ac:dyDescent="0.25">
      <c r="A320" t="s">
        <v>2678</v>
      </c>
      <c r="B320" t="s">
        <v>2686</v>
      </c>
      <c r="C320" t="s">
        <v>3065</v>
      </c>
      <c r="D320" t="s">
        <v>2699</v>
      </c>
      <c r="E320" t="s">
        <v>2702</v>
      </c>
      <c r="F320" t="s">
        <v>3157</v>
      </c>
      <c r="G320" t="s">
        <v>3345</v>
      </c>
      <c r="H320" t="s">
        <v>2715</v>
      </c>
    </row>
    <row r="321" spans="1:8" x14ac:dyDescent="0.25">
      <c r="A321" t="s">
        <v>854</v>
      </c>
      <c r="B321" t="s">
        <v>3066</v>
      </c>
      <c r="C321" t="s">
        <v>853</v>
      </c>
      <c r="D321" t="s">
        <v>2700</v>
      </c>
      <c r="E321" t="s">
        <v>2703</v>
      </c>
      <c r="F321" t="s">
        <v>958</v>
      </c>
      <c r="G321" t="s">
        <v>2741</v>
      </c>
      <c r="H321" t="s">
        <v>2716</v>
      </c>
    </row>
    <row r="322" spans="1:8" x14ac:dyDescent="0.25">
      <c r="A322" t="s">
        <v>2679</v>
      </c>
      <c r="B322" t="s">
        <v>3067</v>
      </c>
      <c r="C322" t="s">
        <v>2678</v>
      </c>
      <c r="D322" t="s">
        <v>2701</v>
      </c>
      <c r="E322" t="s">
        <v>2704</v>
      </c>
      <c r="F322" t="s">
        <v>1154</v>
      </c>
      <c r="G322" t="s">
        <v>2742</v>
      </c>
      <c r="H322" t="s">
        <v>2717</v>
      </c>
    </row>
    <row r="323" spans="1:8" x14ac:dyDescent="0.25">
      <c r="A323" t="s">
        <v>898</v>
      </c>
      <c r="B323" t="s">
        <v>2687</v>
      </c>
      <c r="C323" t="s">
        <v>854</v>
      </c>
      <c r="D323" t="s">
        <v>2702</v>
      </c>
      <c r="E323" t="s">
        <v>2705</v>
      </c>
      <c r="F323" t="s">
        <v>915</v>
      </c>
      <c r="G323" t="s">
        <v>2744</v>
      </c>
      <c r="H323" t="s">
        <v>2718</v>
      </c>
    </row>
    <row r="324" spans="1:8" x14ac:dyDescent="0.25">
      <c r="A324" t="s">
        <v>900</v>
      </c>
      <c r="B324" t="s">
        <v>2688</v>
      </c>
      <c r="C324" t="s">
        <v>898</v>
      </c>
      <c r="D324" t="s">
        <v>2703</v>
      </c>
      <c r="E324" t="s">
        <v>888</v>
      </c>
      <c r="F324" t="s">
        <v>916</v>
      </c>
      <c r="G324" t="s">
        <v>958</v>
      </c>
      <c r="H324" t="s">
        <v>2719</v>
      </c>
    </row>
    <row r="325" spans="1:8" x14ac:dyDescent="0.25">
      <c r="A325" t="s">
        <v>2680</v>
      </c>
      <c r="B325" t="s">
        <v>2689</v>
      </c>
      <c r="C325" t="s">
        <v>900</v>
      </c>
      <c r="D325" t="s">
        <v>2704</v>
      </c>
      <c r="E325" t="s">
        <v>889</v>
      </c>
      <c r="F325" t="s">
        <v>917</v>
      </c>
      <c r="G325" t="s">
        <v>914</v>
      </c>
      <c r="H325" t="s">
        <v>2721</v>
      </c>
    </row>
    <row r="326" spans="1:8" x14ac:dyDescent="0.25">
      <c r="A326" t="s">
        <v>855</v>
      </c>
      <c r="B326" t="s">
        <v>867</v>
      </c>
      <c r="C326" t="s">
        <v>2680</v>
      </c>
      <c r="D326" t="s">
        <v>2705</v>
      </c>
      <c r="E326" t="s">
        <v>892</v>
      </c>
      <c r="F326" t="s">
        <v>919</v>
      </c>
      <c r="G326" t="s">
        <v>1154</v>
      </c>
      <c r="H326" t="s">
        <v>2724</v>
      </c>
    </row>
    <row r="327" spans="1:8" x14ac:dyDescent="0.25">
      <c r="A327" t="s">
        <v>2681</v>
      </c>
      <c r="B327" t="s">
        <v>876</v>
      </c>
      <c r="C327" t="s">
        <v>857</v>
      </c>
      <c r="D327" t="s">
        <v>888</v>
      </c>
      <c r="E327" t="s">
        <v>893</v>
      </c>
      <c r="F327" t="s">
        <v>922</v>
      </c>
      <c r="G327" t="s">
        <v>915</v>
      </c>
      <c r="H327" t="s">
        <v>3191</v>
      </c>
    </row>
    <row r="328" spans="1:8" x14ac:dyDescent="0.25">
      <c r="A328" t="s">
        <v>2314</v>
      </c>
      <c r="B328" t="s">
        <v>2690</v>
      </c>
      <c r="C328" t="s">
        <v>3094</v>
      </c>
      <c r="D328" t="s">
        <v>889</v>
      </c>
      <c r="E328" t="s">
        <v>2706</v>
      </c>
      <c r="F328" t="s">
        <v>923</v>
      </c>
      <c r="G328" t="s">
        <v>916</v>
      </c>
      <c r="H328" t="s">
        <v>2727</v>
      </c>
    </row>
    <row r="329" spans="1:8" x14ac:dyDescent="0.25">
      <c r="A329" t="s">
        <v>2682</v>
      </c>
      <c r="B329" t="s">
        <v>877</v>
      </c>
      <c r="C329" t="s">
        <v>2681</v>
      </c>
      <c r="D329" t="s">
        <v>892</v>
      </c>
      <c r="E329" t="s">
        <v>2707</v>
      </c>
      <c r="F329" t="s">
        <v>924</v>
      </c>
      <c r="G329" t="s">
        <v>917</v>
      </c>
      <c r="H329" t="s">
        <v>896</v>
      </c>
    </row>
    <row r="330" spans="1:8" x14ac:dyDescent="0.25">
      <c r="A330" t="s">
        <v>905</v>
      </c>
      <c r="B330" t="s">
        <v>2691</v>
      </c>
      <c r="C330" t="s">
        <v>2314</v>
      </c>
      <c r="D330" t="s">
        <v>893</v>
      </c>
      <c r="E330" t="s">
        <v>2708</v>
      </c>
      <c r="F330" t="s">
        <v>926</v>
      </c>
      <c r="G330" t="s">
        <v>922</v>
      </c>
      <c r="H330" t="s">
        <v>897</v>
      </c>
    </row>
    <row r="331" spans="1:8" x14ac:dyDescent="0.25">
      <c r="A331" t="s">
        <v>2683</v>
      </c>
      <c r="B331" t="s">
        <v>2692</v>
      </c>
      <c r="C331" t="s">
        <v>2682</v>
      </c>
      <c r="D331" t="s">
        <v>2706</v>
      </c>
      <c r="E331" t="s">
        <v>1136</v>
      </c>
      <c r="F331" t="s">
        <v>928</v>
      </c>
      <c r="G331" t="s">
        <v>923</v>
      </c>
      <c r="H331" t="s">
        <v>2728</v>
      </c>
    </row>
    <row r="332" spans="1:8" x14ac:dyDescent="0.25">
      <c r="A332" t="s">
        <v>2315</v>
      </c>
      <c r="B332" t="s">
        <v>2693</v>
      </c>
      <c r="C332" t="s">
        <v>905</v>
      </c>
      <c r="D332" t="s">
        <v>2707</v>
      </c>
      <c r="E332" t="s">
        <v>894</v>
      </c>
      <c r="F332" t="s">
        <v>929</v>
      </c>
      <c r="G332" t="s">
        <v>2336</v>
      </c>
      <c r="H332" t="s">
        <v>899</v>
      </c>
    </row>
    <row r="333" spans="1:8" x14ac:dyDescent="0.25">
      <c r="A333" t="s">
        <v>2684</v>
      </c>
      <c r="B333" t="s">
        <v>1031</v>
      </c>
      <c r="C333" t="s">
        <v>2683</v>
      </c>
      <c r="D333" t="s">
        <v>2708</v>
      </c>
      <c r="E333" t="s">
        <v>3068</v>
      </c>
      <c r="F333" t="s">
        <v>2336</v>
      </c>
      <c r="G333" t="s">
        <v>3228</v>
      </c>
      <c r="H333" t="s">
        <v>1144</v>
      </c>
    </row>
    <row r="334" spans="1:8" x14ac:dyDescent="0.25">
      <c r="A334" t="s">
        <v>2685</v>
      </c>
      <c r="B334" t="s">
        <v>879</v>
      </c>
      <c r="C334" t="s">
        <v>3184</v>
      </c>
      <c r="D334" t="s">
        <v>1136</v>
      </c>
      <c r="E334" t="s">
        <v>2709</v>
      </c>
      <c r="F334" t="s">
        <v>3228</v>
      </c>
      <c r="G334" t="s">
        <v>1156</v>
      </c>
      <c r="H334" t="s">
        <v>1147</v>
      </c>
    </row>
    <row r="335" spans="1:8" x14ac:dyDescent="0.25">
      <c r="A335" t="s">
        <v>2686</v>
      </c>
      <c r="B335" t="s">
        <v>2316</v>
      </c>
      <c r="C335" t="s">
        <v>2315</v>
      </c>
      <c r="D335" t="s">
        <v>894</v>
      </c>
      <c r="E335" t="s">
        <v>2710</v>
      </c>
      <c r="F335" t="s">
        <v>1156</v>
      </c>
      <c r="G335" t="s">
        <v>930</v>
      </c>
      <c r="H335" t="s">
        <v>904</v>
      </c>
    </row>
    <row r="336" spans="1:8" x14ac:dyDescent="0.25">
      <c r="A336" t="s">
        <v>2687</v>
      </c>
      <c r="B336" t="s">
        <v>2317</v>
      </c>
      <c r="C336" t="s">
        <v>2684</v>
      </c>
      <c r="D336" t="s">
        <v>2709</v>
      </c>
      <c r="E336" t="s">
        <v>3155</v>
      </c>
      <c r="F336" t="s">
        <v>930</v>
      </c>
      <c r="G336" t="s">
        <v>931</v>
      </c>
      <c r="H336" t="s">
        <v>908</v>
      </c>
    </row>
    <row r="337" spans="1:8" x14ac:dyDescent="0.25">
      <c r="A337" t="s">
        <v>2688</v>
      </c>
      <c r="B337" t="s">
        <v>2318</v>
      </c>
      <c r="C337" t="s">
        <v>2685</v>
      </c>
      <c r="D337" t="s">
        <v>2710</v>
      </c>
      <c r="E337" t="s">
        <v>2320</v>
      </c>
      <c r="F337" t="s">
        <v>931</v>
      </c>
      <c r="G337" t="s">
        <v>932</v>
      </c>
      <c r="H337" t="s">
        <v>3235</v>
      </c>
    </row>
    <row r="338" spans="1:8" x14ac:dyDescent="0.25">
      <c r="A338" t="s">
        <v>2689</v>
      </c>
      <c r="B338" t="s">
        <v>2319</v>
      </c>
      <c r="C338" t="s">
        <v>2686</v>
      </c>
      <c r="D338" t="s">
        <v>2320</v>
      </c>
      <c r="E338" t="s">
        <v>2321</v>
      </c>
      <c r="F338" t="s">
        <v>932</v>
      </c>
      <c r="G338" t="s">
        <v>936</v>
      </c>
      <c r="H338" t="s">
        <v>961</v>
      </c>
    </row>
    <row r="339" spans="1:8" x14ac:dyDescent="0.25">
      <c r="A339" t="s">
        <v>866</v>
      </c>
      <c r="B339" t="s">
        <v>1041</v>
      </c>
      <c r="C339" t="s">
        <v>3154</v>
      </c>
      <c r="D339" t="s">
        <v>2321</v>
      </c>
      <c r="E339" t="s">
        <v>2322</v>
      </c>
      <c r="F339" t="s">
        <v>933</v>
      </c>
      <c r="G339" t="s">
        <v>2752</v>
      </c>
      <c r="H339" t="s">
        <v>1150</v>
      </c>
    </row>
    <row r="340" spans="1:8" x14ac:dyDescent="0.25">
      <c r="A340" t="s">
        <v>867</v>
      </c>
      <c r="B340" t="s">
        <v>884</v>
      </c>
      <c r="C340" t="s">
        <v>3066</v>
      </c>
      <c r="D340" t="s">
        <v>2322</v>
      </c>
      <c r="E340" t="s">
        <v>2323</v>
      </c>
      <c r="F340" t="s">
        <v>935</v>
      </c>
      <c r="G340" t="s">
        <v>2753</v>
      </c>
      <c r="H340" t="s">
        <v>3192</v>
      </c>
    </row>
    <row r="341" spans="1:8" x14ac:dyDescent="0.25">
      <c r="A341" t="s">
        <v>869</v>
      </c>
      <c r="B341" t="s">
        <v>3095</v>
      </c>
      <c r="C341" t="s">
        <v>3067</v>
      </c>
      <c r="D341" t="s">
        <v>2323</v>
      </c>
      <c r="E341" t="s">
        <v>2324</v>
      </c>
      <c r="F341" t="s">
        <v>936</v>
      </c>
      <c r="G341" t="s">
        <v>2755</v>
      </c>
      <c r="H341" t="s">
        <v>909</v>
      </c>
    </row>
    <row r="342" spans="1:8" x14ac:dyDescent="0.25">
      <c r="A342" t="s">
        <v>876</v>
      </c>
      <c r="B342" t="s">
        <v>2696</v>
      </c>
      <c r="C342" t="s">
        <v>2687</v>
      </c>
      <c r="D342" t="s">
        <v>2324</v>
      </c>
      <c r="E342" t="s">
        <v>2325</v>
      </c>
      <c r="F342" t="s">
        <v>2753</v>
      </c>
      <c r="G342" t="s">
        <v>2756</v>
      </c>
      <c r="H342" t="s">
        <v>910</v>
      </c>
    </row>
    <row r="343" spans="1:8" x14ac:dyDescent="0.25">
      <c r="A343" t="s">
        <v>2690</v>
      </c>
      <c r="B343" t="s">
        <v>2697</v>
      </c>
      <c r="C343" t="s">
        <v>2688</v>
      </c>
      <c r="D343" t="s">
        <v>2325</v>
      </c>
      <c r="E343" t="s">
        <v>2326</v>
      </c>
      <c r="F343" t="s">
        <v>2755</v>
      </c>
      <c r="G343" t="s">
        <v>2758</v>
      </c>
      <c r="H343" t="s">
        <v>3359</v>
      </c>
    </row>
    <row r="344" spans="1:8" x14ac:dyDescent="0.25">
      <c r="A344" t="s">
        <v>877</v>
      </c>
      <c r="B344" t="s">
        <v>2698</v>
      </c>
      <c r="C344" t="s">
        <v>3185</v>
      </c>
      <c r="D344" t="s">
        <v>2326</v>
      </c>
      <c r="E344" t="s">
        <v>2327</v>
      </c>
      <c r="F344" t="s">
        <v>2758</v>
      </c>
      <c r="G344" t="s">
        <v>2759</v>
      </c>
      <c r="H344" t="s">
        <v>3342</v>
      </c>
    </row>
    <row r="345" spans="1:8" x14ac:dyDescent="0.25">
      <c r="A345" t="s">
        <v>2691</v>
      </c>
      <c r="B345" t="s">
        <v>2699</v>
      </c>
      <c r="C345" t="s">
        <v>3186</v>
      </c>
      <c r="D345" t="s">
        <v>2327</v>
      </c>
      <c r="E345" t="s">
        <v>2328</v>
      </c>
      <c r="F345" t="s">
        <v>2762</v>
      </c>
      <c r="G345" t="s">
        <v>3098</v>
      </c>
      <c r="H345" t="s">
        <v>3079</v>
      </c>
    </row>
    <row r="346" spans="1:8" x14ac:dyDescent="0.25">
      <c r="A346" t="s">
        <v>2692</v>
      </c>
      <c r="B346" t="s">
        <v>2700</v>
      </c>
      <c r="C346" t="s">
        <v>3187</v>
      </c>
      <c r="D346" t="s">
        <v>2328</v>
      </c>
      <c r="E346" t="s">
        <v>2711</v>
      </c>
      <c r="F346" t="s">
        <v>2775</v>
      </c>
      <c r="G346" t="s">
        <v>2762</v>
      </c>
      <c r="H346" t="s">
        <v>955</v>
      </c>
    </row>
    <row r="347" spans="1:8" x14ac:dyDescent="0.25">
      <c r="A347" t="s">
        <v>2693</v>
      </c>
      <c r="B347" t="s">
        <v>2701</v>
      </c>
      <c r="C347" t="s">
        <v>2689</v>
      </c>
      <c r="D347" t="s">
        <v>2711</v>
      </c>
      <c r="E347" t="s">
        <v>2712</v>
      </c>
      <c r="F347" t="s">
        <v>988</v>
      </c>
      <c r="G347" t="s">
        <v>983</v>
      </c>
      <c r="H347" t="s">
        <v>911</v>
      </c>
    </row>
    <row r="348" spans="1:8" x14ac:dyDescent="0.25">
      <c r="A348" t="s">
        <v>1031</v>
      </c>
      <c r="B348" t="s">
        <v>2702</v>
      </c>
      <c r="C348" t="s">
        <v>867</v>
      </c>
      <c r="D348" t="s">
        <v>2712</v>
      </c>
      <c r="E348" t="s">
        <v>3190</v>
      </c>
      <c r="F348" t="s">
        <v>1093</v>
      </c>
      <c r="G348" t="s">
        <v>980</v>
      </c>
      <c r="H348" t="s">
        <v>3360</v>
      </c>
    </row>
    <row r="349" spans="1:8" x14ac:dyDescent="0.25">
      <c r="A349" t="s">
        <v>879</v>
      </c>
      <c r="B349" t="s">
        <v>2703</v>
      </c>
      <c r="C349" t="s">
        <v>869</v>
      </c>
      <c r="D349" t="s">
        <v>3190</v>
      </c>
      <c r="E349" t="s">
        <v>2713</v>
      </c>
      <c r="F349" t="s">
        <v>1095</v>
      </c>
      <c r="G349" t="s">
        <v>982</v>
      </c>
      <c r="H349" t="s">
        <v>2741</v>
      </c>
    </row>
    <row r="350" spans="1:8" x14ac:dyDescent="0.25">
      <c r="A350" t="s">
        <v>880</v>
      </c>
      <c r="B350" t="s">
        <v>2704</v>
      </c>
      <c r="C350" t="s">
        <v>3188</v>
      </c>
      <c r="D350" t="s">
        <v>2713</v>
      </c>
      <c r="E350" t="s">
        <v>2714</v>
      </c>
      <c r="F350" t="s">
        <v>940</v>
      </c>
      <c r="G350" t="s">
        <v>2349</v>
      </c>
      <c r="H350" t="s">
        <v>2742</v>
      </c>
    </row>
    <row r="351" spans="1:8" x14ac:dyDescent="0.25">
      <c r="A351" t="s">
        <v>2694</v>
      </c>
      <c r="B351" t="s">
        <v>2705</v>
      </c>
      <c r="C351" t="s">
        <v>874</v>
      </c>
      <c r="D351" t="s">
        <v>2714</v>
      </c>
      <c r="E351" t="s">
        <v>2715</v>
      </c>
      <c r="F351" t="s">
        <v>943</v>
      </c>
      <c r="G351" t="s">
        <v>2350</v>
      </c>
      <c r="H351" t="s">
        <v>2743</v>
      </c>
    </row>
    <row r="352" spans="1:8" x14ac:dyDescent="0.25">
      <c r="A352" t="s">
        <v>2316</v>
      </c>
      <c r="B352" t="s">
        <v>888</v>
      </c>
      <c r="C352" t="s">
        <v>876</v>
      </c>
      <c r="D352" t="s">
        <v>2715</v>
      </c>
      <c r="E352" t="s">
        <v>2716</v>
      </c>
      <c r="F352" t="s">
        <v>2783</v>
      </c>
      <c r="G352" t="s">
        <v>990</v>
      </c>
      <c r="H352" t="s">
        <v>2744</v>
      </c>
    </row>
    <row r="353" spans="1:8" x14ac:dyDescent="0.25">
      <c r="A353" t="s">
        <v>2695</v>
      </c>
      <c r="B353" t="s">
        <v>889</v>
      </c>
      <c r="C353" t="s">
        <v>2690</v>
      </c>
      <c r="D353" t="s">
        <v>2716</v>
      </c>
      <c r="E353" t="s">
        <v>2717</v>
      </c>
      <c r="F353" t="s">
        <v>1100</v>
      </c>
      <c r="G353" t="s">
        <v>1092</v>
      </c>
      <c r="H353" t="s">
        <v>2745</v>
      </c>
    </row>
    <row r="354" spans="1:8" x14ac:dyDescent="0.25">
      <c r="A354" t="s">
        <v>2317</v>
      </c>
      <c r="B354" t="s">
        <v>892</v>
      </c>
      <c r="C354" t="s">
        <v>877</v>
      </c>
      <c r="D354" t="s">
        <v>2717</v>
      </c>
      <c r="E354" t="s">
        <v>2718</v>
      </c>
      <c r="F354" t="s">
        <v>949</v>
      </c>
      <c r="G354" t="s">
        <v>993</v>
      </c>
      <c r="H354" t="s">
        <v>958</v>
      </c>
    </row>
    <row r="355" spans="1:8" x14ac:dyDescent="0.25">
      <c r="A355" t="s">
        <v>2318</v>
      </c>
      <c r="B355" t="s">
        <v>893</v>
      </c>
      <c r="C355" t="s">
        <v>2691</v>
      </c>
      <c r="D355" t="s">
        <v>2718</v>
      </c>
      <c r="E355" t="s">
        <v>2719</v>
      </c>
      <c r="F355" t="s">
        <v>950</v>
      </c>
      <c r="G355" t="s">
        <v>986</v>
      </c>
      <c r="H355" t="s">
        <v>914</v>
      </c>
    </row>
    <row r="356" spans="1:8" x14ac:dyDescent="0.25">
      <c r="A356" t="s">
        <v>2319</v>
      </c>
      <c r="B356" t="s">
        <v>2706</v>
      </c>
      <c r="C356" t="s">
        <v>2692</v>
      </c>
      <c r="D356" t="s">
        <v>939</v>
      </c>
      <c r="E356" t="s">
        <v>944</v>
      </c>
      <c r="F356" t="s">
        <v>2788</v>
      </c>
      <c r="G356" t="s">
        <v>1097</v>
      </c>
      <c r="H356" t="s">
        <v>1154</v>
      </c>
    </row>
    <row r="357" spans="1:8" x14ac:dyDescent="0.25">
      <c r="A357" t="s">
        <v>1041</v>
      </c>
      <c r="B357" t="s">
        <v>2707</v>
      </c>
      <c r="C357" t="s">
        <v>3189</v>
      </c>
      <c r="D357" t="s">
        <v>941</v>
      </c>
      <c r="E357" t="s">
        <v>946</v>
      </c>
      <c r="F357" t="s">
        <v>2789</v>
      </c>
      <c r="G357" t="s">
        <v>1099</v>
      </c>
      <c r="H357" t="s">
        <v>915</v>
      </c>
    </row>
    <row r="358" spans="1:8" x14ac:dyDescent="0.25">
      <c r="A358" t="s">
        <v>884</v>
      </c>
      <c r="B358" t="s">
        <v>2708</v>
      </c>
      <c r="C358" t="s">
        <v>1031</v>
      </c>
      <c r="D358" t="s">
        <v>2719</v>
      </c>
      <c r="E358" t="s">
        <v>3281</v>
      </c>
      <c r="F358" t="s">
        <v>954</v>
      </c>
      <c r="G358" t="s">
        <v>2775</v>
      </c>
      <c r="H358" t="s">
        <v>916</v>
      </c>
    </row>
    <row r="359" spans="1:8" x14ac:dyDescent="0.25">
      <c r="A359" t="s">
        <v>2696</v>
      </c>
      <c r="B359" t="s">
        <v>1136</v>
      </c>
      <c r="C359" t="s">
        <v>879</v>
      </c>
      <c r="D359" t="s">
        <v>944</v>
      </c>
      <c r="E359" t="s">
        <v>2721</v>
      </c>
      <c r="F359" t="s">
        <v>2792</v>
      </c>
      <c r="G359" t="s">
        <v>2776</v>
      </c>
      <c r="H359" t="s">
        <v>917</v>
      </c>
    </row>
    <row r="360" spans="1:8" x14ac:dyDescent="0.25">
      <c r="A360" t="s">
        <v>2697</v>
      </c>
      <c r="B360" t="s">
        <v>894</v>
      </c>
      <c r="C360" t="s">
        <v>882</v>
      </c>
      <c r="D360" t="s">
        <v>1118</v>
      </c>
      <c r="E360" t="s">
        <v>2722</v>
      </c>
      <c r="F360" t="s">
        <v>2793</v>
      </c>
      <c r="G360" t="s">
        <v>1093</v>
      </c>
      <c r="H360" t="s">
        <v>919</v>
      </c>
    </row>
    <row r="361" spans="1:8" x14ac:dyDescent="0.25">
      <c r="A361" t="s">
        <v>2698</v>
      </c>
      <c r="B361" t="s">
        <v>3068</v>
      </c>
      <c r="C361" t="s">
        <v>2316</v>
      </c>
      <c r="D361" t="s">
        <v>946</v>
      </c>
      <c r="E361" t="s">
        <v>3282</v>
      </c>
      <c r="F361" t="s">
        <v>2794</v>
      </c>
      <c r="G361" t="s">
        <v>1095</v>
      </c>
      <c r="H361" t="s">
        <v>922</v>
      </c>
    </row>
    <row r="362" spans="1:8" x14ac:dyDescent="0.25">
      <c r="A362" t="s">
        <v>2699</v>
      </c>
      <c r="B362" t="s">
        <v>2709</v>
      </c>
      <c r="C362" t="s">
        <v>2695</v>
      </c>
      <c r="D362" t="s">
        <v>3233</v>
      </c>
      <c r="E362" t="s">
        <v>2724</v>
      </c>
      <c r="F362" t="s">
        <v>2796</v>
      </c>
      <c r="G362" t="s">
        <v>940</v>
      </c>
      <c r="H362" t="s">
        <v>923</v>
      </c>
    </row>
    <row r="363" spans="1:8" x14ac:dyDescent="0.25">
      <c r="A363" t="s">
        <v>2700</v>
      </c>
      <c r="B363" t="s">
        <v>2710</v>
      </c>
      <c r="C363" t="s">
        <v>2317</v>
      </c>
      <c r="D363" t="s">
        <v>2721</v>
      </c>
      <c r="E363" t="s">
        <v>2725</v>
      </c>
      <c r="F363" t="s">
        <v>2798</v>
      </c>
      <c r="G363" t="s">
        <v>2783</v>
      </c>
      <c r="H363" t="s">
        <v>924</v>
      </c>
    </row>
    <row r="364" spans="1:8" x14ac:dyDescent="0.25">
      <c r="A364" t="s">
        <v>2701</v>
      </c>
      <c r="B364" t="s">
        <v>2320</v>
      </c>
      <c r="C364" t="s">
        <v>2318</v>
      </c>
      <c r="D364" t="s">
        <v>3234</v>
      </c>
      <c r="E364" t="s">
        <v>1050</v>
      </c>
      <c r="F364" t="s">
        <v>2799</v>
      </c>
      <c r="G364" t="s">
        <v>1100</v>
      </c>
      <c r="H364" t="s">
        <v>926</v>
      </c>
    </row>
    <row r="365" spans="1:8" x14ac:dyDescent="0.25">
      <c r="A365" t="s">
        <v>2702</v>
      </c>
      <c r="B365" t="s">
        <v>2321</v>
      </c>
      <c r="C365" t="s">
        <v>2319</v>
      </c>
      <c r="D365" t="s">
        <v>2722</v>
      </c>
      <c r="E365" t="s">
        <v>2726</v>
      </c>
      <c r="F365" t="s">
        <v>960</v>
      </c>
      <c r="G365" t="s">
        <v>2784</v>
      </c>
      <c r="H365" t="s">
        <v>2336</v>
      </c>
    </row>
    <row r="366" spans="1:8" x14ac:dyDescent="0.25">
      <c r="A366" t="s">
        <v>2703</v>
      </c>
      <c r="B366" t="s">
        <v>2322</v>
      </c>
      <c r="C366" t="s">
        <v>884</v>
      </c>
      <c r="D366" t="s">
        <v>948</v>
      </c>
      <c r="E366" t="s">
        <v>2727</v>
      </c>
      <c r="F366" t="s">
        <v>963</v>
      </c>
      <c r="G366" t="s">
        <v>2785</v>
      </c>
      <c r="H366" t="s">
        <v>2337</v>
      </c>
    </row>
    <row r="367" spans="1:8" x14ac:dyDescent="0.25">
      <c r="A367" t="s">
        <v>2704</v>
      </c>
      <c r="B367" t="s">
        <v>2323</v>
      </c>
      <c r="C367" t="s">
        <v>3095</v>
      </c>
      <c r="D367" t="s">
        <v>2723</v>
      </c>
      <c r="E367" t="s">
        <v>1055</v>
      </c>
      <c r="F367" t="s">
        <v>964</v>
      </c>
      <c r="G367" t="s">
        <v>2788</v>
      </c>
      <c r="H367" t="s">
        <v>2338</v>
      </c>
    </row>
    <row r="368" spans="1:8" x14ac:dyDescent="0.25">
      <c r="A368" t="s">
        <v>2705</v>
      </c>
      <c r="B368" t="s">
        <v>2324</v>
      </c>
      <c r="C368" t="s">
        <v>2696</v>
      </c>
      <c r="D368" t="s">
        <v>1047</v>
      </c>
      <c r="E368" t="s">
        <v>896</v>
      </c>
      <c r="F368" t="s">
        <v>2800</v>
      </c>
      <c r="G368" t="s">
        <v>2792</v>
      </c>
      <c r="H368" t="s">
        <v>3228</v>
      </c>
    </row>
    <row r="369" spans="1:8" x14ac:dyDescent="0.25">
      <c r="A369" t="s">
        <v>888</v>
      </c>
      <c r="B369" t="s">
        <v>2325</v>
      </c>
      <c r="C369" t="s">
        <v>2697</v>
      </c>
      <c r="D369" t="s">
        <v>2724</v>
      </c>
      <c r="E369" t="s">
        <v>1059</v>
      </c>
      <c r="F369" t="s">
        <v>2801</v>
      </c>
      <c r="G369" t="s">
        <v>2793</v>
      </c>
      <c r="H369" t="s">
        <v>1156</v>
      </c>
    </row>
    <row r="370" spans="1:8" x14ac:dyDescent="0.25">
      <c r="A370" t="s">
        <v>889</v>
      </c>
      <c r="B370" t="s">
        <v>2326</v>
      </c>
      <c r="C370" t="s">
        <v>2698</v>
      </c>
      <c r="D370" t="s">
        <v>2725</v>
      </c>
      <c r="E370" t="s">
        <v>1054</v>
      </c>
      <c r="F370" t="s">
        <v>2802</v>
      </c>
      <c r="G370" t="s">
        <v>2798</v>
      </c>
      <c r="H370" t="s">
        <v>930</v>
      </c>
    </row>
    <row r="371" spans="1:8" x14ac:dyDescent="0.25">
      <c r="A371" t="s">
        <v>892</v>
      </c>
      <c r="B371" t="s">
        <v>2327</v>
      </c>
      <c r="C371" t="s">
        <v>2699</v>
      </c>
      <c r="D371" t="s">
        <v>2727</v>
      </c>
      <c r="E371" t="s">
        <v>2728</v>
      </c>
      <c r="F371" t="s">
        <v>2803</v>
      </c>
      <c r="G371" t="s">
        <v>2799</v>
      </c>
      <c r="H371" t="s">
        <v>931</v>
      </c>
    </row>
    <row r="372" spans="1:8" x14ac:dyDescent="0.25">
      <c r="A372" t="s">
        <v>893</v>
      </c>
      <c r="B372" t="s">
        <v>2328</v>
      </c>
      <c r="C372" t="s">
        <v>2700</v>
      </c>
      <c r="D372" t="s">
        <v>1144</v>
      </c>
      <c r="E372" t="s">
        <v>1063</v>
      </c>
      <c r="F372" t="s">
        <v>965</v>
      </c>
      <c r="G372" t="s">
        <v>964</v>
      </c>
      <c r="H372" t="s">
        <v>932</v>
      </c>
    </row>
    <row r="373" spans="1:8" x14ac:dyDescent="0.25">
      <c r="A373" t="s">
        <v>2706</v>
      </c>
      <c r="B373" t="s">
        <v>2711</v>
      </c>
      <c r="C373" t="s">
        <v>2701</v>
      </c>
      <c r="D373" t="s">
        <v>1147</v>
      </c>
      <c r="E373" t="s">
        <v>1067</v>
      </c>
      <c r="F373" t="s">
        <v>966</v>
      </c>
      <c r="G373" t="s">
        <v>2800</v>
      </c>
      <c r="H373" t="s">
        <v>933</v>
      </c>
    </row>
    <row r="374" spans="1:8" x14ac:dyDescent="0.25">
      <c r="A374" t="s">
        <v>2707</v>
      </c>
      <c r="B374" t="s">
        <v>2712</v>
      </c>
      <c r="C374" t="s">
        <v>2702</v>
      </c>
      <c r="D374" t="s">
        <v>2729</v>
      </c>
      <c r="E374" t="s">
        <v>1144</v>
      </c>
      <c r="F374" t="s">
        <v>968</v>
      </c>
      <c r="G374" t="s">
        <v>2801</v>
      </c>
      <c r="H374" t="s">
        <v>935</v>
      </c>
    </row>
    <row r="375" spans="1:8" x14ac:dyDescent="0.25">
      <c r="A375" t="s">
        <v>2708</v>
      </c>
      <c r="B375" t="s">
        <v>2713</v>
      </c>
      <c r="C375" t="s">
        <v>2703</v>
      </c>
      <c r="D375" t="s">
        <v>904</v>
      </c>
      <c r="E375" t="s">
        <v>1147</v>
      </c>
      <c r="F375" t="s">
        <v>969</v>
      </c>
      <c r="G375" t="s">
        <v>2802</v>
      </c>
      <c r="H375" t="s">
        <v>2749</v>
      </c>
    </row>
    <row r="376" spans="1:8" x14ac:dyDescent="0.25">
      <c r="A376" t="s">
        <v>1136</v>
      </c>
      <c r="B376" t="s">
        <v>2714</v>
      </c>
      <c r="C376" t="s">
        <v>2704</v>
      </c>
      <c r="D376" t="s">
        <v>908</v>
      </c>
      <c r="E376" t="s">
        <v>2729</v>
      </c>
      <c r="F376" t="s">
        <v>1183</v>
      </c>
      <c r="G376" t="s">
        <v>2803</v>
      </c>
      <c r="H376" t="s">
        <v>936</v>
      </c>
    </row>
    <row r="377" spans="1:8" x14ac:dyDescent="0.25">
      <c r="A377" t="s">
        <v>894</v>
      </c>
      <c r="B377" t="s">
        <v>2715</v>
      </c>
      <c r="C377" t="s">
        <v>2705</v>
      </c>
      <c r="D377" t="s">
        <v>2731</v>
      </c>
      <c r="E377" t="s">
        <v>904</v>
      </c>
      <c r="F377" t="s">
        <v>1122</v>
      </c>
      <c r="G377" t="s">
        <v>2804</v>
      </c>
      <c r="H377" t="s">
        <v>2750</v>
      </c>
    </row>
    <row r="378" spans="1:8" x14ac:dyDescent="0.25">
      <c r="A378" t="s">
        <v>2709</v>
      </c>
      <c r="B378" t="s">
        <v>2716</v>
      </c>
      <c r="C378" t="s">
        <v>888</v>
      </c>
      <c r="D378" t="s">
        <v>2732</v>
      </c>
      <c r="E378" t="s">
        <v>2730</v>
      </c>
      <c r="F378" t="s">
        <v>970</v>
      </c>
      <c r="G378" t="s">
        <v>965</v>
      </c>
      <c r="H378" t="s">
        <v>2752</v>
      </c>
    </row>
    <row r="379" spans="1:8" x14ac:dyDescent="0.25">
      <c r="A379" t="s">
        <v>2710</v>
      </c>
      <c r="B379" t="s">
        <v>2717</v>
      </c>
      <c r="C379" t="s">
        <v>889</v>
      </c>
      <c r="D379" t="s">
        <v>3235</v>
      </c>
      <c r="E379" t="s">
        <v>908</v>
      </c>
      <c r="F379" t="s">
        <v>971</v>
      </c>
      <c r="G379" t="s">
        <v>966</v>
      </c>
      <c r="H379" t="s">
        <v>2753</v>
      </c>
    </row>
    <row r="380" spans="1:8" x14ac:dyDescent="0.25">
      <c r="A380" t="s">
        <v>2320</v>
      </c>
      <c r="B380" t="s">
        <v>2718</v>
      </c>
      <c r="C380" t="s">
        <v>892</v>
      </c>
      <c r="D380" t="s">
        <v>2733</v>
      </c>
      <c r="E380" t="s">
        <v>2731</v>
      </c>
      <c r="F380" t="s">
        <v>972</v>
      </c>
      <c r="G380" t="s">
        <v>968</v>
      </c>
      <c r="H380" t="s">
        <v>2755</v>
      </c>
    </row>
    <row r="381" spans="1:8" x14ac:dyDescent="0.25">
      <c r="A381" t="s">
        <v>2321</v>
      </c>
      <c r="B381" t="s">
        <v>3096</v>
      </c>
      <c r="C381" t="s">
        <v>893</v>
      </c>
      <c r="D381" t="s">
        <v>961</v>
      </c>
      <c r="E381" t="s">
        <v>3235</v>
      </c>
      <c r="F381" t="s">
        <v>973</v>
      </c>
      <c r="G381" t="s">
        <v>969</v>
      </c>
      <c r="H381" t="s">
        <v>3194</v>
      </c>
    </row>
    <row r="382" spans="1:8" x14ac:dyDescent="0.25">
      <c r="A382" t="s">
        <v>2322</v>
      </c>
      <c r="B382" t="s">
        <v>941</v>
      </c>
      <c r="C382" t="s">
        <v>2706</v>
      </c>
      <c r="D382" t="s">
        <v>1150</v>
      </c>
      <c r="E382" t="s">
        <v>961</v>
      </c>
      <c r="F382" t="s">
        <v>1192</v>
      </c>
      <c r="G382" t="s">
        <v>1183</v>
      </c>
      <c r="H382" t="s">
        <v>3195</v>
      </c>
    </row>
    <row r="383" spans="1:8" x14ac:dyDescent="0.25">
      <c r="A383" t="s">
        <v>2323</v>
      </c>
      <c r="B383" t="s">
        <v>2719</v>
      </c>
      <c r="C383" t="s">
        <v>2707</v>
      </c>
      <c r="D383" t="s">
        <v>2734</v>
      </c>
      <c r="E383" t="s">
        <v>1150</v>
      </c>
      <c r="F383" t="s">
        <v>2805</v>
      </c>
      <c r="G383" t="s">
        <v>1122</v>
      </c>
      <c r="H383" t="s">
        <v>2756</v>
      </c>
    </row>
    <row r="384" spans="1:8" x14ac:dyDescent="0.25">
      <c r="A384" t="s">
        <v>2324</v>
      </c>
      <c r="B384" t="s">
        <v>944</v>
      </c>
      <c r="C384" t="s">
        <v>2708</v>
      </c>
      <c r="D384" t="s">
        <v>2735</v>
      </c>
      <c r="E384" t="s">
        <v>2734</v>
      </c>
      <c r="F384" t="s">
        <v>975</v>
      </c>
      <c r="G384" t="s">
        <v>970</v>
      </c>
      <c r="H384" t="s">
        <v>2757</v>
      </c>
    </row>
    <row r="385" spans="1:8" x14ac:dyDescent="0.25">
      <c r="A385" t="s">
        <v>2325</v>
      </c>
      <c r="B385" t="s">
        <v>1118</v>
      </c>
      <c r="C385" t="s">
        <v>1136</v>
      </c>
      <c r="D385" t="s">
        <v>3192</v>
      </c>
      <c r="E385" t="s">
        <v>2735</v>
      </c>
      <c r="F385" t="s">
        <v>976</v>
      </c>
      <c r="G385" t="s">
        <v>971</v>
      </c>
      <c r="H385" t="s">
        <v>2758</v>
      </c>
    </row>
    <row r="386" spans="1:8" x14ac:dyDescent="0.25">
      <c r="A386" t="s">
        <v>2326</v>
      </c>
      <c r="B386" t="s">
        <v>946</v>
      </c>
      <c r="C386" t="s">
        <v>894</v>
      </c>
      <c r="D386" t="s">
        <v>2736</v>
      </c>
      <c r="E386" t="s">
        <v>3192</v>
      </c>
      <c r="F386" t="s">
        <v>2806</v>
      </c>
      <c r="G386" t="s">
        <v>972</v>
      </c>
      <c r="H386" t="s">
        <v>2759</v>
      </c>
    </row>
    <row r="387" spans="1:8" x14ac:dyDescent="0.25">
      <c r="A387" t="s">
        <v>2327</v>
      </c>
      <c r="B387" t="s">
        <v>2721</v>
      </c>
      <c r="C387" t="s">
        <v>3068</v>
      </c>
      <c r="D387" t="s">
        <v>2738</v>
      </c>
      <c r="E387" t="s">
        <v>2736</v>
      </c>
      <c r="F387" t="s">
        <v>2807</v>
      </c>
      <c r="G387" t="s">
        <v>973</v>
      </c>
      <c r="H387" t="s">
        <v>2760</v>
      </c>
    </row>
    <row r="388" spans="1:8" x14ac:dyDescent="0.25">
      <c r="A388" t="s">
        <v>2328</v>
      </c>
      <c r="B388" t="s">
        <v>2722</v>
      </c>
      <c r="C388" t="s">
        <v>2709</v>
      </c>
      <c r="D388" t="s">
        <v>909</v>
      </c>
      <c r="E388" t="s">
        <v>2738</v>
      </c>
      <c r="F388" t="s">
        <v>1195</v>
      </c>
      <c r="G388" t="s">
        <v>1192</v>
      </c>
      <c r="H388" t="s">
        <v>2761</v>
      </c>
    </row>
    <row r="389" spans="1:8" x14ac:dyDescent="0.25">
      <c r="A389" t="s">
        <v>2711</v>
      </c>
      <c r="B389" t="s">
        <v>948</v>
      </c>
      <c r="C389" t="s">
        <v>2710</v>
      </c>
      <c r="D389" t="s">
        <v>910</v>
      </c>
      <c r="E389" t="s">
        <v>909</v>
      </c>
      <c r="F389" t="s">
        <v>1198</v>
      </c>
      <c r="G389" t="s">
        <v>2805</v>
      </c>
      <c r="H389" t="s">
        <v>3098</v>
      </c>
    </row>
    <row r="390" spans="1:8" x14ac:dyDescent="0.25">
      <c r="A390" t="s">
        <v>2712</v>
      </c>
      <c r="B390" t="s">
        <v>2724</v>
      </c>
      <c r="C390" t="s">
        <v>3155</v>
      </c>
      <c r="D390" t="s">
        <v>3070</v>
      </c>
      <c r="E390" t="s">
        <v>910</v>
      </c>
      <c r="F390" t="s">
        <v>977</v>
      </c>
      <c r="G390" t="s">
        <v>975</v>
      </c>
      <c r="H390" t="s">
        <v>3197</v>
      </c>
    </row>
    <row r="391" spans="1:8" x14ac:dyDescent="0.25">
      <c r="A391" t="s">
        <v>2713</v>
      </c>
      <c r="B391" t="s">
        <v>2725</v>
      </c>
      <c r="C391" t="s">
        <v>2320</v>
      </c>
      <c r="D391" t="s">
        <v>2330</v>
      </c>
      <c r="E391" t="s">
        <v>3283</v>
      </c>
      <c r="F391" t="s">
        <v>979</v>
      </c>
      <c r="G391" t="s">
        <v>976</v>
      </c>
      <c r="H391" t="s">
        <v>2762</v>
      </c>
    </row>
    <row r="392" spans="1:8" x14ac:dyDescent="0.25">
      <c r="A392" t="s">
        <v>2714</v>
      </c>
      <c r="B392" t="s">
        <v>1050</v>
      </c>
      <c r="C392" t="s">
        <v>2321</v>
      </c>
      <c r="D392" t="s">
        <v>3071</v>
      </c>
      <c r="E392" t="s">
        <v>3284</v>
      </c>
      <c r="F392" t="s">
        <v>1139</v>
      </c>
      <c r="G392" t="s">
        <v>2806</v>
      </c>
      <c r="H392" t="s">
        <v>1087</v>
      </c>
    </row>
    <row r="393" spans="1:8" x14ac:dyDescent="0.25">
      <c r="A393" t="s">
        <v>2715</v>
      </c>
      <c r="B393" t="s">
        <v>2726</v>
      </c>
      <c r="C393" t="s">
        <v>2322</v>
      </c>
      <c r="D393" t="s">
        <v>3072</v>
      </c>
      <c r="E393" t="s">
        <v>3285</v>
      </c>
      <c r="F393" t="s">
        <v>989</v>
      </c>
      <c r="G393" t="s">
        <v>2807</v>
      </c>
      <c r="H393" t="s">
        <v>2341</v>
      </c>
    </row>
    <row r="394" spans="1:8" x14ac:dyDescent="0.25">
      <c r="A394" t="s">
        <v>2716</v>
      </c>
      <c r="B394" t="s">
        <v>2727</v>
      </c>
      <c r="C394" t="s">
        <v>2323</v>
      </c>
      <c r="D394" t="s">
        <v>3073</v>
      </c>
      <c r="E394" t="s">
        <v>913</v>
      </c>
      <c r="F394" t="s">
        <v>994</v>
      </c>
      <c r="G394" t="s">
        <v>1195</v>
      </c>
      <c r="H394" t="s">
        <v>3361</v>
      </c>
    </row>
    <row r="395" spans="1:8" x14ac:dyDescent="0.25">
      <c r="A395" t="s">
        <v>2717</v>
      </c>
      <c r="B395" t="s">
        <v>1059</v>
      </c>
      <c r="C395" t="s">
        <v>2324</v>
      </c>
      <c r="D395" t="s">
        <v>3074</v>
      </c>
      <c r="E395" t="s">
        <v>3286</v>
      </c>
      <c r="F395" t="s">
        <v>995</v>
      </c>
      <c r="G395" t="s">
        <v>1198</v>
      </c>
      <c r="H395" t="s">
        <v>980</v>
      </c>
    </row>
    <row r="396" spans="1:8" x14ac:dyDescent="0.25">
      <c r="A396" t="s">
        <v>2718</v>
      </c>
      <c r="B396" t="s">
        <v>897</v>
      </c>
      <c r="C396" t="s">
        <v>2325</v>
      </c>
      <c r="D396" t="s">
        <v>911</v>
      </c>
      <c r="E396" t="s">
        <v>3287</v>
      </c>
      <c r="F396" t="s">
        <v>2808</v>
      </c>
      <c r="G396" t="s">
        <v>977</v>
      </c>
      <c r="H396" t="s">
        <v>982</v>
      </c>
    </row>
    <row r="397" spans="1:8" x14ac:dyDescent="0.25">
      <c r="A397" t="s">
        <v>941</v>
      </c>
      <c r="B397" t="s">
        <v>1054</v>
      </c>
      <c r="C397" t="s">
        <v>2326</v>
      </c>
      <c r="D397" t="s">
        <v>2740</v>
      </c>
      <c r="E397" t="s">
        <v>2740</v>
      </c>
      <c r="F397" t="s">
        <v>1026</v>
      </c>
      <c r="G397" t="s">
        <v>979</v>
      </c>
      <c r="H397" t="s">
        <v>3362</v>
      </c>
    </row>
    <row r="398" spans="1:8" x14ac:dyDescent="0.25">
      <c r="A398" t="s">
        <v>2719</v>
      </c>
      <c r="B398" t="s">
        <v>2728</v>
      </c>
      <c r="C398" t="s">
        <v>2327</v>
      </c>
      <c r="D398" t="s">
        <v>2741</v>
      </c>
      <c r="E398" t="s">
        <v>2741</v>
      </c>
      <c r="F398" t="s">
        <v>1005</v>
      </c>
      <c r="G398" t="s">
        <v>1139</v>
      </c>
      <c r="H398" t="s">
        <v>993</v>
      </c>
    </row>
    <row r="399" spans="1:8" x14ac:dyDescent="0.25">
      <c r="A399" t="s">
        <v>944</v>
      </c>
      <c r="B399" t="s">
        <v>902</v>
      </c>
      <c r="C399" t="s">
        <v>2328</v>
      </c>
      <c r="D399" t="s">
        <v>2742</v>
      </c>
      <c r="E399" t="s">
        <v>2742</v>
      </c>
      <c r="F399" t="s">
        <v>1172</v>
      </c>
      <c r="G399" t="s">
        <v>985</v>
      </c>
      <c r="H399" t="s">
        <v>986</v>
      </c>
    </row>
    <row r="400" spans="1:8" x14ac:dyDescent="0.25">
      <c r="A400" t="s">
        <v>1118</v>
      </c>
      <c r="B400" t="s">
        <v>1144</v>
      </c>
      <c r="C400" t="s">
        <v>2711</v>
      </c>
      <c r="D400" t="s">
        <v>2743</v>
      </c>
      <c r="E400" t="s">
        <v>2743</v>
      </c>
      <c r="F400" t="s">
        <v>1014</v>
      </c>
      <c r="G400" t="s">
        <v>1038</v>
      </c>
      <c r="H400" t="s">
        <v>3363</v>
      </c>
    </row>
    <row r="401" spans="1:8" x14ac:dyDescent="0.25">
      <c r="A401" t="s">
        <v>946</v>
      </c>
      <c r="B401" t="s">
        <v>1147</v>
      </c>
      <c r="C401" t="s">
        <v>2712</v>
      </c>
      <c r="D401" t="s">
        <v>2744</v>
      </c>
      <c r="E401" t="s">
        <v>2744</v>
      </c>
      <c r="F401" t="s">
        <v>1015</v>
      </c>
      <c r="G401" t="s">
        <v>987</v>
      </c>
      <c r="H401" t="s">
        <v>1097</v>
      </c>
    </row>
    <row r="402" spans="1:8" x14ac:dyDescent="0.25">
      <c r="A402" t="s">
        <v>2720</v>
      </c>
      <c r="B402" t="s">
        <v>2729</v>
      </c>
      <c r="C402" t="s">
        <v>3190</v>
      </c>
      <c r="D402" t="s">
        <v>2745</v>
      </c>
      <c r="E402" t="s">
        <v>2745</v>
      </c>
      <c r="F402" t="s">
        <v>1018</v>
      </c>
      <c r="G402" t="s">
        <v>989</v>
      </c>
      <c r="H402" t="s">
        <v>1099</v>
      </c>
    </row>
    <row r="403" spans="1:8" x14ac:dyDescent="0.25">
      <c r="A403" t="s">
        <v>2721</v>
      </c>
      <c r="B403" t="s">
        <v>2730</v>
      </c>
      <c r="C403" t="s">
        <v>2713</v>
      </c>
      <c r="D403" t="s">
        <v>2331</v>
      </c>
      <c r="E403" t="s">
        <v>3156</v>
      </c>
      <c r="F403" t="s">
        <v>1019</v>
      </c>
      <c r="G403" t="s">
        <v>992</v>
      </c>
      <c r="H403" t="s">
        <v>2775</v>
      </c>
    </row>
    <row r="404" spans="1:8" x14ac:dyDescent="0.25">
      <c r="A404" t="s">
        <v>2722</v>
      </c>
      <c r="B404" t="s">
        <v>908</v>
      </c>
      <c r="C404" t="s">
        <v>2714</v>
      </c>
      <c r="D404" t="s">
        <v>958</v>
      </c>
      <c r="E404" t="s">
        <v>2331</v>
      </c>
      <c r="F404" t="s">
        <v>1020</v>
      </c>
      <c r="G404" t="s">
        <v>994</v>
      </c>
      <c r="H404" t="s">
        <v>2776</v>
      </c>
    </row>
    <row r="405" spans="1:8" x14ac:dyDescent="0.25">
      <c r="A405" t="s">
        <v>948</v>
      </c>
      <c r="B405" t="s">
        <v>2731</v>
      </c>
      <c r="C405" t="s">
        <v>2715</v>
      </c>
      <c r="D405" t="s">
        <v>914</v>
      </c>
      <c r="E405" t="s">
        <v>3157</v>
      </c>
      <c r="F405" t="s">
        <v>1023</v>
      </c>
      <c r="G405" t="s">
        <v>995</v>
      </c>
      <c r="H405" t="s">
        <v>3202</v>
      </c>
    </row>
    <row r="406" spans="1:8" x14ac:dyDescent="0.25">
      <c r="A406" t="s">
        <v>2723</v>
      </c>
      <c r="B406" t="s">
        <v>2732</v>
      </c>
      <c r="C406" t="s">
        <v>2716</v>
      </c>
      <c r="D406" t="s">
        <v>1154</v>
      </c>
      <c r="E406" t="s">
        <v>958</v>
      </c>
      <c r="F406" t="s">
        <v>1024</v>
      </c>
      <c r="G406" t="s">
        <v>1026</v>
      </c>
      <c r="H406" t="s">
        <v>3236</v>
      </c>
    </row>
    <row r="407" spans="1:8" x14ac:dyDescent="0.25">
      <c r="A407" t="s">
        <v>2724</v>
      </c>
      <c r="B407" t="s">
        <v>2733</v>
      </c>
      <c r="C407" t="s">
        <v>2717</v>
      </c>
      <c r="D407" t="s">
        <v>915</v>
      </c>
      <c r="E407" t="s">
        <v>914</v>
      </c>
      <c r="F407" t="s">
        <v>1025</v>
      </c>
      <c r="G407" t="s">
        <v>1049</v>
      </c>
      <c r="H407" t="s">
        <v>988</v>
      </c>
    </row>
    <row r="408" spans="1:8" x14ac:dyDescent="0.25">
      <c r="A408" t="s">
        <v>2725</v>
      </c>
      <c r="B408" t="s">
        <v>961</v>
      </c>
      <c r="C408" t="s">
        <v>2718</v>
      </c>
      <c r="D408" t="s">
        <v>916</v>
      </c>
      <c r="E408" t="s">
        <v>1154</v>
      </c>
      <c r="F408" t="s">
        <v>2357</v>
      </c>
      <c r="G408" t="s">
        <v>1005</v>
      </c>
      <c r="H408" t="s">
        <v>1093</v>
      </c>
    </row>
    <row r="409" spans="1:8" x14ac:dyDescent="0.25">
      <c r="A409" t="s">
        <v>1050</v>
      </c>
      <c r="B409" t="s">
        <v>1150</v>
      </c>
      <c r="C409" t="s">
        <v>939</v>
      </c>
      <c r="D409" t="s">
        <v>922</v>
      </c>
      <c r="E409" t="s">
        <v>915</v>
      </c>
      <c r="F409" t="s">
        <v>2358</v>
      </c>
      <c r="G409" t="s">
        <v>1037</v>
      </c>
      <c r="H409" t="s">
        <v>1095</v>
      </c>
    </row>
    <row r="410" spans="1:8" x14ac:dyDescent="0.25">
      <c r="A410" t="s">
        <v>2726</v>
      </c>
      <c r="B410" t="s">
        <v>2734</v>
      </c>
      <c r="C410" t="s">
        <v>941</v>
      </c>
      <c r="D410" t="s">
        <v>923</v>
      </c>
      <c r="E410" t="s">
        <v>916</v>
      </c>
      <c r="F410" t="s">
        <v>3084</v>
      </c>
      <c r="G410" t="s">
        <v>1152</v>
      </c>
      <c r="H410" t="s">
        <v>2783</v>
      </c>
    </row>
    <row r="411" spans="1:8" x14ac:dyDescent="0.25">
      <c r="A411" t="s">
        <v>2727</v>
      </c>
      <c r="B411" t="s">
        <v>2735</v>
      </c>
      <c r="C411" t="s">
        <v>2719</v>
      </c>
      <c r="D411" t="s">
        <v>2336</v>
      </c>
      <c r="E411" t="s">
        <v>917</v>
      </c>
      <c r="F411" t="s">
        <v>1027</v>
      </c>
      <c r="G411" t="s">
        <v>1070</v>
      </c>
      <c r="H411" t="s">
        <v>2784</v>
      </c>
    </row>
    <row r="412" spans="1:8" x14ac:dyDescent="0.25">
      <c r="A412" t="s">
        <v>1055</v>
      </c>
      <c r="B412" t="s">
        <v>2736</v>
      </c>
      <c r="C412" t="s">
        <v>944</v>
      </c>
      <c r="D412" t="s">
        <v>2337</v>
      </c>
      <c r="E412" t="s">
        <v>922</v>
      </c>
      <c r="F412" t="s">
        <v>1028</v>
      </c>
      <c r="G412" t="s">
        <v>1157</v>
      </c>
      <c r="H412" t="s">
        <v>2785</v>
      </c>
    </row>
    <row r="413" spans="1:8" x14ac:dyDescent="0.25">
      <c r="A413" t="s">
        <v>896</v>
      </c>
      <c r="B413" t="s">
        <v>2737</v>
      </c>
      <c r="C413" t="s">
        <v>1118</v>
      </c>
      <c r="D413" t="s">
        <v>3160</v>
      </c>
      <c r="E413" t="s">
        <v>923</v>
      </c>
      <c r="F413" t="s">
        <v>1030</v>
      </c>
      <c r="G413" t="s">
        <v>1172</v>
      </c>
      <c r="H413" t="s">
        <v>2786</v>
      </c>
    </row>
    <row r="414" spans="1:8" x14ac:dyDescent="0.25">
      <c r="A414" t="s">
        <v>1059</v>
      </c>
      <c r="B414" t="s">
        <v>2738</v>
      </c>
      <c r="C414" t="s">
        <v>946</v>
      </c>
      <c r="D414" t="s">
        <v>3228</v>
      </c>
      <c r="E414" t="s">
        <v>2336</v>
      </c>
      <c r="F414" t="s">
        <v>1091</v>
      </c>
      <c r="G414" t="s">
        <v>1159</v>
      </c>
      <c r="H414" t="s">
        <v>2787</v>
      </c>
    </row>
    <row r="415" spans="1:8" x14ac:dyDescent="0.25">
      <c r="A415" t="s">
        <v>897</v>
      </c>
      <c r="B415" t="s">
        <v>910</v>
      </c>
      <c r="C415" t="s">
        <v>2720</v>
      </c>
      <c r="D415" t="s">
        <v>1156</v>
      </c>
      <c r="E415" t="s">
        <v>2337</v>
      </c>
      <c r="F415" t="s">
        <v>1040</v>
      </c>
      <c r="G415" t="s">
        <v>1018</v>
      </c>
      <c r="H415" t="s">
        <v>2788</v>
      </c>
    </row>
    <row r="416" spans="1:8" x14ac:dyDescent="0.25">
      <c r="A416" t="s">
        <v>1054</v>
      </c>
      <c r="B416" t="s">
        <v>3069</v>
      </c>
      <c r="C416" t="s">
        <v>2721</v>
      </c>
      <c r="D416" t="s">
        <v>930</v>
      </c>
      <c r="E416" t="s">
        <v>3160</v>
      </c>
      <c r="F416" t="s">
        <v>2817</v>
      </c>
      <c r="G416" t="s">
        <v>1019</v>
      </c>
      <c r="H416" t="s">
        <v>2792</v>
      </c>
    </row>
    <row r="417" spans="1:8" x14ac:dyDescent="0.25">
      <c r="A417" t="s">
        <v>1057</v>
      </c>
      <c r="B417" t="s">
        <v>3070</v>
      </c>
      <c r="C417" t="s">
        <v>2722</v>
      </c>
      <c r="D417" t="s">
        <v>931</v>
      </c>
      <c r="E417" t="s">
        <v>1156</v>
      </c>
      <c r="F417" t="s">
        <v>1048</v>
      </c>
      <c r="G417" t="s">
        <v>1020</v>
      </c>
      <c r="H417" t="s">
        <v>2793</v>
      </c>
    </row>
    <row r="418" spans="1:8" x14ac:dyDescent="0.25">
      <c r="A418" t="s">
        <v>2728</v>
      </c>
      <c r="B418" t="s">
        <v>2330</v>
      </c>
      <c r="C418" t="s">
        <v>948</v>
      </c>
      <c r="D418" t="s">
        <v>932</v>
      </c>
      <c r="E418" t="s">
        <v>930</v>
      </c>
      <c r="F418" t="s">
        <v>1051</v>
      </c>
      <c r="G418" t="s">
        <v>1023</v>
      </c>
      <c r="H418" t="s">
        <v>964</v>
      </c>
    </row>
    <row r="419" spans="1:8" x14ac:dyDescent="0.25">
      <c r="A419" t="s">
        <v>1063</v>
      </c>
      <c r="B419" t="s">
        <v>3071</v>
      </c>
      <c r="C419" t="s">
        <v>2723</v>
      </c>
      <c r="D419" t="s">
        <v>933</v>
      </c>
      <c r="E419" t="s">
        <v>931</v>
      </c>
      <c r="F419" t="s">
        <v>3106</v>
      </c>
      <c r="G419" t="s">
        <v>1024</v>
      </c>
      <c r="H419" t="s">
        <v>2800</v>
      </c>
    </row>
    <row r="420" spans="1:8" x14ac:dyDescent="0.25">
      <c r="A420" t="s">
        <v>1067</v>
      </c>
      <c r="B420" t="s">
        <v>3072</v>
      </c>
      <c r="C420" t="s">
        <v>1047</v>
      </c>
      <c r="D420" t="s">
        <v>2746</v>
      </c>
      <c r="E420" t="s">
        <v>932</v>
      </c>
      <c r="F420" t="s">
        <v>2819</v>
      </c>
      <c r="G420" t="s">
        <v>1025</v>
      </c>
      <c r="H420" t="s">
        <v>2801</v>
      </c>
    </row>
    <row r="421" spans="1:8" x14ac:dyDescent="0.25">
      <c r="A421" t="s">
        <v>902</v>
      </c>
      <c r="B421" t="s">
        <v>3073</v>
      </c>
      <c r="C421" t="s">
        <v>2724</v>
      </c>
      <c r="D421" t="s">
        <v>2747</v>
      </c>
      <c r="E421" t="s">
        <v>933</v>
      </c>
      <c r="F421" t="s">
        <v>2820</v>
      </c>
      <c r="G421" t="s">
        <v>2357</v>
      </c>
      <c r="H421" t="s">
        <v>2802</v>
      </c>
    </row>
    <row r="422" spans="1:8" x14ac:dyDescent="0.25">
      <c r="A422" t="s">
        <v>903</v>
      </c>
      <c r="B422" t="s">
        <v>3074</v>
      </c>
      <c r="C422" t="s">
        <v>3191</v>
      </c>
      <c r="D422" t="s">
        <v>2748</v>
      </c>
      <c r="E422" t="s">
        <v>935</v>
      </c>
      <c r="F422" t="s">
        <v>2821</v>
      </c>
      <c r="G422" t="s">
        <v>3084</v>
      </c>
      <c r="H422" t="s">
        <v>2803</v>
      </c>
    </row>
    <row r="423" spans="1:8" x14ac:dyDescent="0.25">
      <c r="A423" t="s">
        <v>1144</v>
      </c>
      <c r="B423" t="s">
        <v>3075</v>
      </c>
      <c r="C423" t="s">
        <v>2725</v>
      </c>
      <c r="D423" t="s">
        <v>2749</v>
      </c>
      <c r="E423" t="s">
        <v>2746</v>
      </c>
      <c r="F423" t="s">
        <v>1056</v>
      </c>
      <c r="G423" t="s">
        <v>1027</v>
      </c>
      <c r="H423" t="s">
        <v>965</v>
      </c>
    </row>
    <row r="424" spans="1:8" x14ac:dyDescent="0.25">
      <c r="A424" t="s">
        <v>1147</v>
      </c>
      <c r="B424" t="s">
        <v>3076</v>
      </c>
      <c r="C424" t="s">
        <v>2727</v>
      </c>
      <c r="D424" t="s">
        <v>3097</v>
      </c>
      <c r="E424" t="s">
        <v>2747</v>
      </c>
      <c r="F424" t="s">
        <v>1117</v>
      </c>
      <c r="G424" t="s">
        <v>1030</v>
      </c>
      <c r="H424" t="s">
        <v>966</v>
      </c>
    </row>
    <row r="425" spans="1:8" x14ac:dyDescent="0.25">
      <c r="A425" t="s">
        <v>2729</v>
      </c>
      <c r="B425" t="s">
        <v>3077</v>
      </c>
      <c r="C425" t="s">
        <v>897</v>
      </c>
      <c r="D425" t="s">
        <v>2750</v>
      </c>
      <c r="E425" t="s">
        <v>2748</v>
      </c>
      <c r="F425" t="s">
        <v>1245</v>
      </c>
      <c r="G425" t="s">
        <v>1040</v>
      </c>
      <c r="H425" t="s">
        <v>968</v>
      </c>
    </row>
    <row r="426" spans="1:8" x14ac:dyDescent="0.25">
      <c r="A426" t="s">
        <v>904</v>
      </c>
      <c r="B426" t="s">
        <v>3078</v>
      </c>
      <c r="C426" t="s">
        <v>899</v>
      </c>
      <c r="D426" t="s">
        <v>2751</v>
      </c>
      <c r="E426" t="s">
        <v>2749</v>
      </c>
      <c r="F426" t="s">
        <v>1077</v>
      </c>
      <c r="G426" t="s">
        <v>1042</v>
      </c>
      <c r="H426" t="s">
        <v>969</v>
      </c>
    </row>
    <row r="427" spans="1:8" x14ac:dyDescent="0.25">
      <c r="A427" t="s">
        <v>2730</v>
      </c>
      <c r="B427" t="s">
        <v>3079</v>
      </c>
      <c r="C427" t="s">
        <v>902</v>
      </c>
      <c r="D427" t="s">
        <v>2752</v>
      </c>
      <c r="E427" t="s">
        <v>936</v>
      </c>
      <c r="F427" t="s">
        <v>3108</v>
      </c>
      <c r="G427" t="s">
        <v>2817</v>
      </c>
      <c r="H427" t="s">
        <v>1183</v>
      </c>
    </row>
    <row r="428" spans="1:8" x14ac:dyDescent="0.25">
      <c r="A428" t="s">
        <v>908</v>
      </c>
      <c r="B428" t="s">
        <v>3080</v>
      </c>
      <c r="C428" t="s">
        <v>1144</v>
      </c>
      <c r="D428" t="s">
        <v>2753</v>
      </c>
      <c r="E428" t="s">
        <v>3097</v>
      </c>
      <c r="F428" t="s">
        <v>2825</v>
      </c>
      <c r="G428" t="s">
        <v>2819</v>
      </c>
      <c r="H428" t="s">
        <v>1122</v>
      </c>
    </row>
    <row r="429" spans="1:8" x14ac:dyDescent="0.25">
      <c r="A429" t="s">
        <v>2731</v>
      </c>
      <c r="B429" t="s">
        <v>3081</v>
      </c>
      <c r="C429" t="s">
        <v>1147</v>
      </c>
      <c r="D429" t="s">
        <v>3193</v>
      </c>
      <c r="E429" t="s">
        <v>2750</v>
      </c>
      <c r="F429" t="s">
        <v>1084</v>
      </c>
      <c r="G429" t="s">
        <v>2820</v>
      </c>
      <c r="H429" t="s">
        <v>970</v>
      </c>
    </row>
    <row r="430" spans="1:8" x14ac:dyDescent="0.25">
      <c r="A430" t="s">
        <v>2732</v>
      </c>
      <c r="B430" t="s">
        <v>3082</v>
      </c>
      <c r="C430" t="s">
        <v>2729</v>
      </c>
      <c r="D430" t="s">
        <v>2755</v>
      </c>
      <c r="E430" t="s">
        <v>2751</v>
      </c>
      <c r="F430" t="s">
        <v>1088</v>
      </c>
      <c r="G430" t="s">
        <v>1056</v>
      </c>
      <c r="H430" t="s">
        <v>971</v>
      </c>
    </row>
    <row r="431" spans="1:8" x14ac:dyDescent="0.25">
      <c r="A431" t="s">
        <v>2733</v>
      </c>
      <c r="B431" t="s">
        <v>3083</v>
      </c>
      <c r="C431" t="s">
        <v>904</v>
      </c>
      <c r="D431" t="s">
        <v>3194</v>
      </c>
      <c r="E431" t="s">
        <v>2752</v>
      </c>
      <c r="F431" t="s">
        <v>1089</v>
      </c>
      <c r="G431" t="s">
        <v>1107</v>
      </c>
      <c r="H431" t="s">
        <v>972</v>
      </c>
    </row>
    <row r="432" spans="1:8" x14ac:dyDescent="0.25">
      <c r="A432" t="s">
        <v>961</v>
      </c>
      <c r="B432" t="s">
        <v>911</v>
      </c>
      <c r="C432" t="s">
        <v>2730</v>
      </c>
      <c r="D432" t="s">
        <v>2756</v>
      </c>
      <c r="E432" t="s">
        <v>2753</v>
      </c>
      <c r="F432" t="s">
        <v>1094</v>
      </c>
      <c r="G432" t="s">
        <v>2824</v>
      </c>
      <c r="H432" t="s">
        <v>973</v>
      </c>
    </row>
    <row r="433" spans="1:8" x14ac:dyDescent="0.25">
      <c r="A433" t="s">
        <v>1150</v>
      </c>
      <c r="B433" t="s">
        <v>2739</v>
      </c>
      <c r="C433" t="s">
        <v>908</v>
      </c>
      <c r="D433" t="s">
        <v>2757</v>
      </c>
      <c r="E433" t="s">
        <v>3193</v>
      </c>
      <c r="F433" t="s">
        <v>1096</v>
      </c>
      <c r="G433" t="s">
        <v>1117</v>
      </c>
      <c r="H433" t="s">
        <v>1192</v>
      </c>
    </row>
    <row r="434" spans="1:8" x14ac:dyDescent="0.25">
      <c r="A434" t="s">
        <v>2734</v>
      </c>
      <c r="B434" t="s">
        <v>2740</v>
      </c>
      <c r="C434" t="s">
        <v>2731</v>
      </c>
      <c r="D434" t="s">
        <v>3196</v>
      </c>
      <c r="E434" t="s">
        <v>2755</v>
      </c>
      <c r="F434" t="s">
        <v>1103</v>
      </c>
      <c r="G434" t="s">
        <v>2362</v>
      </c>
      <c r="H434" t="s">
        <v>2805</v>
      </c>
    </row>
    <row r="435" spans="1:8" x14ac:dyDescent="0.25">
      <c r="A435" t="s">
        <v>2735</v>
      </c>
      <c r="B435" t="s">
        <v>2741</v>
      </c>
      <c r="C435" t="s">
        <v>2732</v>
      </c>
      <c r="D435" t="s">
        <v>2758</v>
      </c>
      <c r="E435" t="s">
        <v>3194</v>
      </c>
      <c r="F435" t="s">
        <v>3311</v>
      </c>
      <c r="G435" t="s">
        <v>1077</v>
      </c>
      <c r="H435" t="s">
        <v>975</v>
      </c>
    </row>
    <row r="436" spans="1:8" x14ac:dyDescent="0.25">
      <c r="A436" t="s">
        <v>2736</v>
      </c>
      <c r="B436" t="s">
        <v>2742</v>
      </c>
      <c r="C436" t="s">
        <v>2733</v>
      </c>
      <c r="D436" t="s">
        <v>2759</v>
      </c>
      <c r="E436" t="s">
        <v>2756</v>
      </c>
      <c r="F436" t="s">
        <v>2826</v>
      </c>
      <c r="G436" t="s">
        <v>2825</v>
      </c>
      <c r="H436" t="s">
        <v>976</v>
      </c>
    </row>
    <row r="437" spans="1:8" x14ac:dyDescent="0.25">
      <c r="A437" t="s">
        <v>2737</v>
      </c>
      <c r="B437" t="s">
        <v>2743</v>
      </c>
      <c r="C437" t="s">
        <v>961</v>
      </c>
      <c r="D437" t="s">
        <v>2760</v>
      </c>
      <c r="E437" t="s">
        <v>3288</v>
      </c>
      <c r="F437" t="s">
        <v>1105</v>
      </c>
      <c r="G437" t="s">
        <v>1084</v>
      </c>
      <c r="H437" t="s">
        <v>2806</v>
      </c>
    </row>
    <row r="438" spans="1:8" x14ac:dyDescent="0.25">
      <c r="A438" t="s">
        <v>2738</v>
      </c>
      <c r="B438" t="s">
        <v>2744</v>
      </c>
      <c r="C438" t="s">
        <v>1150</v>
      </c>
      <c r="D438" t="s">
        <v>2761</v>
      </c>
      <c r="E438" t="s">
        <v>2757</v>
      </c>
      <c r="F438" t="s">
        <v>1106</v>
      </c>
      <c r="G438" t="s">
        <v>1088</v>
      </c>
      <c r="H438" t="s">
        <v>2807</v>
      </c>
    </row>
    <row r="439" spans="1:8" x14ac:dyDescent="0.25">
      <c r="A439" t="s">
        <v>909</v>
      </c>
      <c r="B439" t="s">
        <v>2745</v>
      </c>
      <c r="C439" t="s">
        <v>2734</v>
      </c>
      <c r="D439" t="s">
        <v>3098</v>
      </c>
      <c r="E439" t="s">
        <v>3196</v>
      </c>
      <c r="F439" t="s">
        <v>1108</v>
      </c>
      <c r="G439" t="s">
        <v>1089</v>
      </c>
      <c r="H439" t="s">
        <v>1195</v>
      </c>
    </row>
    <row r="440" spans="1:8" x14ac:dyDescent="0.25">
      <c r="A440" t="s">
        <v>910</v>
      </c>
      <c r="B440" t="s">
        <v>1154</v>
      </c>
      <c r="C440" t="s">
        <v>2735</v>
      </c>
      <c r="D440" t="s">
        <v>2762</v>
      </c>
      <c r="E440" t="s">
        <v>2758</v>
      </c>
      <c r="F440" t="s">
        <v>2828</v>
      </c>
      <c r="G440" t="s">
        <v>1094</v>
      </c>
      <c r="H440" t="s">
        <v>1198</v>
      </c>
    </row>
    <row r="441" spans="1:8" x14ac:dyDescent="0.25">
      <c r="A441" t="s">
        <v>2329</v>
      </c>
      <c r="B441" t="s">
        <v>915</v>
      </c>
      <c r="C441" t="s">
        <v>3192</v>
      </c>
      <c r="D441" t="s">
        <v>1087</v>
      </c>
      <c r="E441" t="s">
        <v>2759</v>
      </c>
      <c r="F441" t="s">
        <v>3289</v>
      </c>
      <c r="G441" t="s">
        <v>1096</v>
      </c>
      <c r="H441" t="s">
        <v>977</v>
      </c>
    </row>
    <row r="442" spans="1:8" x14ac:dyDescent="0.25">
      <c r="A442" t="s">
        <v>2330</v>
      </c>
      <c r="B442" t="s">
        <v>916</v>
      </c>
      <c r="C442" t="s">
        <v>2736</v>
      </c>
      <c r="D442" t="s">
        <v>983</v>
      </c>
      <c r="E442" t="s">
        <v>2760</v>
      </c>
      <c r="F442" t="s">
        <v>3109</v>
      </c>
      <c r="G442" t="s">
        <v>1229</v>
      </c>
      <c r="H442" t="s">
        <v>979</v>
      </c>
    </row>
    <row r="443" spans="1:8" x14ac:dyDescent="0.25">
      <c r="A443" t="s">
        <v>911</v>
      </c>
      <c r="B443" t="s">
        <v>920</v>
      </c>
      <c r="C443" t="s">
        <v>2738</v>
      </c>
      <c r="D443" t="s">
        <v>1134</v>
      </c>
      <c r="E443" t="s">
        <v>2761</v>
      </c>
      <c r="F443" t="s">
        <v>2830</v>
      </c>
      <c r="G443" t="s">
        <v>1103</v>
      </c>
      <c r="H443" t="s">
        <v>1139</v>
      </c>
    </row>
    <row r="444" spans="1:8" x14ac:dyDescent="0.25">
      <c r="A444" t="s">
        <v>2739</v>
      </c>
      <c r="B444" t="s">
        <v>921</v>
      </c>
      <c r="C444" t="s">
        <v>909</v>
      </c>
      <c r="D444" t="s">
        <v>2763</v>
      </c>
      <c r="E444" t="s">
        <v>3098</v>
      </c>
      <c r="F444" t="s">
        <v>2831</v>
      </c>
      <c r="G444" t="s">
        <v>3311</v>
      </c>
      <c r="H444" t="s">
        <v>985</v>
      </c>
    </row>
    <row r="445" spans="1:8" x14ac:dyDescent="0.25">
      <c r="A445" t="s">
        <v>2740</v>
      </c>
      <c r="B445" t="s">
        <v>2332</v>
      </c>
      <c r="C445" t="s">
        <v>910</v>
      </c>
      <c r="D445" t="s">
        <v>980</v>
      </c>
      <c r="E445" t="s">
        <v>3197</v>
      </c>
      <c r="F445" t="s">
        <v>2832</v>
      </c>
      <c r="G445" t="s">
        <v>2826</v>
      </c>
      <c r="H445" t="s">
        <v>1038</v>
      </c>
    </row>
    <row r="446" spans="1:8" x14ac:dyDescent="0.25">
      <c r="A446" t="s">
        <v>2741</v>
      </c>
      <c r="B446" t="s">
        <v>922</v>
      </c>
      <c r="C446" t="s">
        <v>2330</v>
      </c>
      <c r="D446" t="s">
        <v>3199</v>
      </c>
      <c r="E446" t="s">
        <v>2762</v>
      </c>
      <c r="F446" t="s">
        <v>3204</v>
      </c>
      <c r="G446" t="s">
        <v>1105</v>
      </c>
      <c r="H446" t="s">
        <v>987</v>
      </c>
    </row>
    <row r="447" spans="1:8" x14ac:dyDescent="0.25">
      <c r="A447" t="s">
        <v>2742</v>
      </c>
      <c r="B447" t="s">
        <v>923</v>
      </c>
      <c r="C447" t="s">
        <v>3072</v>
      </c>
      <c r="D447" t="s">
        <v>982</v>
      </c>
      <c r="E447" t="s">
        <v>1087</v>
      </c>
      <c r="F447" t="s">
        <v>3110</v>
      </c>
      <c r="G447" t="s">
        <v>1106</v>
      </c>
      <c r="H447" t="s">
        <v>992</v>
      </c>
    </row>
    <row r="448" spans="1:8" x14ac:dyDescent="0.25">
      <c r="A448" t="s">
        <v>2743</v>
      </c>
      <c r="B448" t="s">
        <v>928</v>
      </c>
      <c r="C448" t="s">
        <v>3073</v>
      </c>
      <c r="D448" t="s">
        <v>3200</v>
      </c>
      <c r="E448" t="s">
        <v>980</v>
      </c>
      <c r="F448" t="s">
        <v>1109</v>
      </c>
      <c r="G448" t="s">
        <v>1108</v>
      </c>
      <c r="H448" t="s">
        <v>994</v>
      </c>
    </row>
    <row r="449" spans="1:8" x14ac:dyDescent="0.25">
      <c r="A449" t="s">
        <v>2744</v>
      </c>
      <c r="B449" t="s">
        <v>2336</v>
      </c>
      <c r="C449" t="s">
        <v>3074</v>
      </c>
      <c r="D449" t="s">
        <v>2764</v>
      </c>
      <c r="E449" t="s">
        <v>2764</v>
      </c>
      <c r="F449" t="s">
        <v>1110</v>
      </c>
      <c r="G449" t="s">
        <v>3346</v>
      </c>
      <c r="H449" t="s">
        <v>995</v>
      </c>
    </row>
    <row r="450" spans="1:8" x14ac:dyDescent="0.25">
      <c r="A450" t="s">
        <v>2745</v>
      </c>
      <c r="B450" t="s">
        <v>2337</v>
      </c>
      <c r="C450" t="s">
        <v>3075</v>
      </c>
      <c r="D450" t="s">
        <v>2765</v>
      </c>
      <c r="E450" t="s">
        <v>2765</v>
      </c>
      <c r="F450" t="s">
        <v>1111</v>
      </c>
      <c r="G450" t="s">
        <v>2831</v>
      </c>
      <c r="H450" t="s">
        <v>2808</v>
      </c>
    </row>
    <row r="451" spans="1:8" x14ac:dyDescent="0.25">
      <c r="A451" t="s">
        <v>2331</v>
      </c>
      <c r="B451" t="s">
        <v>2338</v>
      </c>
      <c r="C451" t="s">
        <v>3076</v>
      </c>
      <c r="D451" t="s">
        <v>2766</v>
      </c>
      <c r="E451" t="s">
        <v>1083</v>
      </c>
      <c r="F451" t="s">
        <v>1127</v>
      </c>
      <c r="G451" t="s">
        <v>3206</v>
      </c>
      <c r="H451" t="s">
        <v>1026</v>
      </c>
    </row>
    <row r="452" spans="1:8" x14ac:dyDescent="0.25">
      <c r="A452" t="s">
        <v>1154</v>
      </c>
      <c r="B452" t="s">
        <v>1156</v>
      </c>
      <c r="C452" t="s">
        <v>3077</v>
      </c>
      <c r="D452" t="s">
        <v>1083</v>
      </c>
      <c r="E452" t="s">
        <v>1086</v>
      </c>
      <c r="F452" t="s">
        <v>1266</v>
      </c>
      <c r="G452" t="s">
        <v>1110</v>
      </c>
      <c r="H452" t="s">
        <v>1049</v>
      </c>
    </row>
    <row r="453" spans="1:8" x14ac:dyDescent="0.25">
      <c r="A453" t="s">
        <v>915</v>
      </c>
      <c r="B453" t="s">
        <v>930</v>
      </c>
      <c r="C453" t="s">
        <v>3078</v>
      </c>
      <c r="D453" t="s">
        <v>1086</v>
      </c>
      <c r="E453" t="s">
        <v>2348</v>
      </c>
      <c r="F453" t="s">
        <v>2836</v>
      </c>
      <c r="G453" t="s">
        <v>1111</v>
      </c>
      <c r="H453" t="s">
        <v>1005</v>
      </c>
    </row>
    <row r="454" spans="1:8" x14ac:dyDescent="0.25">
      <c r="A454" t="s">
        <v>916</v>
      </c>
      <c r="B454" t="s">
        <v>931</v>
      </c>
      <c r="C454" t="s">
        <v>3079</v>
      </c>
      <c r="D454" t="s">
        <v>2348</v>
      </c>
      <c r="E454" t="s">
        <v>2349</v>
      </c>
      <c r="F454" t="s">
        <v>1268</v>
      </c>
      <c r="G454" t="s">
        <v>1125</v>
      </c>
      <c r="H454" t="s">
        <v>1037</v>
      </c>
    </row>
    <row r="455" spans="1:8" x14ac:dyDescent="0.25">
      <c r="A455" t="s">
        <v>920</v>
      </c>
      <c r="B455" t="s">
        <v>2746</v>
      </c>
      <c r="C455" t="s">
        <v>3081</v>
      </c>
      <c r="D455" t="s">
        <v>2349</v>
      </c>
      <c r="E455" t="s">
        <v>2350</v>
      </c>
      <c r="F455" t="s">
        <v>1270</v>
      </c>
      <c r="G455" t="s">
        <v>1127</v>
      </c>
      <c r="H455" t="s">
        <v>1152</v>
      </c>
    </row>
    <row r="456" spans="1:8" x14ac:dyDescent="0.25">
      <c r="A456" t="s">
        <v>921</v>
      </c>
      <c r="B456" t="s">
        <v>2747</v>
      </c>
      <c r="C456" t="s">
        <v>3082</v>
      </c>
      <c r="D456" t="s">
        <v>2350</v>
      </c>
      <c r="E456" t="s">
        <v>2351</v>
      </c>
      <c r="F456" t="s">
        <v>1112</v>
      </c>
      <c r="G456" t="s">
        <v>1266</v>
      </c>
      <c r="H456" t="s">
        <v>2813</v>
      </c>
    </row>
    <row r="457" spans="1:8" x14ac:dyDescent="0.25">
      <c r="A457" t="s">
        <v>2332</v>
      </c>
      <c r="B457" t="s">
        <v>2748</v>
      </c>
      <c r="C457" t="s">
        <v>3083</v>
      </c>
      <c r="D457" t="s">
        <v>2351</v>
      </c>
      <c r="E457" t="s">
        <v>2768</v>
      </c>
      <c r="F457" t="s">
        <v>1113</v>
      </c>
      <c r="G457" t="s">
        <v>2836</v>
      </c>
      <c r="H457" t="s">
        <v>1070</v>
      </c>
    </row>
    <row r="458" spans="1:8" x14ac:dyDescent="0.25">
      <c r="A458" t="s">
        <v>2333</v>
      </c>
      <c r="B458" t="s">
        <v>2749</v>
      </c>
      <c r="C458" t="s">
        <v>911</v>
      </c>
      <c r="D458" t="s">
        <v>2352</v>
      </c>
      <c r="E458" t="s">
        <v>1097</v>
      </c>
      <c r="F458" t="s">
        <v>1114</v>
      </c>
      <c r="G458" t="s">
        <v>1268</v>
      </c>
      <c r="H458" t="s">
        <v>1172</v>
      </c>
    </row>
    <row r="459" spans="1:8" x14ac:dyDescent="0.25">
      <c r="A459" t="s">
        <v>2334</v>
      </c>
      <c r="B459" t="s">
        <v>936</v>
      </c>
      <c r="C459" t="s">
        <v>2740</v>
      </c>
      <c r="D459" t="s">
        <v>990</v>
      </c>
      <c r="E459" t="s">
        <v>1099</v>
      </c>
      <c r="F459" t="s">
        <v>1115</v>
      </c>
      <c r="G459" t="s">
        <v>1270</v>
      </c>
      <c r="H459" t="s">
        <v>1159</v>
      </c>
    </row>
    <row r="460" spans="1:8" x14ac:dyDescent="0.25">
      <c r="A460" t="s">
        <v>2335</v>
      </c>
      <c r="B460" t="s">
        <v>3097</v>
      </c>
      <c r="C460" t="s">
        <v>2741</v>
      </c>
      <c r="D460" t="s">
        <v>1001</v>
      </c>
      <c r="E460" t="s">
        <v>2772</v>
      </c>
      <c r="F460" t="s">
        <v>1116</v>
      </c>
      <c r="G460" t="s">
        <v>1112</v>
      </c>
      <c r="H460" t="s">
        <v>1014</v>
      </c>
    </row>
    <row r="461" spans="1:8" x14ac:dyDescent="0.25">
      <c r="A461" t="s">
        <v>922</v>
      </c>
      <c r="B461" t="s">
        <v>2750</v>
      </c>
      <c r="C461" t="s">
        <v>2742</v>
      </c>
      <c r="D461" t="s">
        <v>1004</v>
      </c>
      <c r="E461" t="s">
        <v>2774</v>
      </c>
      <c r="F461" t="s">
        <v>1119</v>
      </c>
      <c r="G461" t="s">
        <v>1113</v>
      </c>
      <c r="H461" t="s">
        <v>1015</v>
      </c>
    </row>
    <row r="462" spans="1:8" x14ac:dyDescent="0.25">
      <c r="A462" t="s">
        <v>923</v>
      </c>
      <c r="B462" t="s">
        <v>2751</v>
      </c>
      <c r="C462" t="s">
        <v>2743</v>
      </c>
      <c r="D462" t="s">
        <v>2767</v>
      </c>
      <c r="E462" t="s">
        <v>2775</v>
      </c>
      <c r="F462" t="s">
        <v>1120</v>
      </c>
      <c r="G462" t="s">
        <v>1114</v>
      </c>
      <c r="H462" t="s">
        <v>1018</v>
      </c>
    </row>
    <row r="463" spans="1:8" x14ac:dyDescent="0.25">
      <c r="A463" t="s">
        <v>926</v>
      </c>
      <c r="B463" t="s">
        <v>2752</v>
      </c>
      <c r="C463" t="s">
        <v>2744</v>
      </c>
      <c r="D463" t="s">
        <v>2768</v>
      </c>
      <c r="E463" t="s">
        <v>2776</v>
      </c>
      <c r="F463" t="s">
        <v>2837</v>
      </c>
      <c r="G463" t="s">
        <v>1115</v>
      </c>
      <c r="H463" t="s">
        <v>1019</v>
      </c>
    </row>
    <row r="464" spans="1:8" x14ac:dyDescent="0.25">
      <c r="A464" t="s">
        <v>928</v>
      </c>
      <c r="B464" t="s">
        <v>2753</v>
      </c>
      <c r="C464" t="s">
        <v>2745</v>
      </c>
      <c r="D464" t="s">
        <v>1097</v>
      </c>
      <c r="E464" t="s">
        <v>2778</v>
      </c>
      <c r="F464" t="s">
        <v>1222</v>
      </c>
      <c r="G464" t="s">
        <v>1116</v>
      </c>
      <c r="H464" t="s">
        <v>1020</v>
      </c>
    </row>
    <row r="465" spans="1:8" x14ac:dyDescent="0.25">
      <c r="A465" t="s">
        <v>929</v>
      </c>
      <c r="B465" t="s">
        <v>2755</v>
      </c>
      <c r="C465" t="s">
        <v>3156</v>
      </c>
      <c r="D465" t="s">
        <v>2769</v>
      </c>
      <c r="E465" t="s">
        <v>988</v>
      </c>
      <c r="F465" t="s">
        <v>1280</v>
      </c>
      <c r="G465" t="s">
        <v>1119</v>
      </c>
      <c r="H465" t="s">
        <v>1023</v>
      </c>
    </row>
    <row r="466" spans="1:8" x14ac:dyDescent="0.25">
      <c r="A466" t="s">
        <v>2336</v>
      </c>
      <c r="B466" t="s">
        <v>2756</v>
      </c>
      <c r="C466" t="s">
        <v>2331</v>
      </c>
      <c r="D466" t="s">
        <v>1099</v>
      </c>
      <c r="E466" t="s">
        <v>1093</v>
      </c>
      <c r="F466" t="s">
        <v>1224</v>
      </c>
      <c r="G466" t="s">
        <v>1120</v>
      </c>
      <c r="H466" t="s">
        <v>1024</v>
      </c>
    </row>
    <row r="467" spans="1:8" x14ac:dyDescent="0.25">
      <c r="A467" t="s">
        <v>2337</v>
      </c>
      <c r="B467" t="s">
        <v>2757</v>
      </c>
      <c r="C467" t="s">
        <v>3157</v>
      </c>
      <c r="D467" t="s">
        <v>3201</v>
      </c>
      <c r="E467" t="s">
        <v>1095</v>
      </c>
      <c r="F467" t="s">
        <v>1121</v>
      </c>
      <c r="G467" t="s">
        <v>1222</v>
      </c>
      <c r="H467" t="s">
        <v>1025</v>
      </c>
    </row>
    <row r="468" spans="1:8" x14ac:dyDescent="0.25">
      <c r="A468" t="s">
        <v>2338</v>
      </c>
      <c r="B468" t="s">
        <v>2758</v>
      </c>
      <c r="C468" t="s">
        <v>958</v>
      </c>
      <c r="D468" t="s">
        <v>2771</v>
      </c>
      <c r="E468" t="s">
        <v>940</v>
      </c>
      <c r="F468" t="s">
        <v>1123</v>
      </c>
      <c r="G468" t="s">
        <v>1280</v>
      </c>
      <c r="H468" t="s">
        <v>2357</v>
      </c>
    </row>
    <row r="469" spans="1:8" x14ac:dyDescent="0.25">
      <c r="A469" t="s">
        <v>2339</v>
      </c>
      <c r="B469" t="s">
        <v>2759</v>
      </c>
      <c r="C469" t="s">
        <v>914</v>
      </c>
      <c r="D469" t="s">
        <v>2772</v>
      </c>
      <c r="E469" t="s">
        <v>2783</v>
      </c>
      <c r="F469" t="s">
        <v>1124</v>
      </c>
      <c r="G469" t="s">
        <v>1224</v>
      </c>
      <c r="H469" t="s">
        <v>2358</v>
      </c>
    </row>
    <row r="470" spans="1:8" x14ac:dyDescent="0.25">
      <c r="A470" t="s">
        <v>1156</v>
      </c>
      <c r="B470" t="s">
        <v>2760</v>
      </c>
      <c r="C470" t="s">
        <v>1154</v>
      </c>
      <c r="D470" t="s">
        <v>2773</v>
      </c>
      <c r="E470" t="s">
        <v>1100</v>
      </c>
      <c r="F470" t="s">
        <v>1126</v>
      </c>
      <c r="G470" t="s">
        <v>1121</v>
      </c>
      <c r="H470" t="s">
        <v>3084</v>
      </c>
    </row>
    <row r="471" spans="1:8" x14ac:dyDescent="0.25">
      <c r="A471" t="s">
        <v>930</v>
      </c>
      <c r="B471" t="s">
        <v>2761</v>
      </c>
      <c r="C471" t="s">
        <v>915</v>
      </c>
      <c r="D471" t="s">
        <v>2774</v>
      </c>
      <c r="E471" t="s">
        <v>949</v>
      </c>
      <c r="F471" t="s">
        <v>1128</v>
      </c>
      <c r="G471" t="s">
        <v>1123</v>
      </c>
      <c r="H471" t="s">
        <v>1027</v>
      </c>
    </row>
    <row r="472" spans="1:8" x14ac:dyDescent="0.25">
      <c r="A472" t="s">
        <v>931</v>
      </c>
      <c r="B472" t="s">
        <v>3098</v>
      </c>
      <c r="C472" t="s">
        <v>916</v>
      </c>
      <c r="D472" t="s">
        <v>2775</v>
      </c>
      <c r="E472" t="s">
        <v>2784</v>
      </c>
      <c r="F472" t="s">
        <v>1129</v>
      </c>
      <c r="G472" t="s">
        <v>1124</v>
      </c>
      <c r="H472" t="s">
        <v>1028</v>
      </c>
    </row>
    <row r="473" spans="1:8" x14ac:dyDescent="0.25">
      <c r="A473" t="s">
        <v>2746</v>
      </c>
      <c r="B473" t="s">
        <v>2762</v>
      </c>
      <c r="C473" t="s">
        <v>920</v>
      </c>
      <c r="D473" t="s">
        <v>2776</v>
      </c>
      <c r="E473" t="s">
        <v>2785</v>
      </c>
      <c r="F473" t="s">
        <v>1292</v>
      </c>
      <c r="G473" t="s">
        <v>1126</v>
      </c>
      <c r="H473" t="s">
        <v>1030</v>
      </c>
    </row>
    <row r="474" spans="1:8" x14ac:dyDescent="0.25">
      <c r="A474" t="s">
        <v>2747</v>
      </c>
      <c r="B474" t="s">
        <v>1087</v>
      </c>
      <c r="C474" t="s">
        <v>921</v>
      </c>
      <c r="D474" t="s">
        <v>3236</v>
      </c>
      <c r="E474" t="s">
        <v>2786</v>
      </c>
      <c r="F474" t="s">
        <v>2839</v>
      </c>
      <c r="G474" t="s">
        <v>1128</v>
      </c>
      <c r="H474" t="s">
        <v>1032</v>
      </c>
    </row>
    <row r="475" spans="1:8" x14ac:dyDescent="0.25">
      <c r="A475" t="s">
        <v>2748</v>
      </c>
      <c r="B475" t="s">
        <v>2340</v>
      </c>
      <c r="C475" t="s">
        <v>2332</v>
      </c>
      <c r="D475" t="s">
        <v>988</v>
      </c>
      <c r="E475" t="s">
        <v>2787</v>
      </c>
      <c r="F475" t="s">
        <v>1294</v>
      </c>
      <c r="G475" t="s">
        <v>1129</v>
      </c>
      <c r="H475" t="s">
        <v>1040</v>
      </c>
    </row>
    <row r="476" spans="1:8" x14ac:dyDescent="0.25">
      <c r="A476" t="s">
        <v>2749</v>
      </c>
      <c r="B476" t="s">
        <v>2341</v>
      </c>
      <c r="C476" t="s">
        <v>2333</v>
      </c>
      <c r="D476" t="s">
        <v>2353</v>
      </c>
      <c r="E476" t="s">
        <v>2788</v>
      </c>
      <c r="F476" t="s">
        <v>1130</v>
      </c>
      <c r="G476" t="s">
        <v>1292</v>
      </c>
      <c r="H476" t="s">
        <v>1042</v>
      </c>
    </row>
    <row r="477" spans="1:8" x14ac:dyDescent="0.25">
      <c r="A477" t="s">
        <v>2750</v>
      </c>
      <c r="B477" t="s">
        <v>2342</v>
      </c>
      <c r="C477" t="s">
        <v>3158</v>
      </c>
      <c r="D477" t="s">
        <v>1093</v>
      </c>
      <c r="E477" t="s">
        <v>2789</v>
      </c>
      <c r="F477" t="s">
        <v>1131</v>
      </c>
      <c r="G477" t="s">
        <v>2839</v>
      </c>
      <c r="H477" t="s">
        <v>2817</v>
      </c>
    </row>
    <row r="478" spans="1:8" x14ac:dyDescent="0.25">
      <c r="A478" t="s">
        <v>2751</v>
      </c>
      <c r="B478" t="s">
        <v>2343</v>
      </c>
      <c r="C478" t="s">
        <v>3159</v>
      </c>
      <c r="D478" t="s">
        <v>1095</v>
      </c>
      <c r="E478" t="s">
        <v>954</v>
      </c>
      <c r="F478" t="s">
        <v>1133</v>
      </c>
      <c r="G478" t="s">
        <v>1294</v>
      </c>
      <c r="H478" t="s">
        <v>2820</v>
      </c>
    </row>
    <row r="479" spans="1:8" x14ac:dyDescent="0.25">
      <c r="A479" t="s">
        <v>2752</v>
      </c>
      <c r="B479" t="s">
        <v>2344</v>
      </c>
      <c r="C479" t="s">
        <v>922</v>
      </c>
      <c r="D479" t="s">
        <v>940</v>
      </c>
      <c r="E479" t="s">
        <v>3100</v>
      </c>
      <c r="F479" t="s">
        <v>1135</v>
      </c>
      <c r="G479" t="s">
        <v>1130</v>
      </c>
      <c r="H479" t="s">
        <v>2821</v>
      </c>
    </row>
    <row r="480" spans="1:8" x14ac:dyDescent="0.25">
      <c r="A480" t="s">
        <v>2753</v>
      </c>
      <c r="B480" t="s">
        <v>2345</v>
      </c>
      <c r="C480" t="s">
        <v>923</v>
      </c>
      <c r="D480" t="s">
        <v>2783</v>
      </c>
      <c r="E480" t="s">
        <v>2790</v>
      </c>
      <c r="F480" t="s">
        <v>1137</v>
      </c>
      <c r="G480" t="s">
        <v>1131</v>
      </c>
      <c r="H480" t="s">
        <v>1056</v>
      </c>
    </row>
    <row r="481" spans="1:8" x14ac:dyDescent="0.25">
      <c r="A481" t="s">
        <v>2754</v>
      </c>
      <c r="B481" t="s">
        <v>2346</v>
      </c>
      <c r="C481" t="s">
        <v>928</v>
      </c>
      <c r="D481" t="s">
        <v>1100</v>
      </c>
      <c r="E481" t="s">
        <v>2792</v>
      </c>
      <c r="F481" t="s">
        <v>1138</v>
      </c>
      <c r="G481" t="s">
        <v>1133</v>
      </c>
      <c r="H481" t="s">
        <v>1107</v>
      </c>
    </row>
    <row r="482" spans="1:8" x14ac:dyDescent="0.25">
      <c r="A482" t="s">
        <v>2755</v>
      </c>
      <c r="B482" t="s">
        <v>2347</v>
      </c>
      <c r="C482" t="s">
        <v>929</v>
      </c>
      <c r="D482" t="s">
        <v>949</v>
      </c>
      <c r="E482" t="s">
        <v>2793</v>
      </c>
      <c r="F482" t="s">
        <v>1271</v>
      </c>
      <c r="G482" t="s">
        <v>1138</v>
      </c>
      <c r="H482" t="s">
        <v>2824</v>
      </c>
    </row>
    <row r="483" spans="1:8" x14ac:dyDescent="0.25">
      <c r="A483" t="s">
        <v>2756</v>
      </c>
      <c r="B483" t="s">
        <v>983</v>
      </c>
      <c r="C483" t="s">
        <v>2336</v>
      </c>
      <c r="D483" t="s">
        <v>2784</v>
      </c>
      <c r="E483" t="s">
        <v>2795</v>
      </c>
      <c r="F483" t="s">
        <v>1310</v>
      </c>
      <c r="G483" t="s">
        <v>1310</v>
      </c>
      <c r="H483" t="s">
        <v>1117</v>
      </c>
    </row>
    <row r="484" spans="1:8" x14ac:dyDescent="0.25">
      <c r="A484" t="s">
        <v>2757</v>
      </c>
      <c r="B484" t="s">
        <v>2764</v>
      </c>
      <c r="C484" t="s">
        <v>2337</v>
      </c>
      <c r="D484" t="s">
        <v>2785</v>
      </c>
      <c r="E484" t="s">
        <v>2796</v>
      </c>
      <c r="F484" t="s">
        <v>1312</v>
      </c>
      <c r="G484" t="s">
        <v>1312</v>
      </c>
      <c r="H484" t="s">
        <v>1077</v>
      </c>
    </row>
    <row r="485" spans="1:8" x14ac:dyDescent="0.25">
      <c r="A485" t="s">
        <v>2758</v>
      </c>
      <c r="B485" t="s">
        <v>2765</v>
      </c>
      <c r="C485" t="s">
        <v>2338</v>
      </c>
      <c r="D485" t="s">
        <v>2786</v>
      </c>
      <c r="E485" t="s">
        <v>2798</v>
      </c>
      <c r="F485" t="s">
        <v>1140</v>
      </c>
      <c r="G485" t="s">
        <v>1140</v>
      </c>
      <c r="H485" t="s">
        <v>2825</v>
      </c>
    </row>
    <row r="486" spans="1:8" x14ac:dyDescent="0.25">
      <c r="A486" t="s">
        <v>2759</v>
      </c>
      <c r="B486" t="s">
        <v>2766</v>
      </c>
      <c r="C486" t="s">
        <v>3160</v>
      </c>
      <c r="D486" t="s">
        <v>2787</v>
      </c>
      <c r="E486" t="s">
        <v>2799</v>
      </c>
      <c r="F486" t="s">
        <v>1142</v>
      </c>
      <c r="G486" t="s">
        <v>1142</v>
      </c>
      <c r="H486" t="s">
        <v>1084</v>
      </c>
    </row>
    <row r="487" spans="1:8" x14ac:dyDescent="0.25">
      <c r="A487" t="s">
        <v>2760</v>
      </c>
      <c r="B487" t="s">
        <v>1083</v>
      </c>
      <c r="C487" t="s">
        <v>2339</v>
      </c>
      <c r="D487" t="s">
        <v>2788</v>
      </c>
      <c r="E487" t="s">
        <v>960</v>
      </c>
      <c r="F487" t="s">
        <v>1143</v>
      </c>
      <c r="G487" t="s">
        <v>1143</v>
      </c>
      <c r="H487" t="s">
        <v>1088</v>
      </c>
    </row>
    <row r="488" spans="1:8" x14ac:dyDescent="0.25">
      <c r="A488" t="s">
        <v>2761</v>
      </c>
      <c r="B488" t="s">
        <v>1086</v>
      </c>
      <c r="C488" t="s">
        <v>1156</v>
      </c>
      <c r="D488" t="s">
        <v>2789</v>
      </c>
      <c r="E488" t="s">
        <v>963</v>
      </c>
      <c r="F488" t="s">
        <v>1146</v>
      </c>
      <c r="G488" t="s">
        <v>1146</v>
      </c>
      <c r="H488" t="s">
        <v>1089</v>
      </c>
    </row>
    <row r="489" spans="1:8" x14ac:dyDescent="0.25">
      <c r="A489" t="s">
        <v>2762</v>
      </c>
      <c r="B489" t="s">
        <v>2348</v>
      </c>
      <c r="C489" t="s">
        <v>930</v>
      </c>
      <c r="D489" t="s">
        <v>954</v>
      </c>
      <c r="E489" t="s">
        <v>1021</v>
      </c>
      <c r="F489" t="s">
        <v>1148</v>
      </c>
      <c r="G489" t="s">
        <v>1148</v>
      </c>
      <c r="H489" t="s">
        <v>1094</v>
      </c>
    </row>
    <row r="490" spans="1:8" x14ac:dyDescent="0.25">
      <c r="A490" t="s">
        <v>1087</v>
      </c>
      <c r="B490" t="s">
        <v>2349</v>
      </c>
      <c r="C490" t="s">
        <v>931</v>
      </c>
      <c r="D490" t="s">
        <v>2790</v>
      </c>
      <c r="E490" t="s">
        <v>964</v>
      </c>
      <c r="F490" t="s">
        <v>1281</v>
      </c>
      <c r="G490" t="s">
        <v>2840</v>
      </c>
      <c r="H490" t="s">
        <v>1096</v>
      </c>
    </row>
    <row r="491" spans="1:8" x14ac:dyDescent="0.25">
      <c r="A491" t="s">
        <v>2340</v>
      </c>
      <c r="B491" t="s">
        <v>2350</v>
      </c>
      <c r="C491" t="s">
        <v>932</v>
      </c>
      <c r="D491" t="s">
        <v>2792</v>
      </c>
      <c r="E491" t="s">
        <v>2800</v>
      </c>
      <c r="F491" t="s">
        <v>2840</v>
      </c>
      <c r="G491" t="s">
        <v>1167</v>
      </c>
      <c r="H491" t="s">
        <v>1229</v>
      </c>
    </row>
    <row r="492" spans="1:8" x14ac:dyDescent="0.25">
      <c r="A492" t="s">
        <v>2341</v>
      </c>
      <c r="B492" t="s">
        <v>2351</v>
      </c>
      <c r="C492" t="s">
        <v>933</v>
      </c>
      <c r="D492" t="s">
        <v>2793</v>
      </c>
      <c r="E492" t="s">
        <v>2801</v>
      </c>
      <c r="F492" t="s">
        <v>1167</v>
      </c>
      <c r="G492" t="s">
        <v>1149</v>
      </c>
      <c r="H492" t="s">
        <v>1103</v>
      </c>
    </row>
    <row r="493" spans="1:8" x14ac:dyDescent="0.25">
      <c r="A493" t="s">
        <v>2342</v>
      </c>
      <c r="B493" t="s">
        <v>2352</v>
      </c>
      <c r="C493" t="s">
        <v>2746</v>
      </c>
      <c r="D493" t="s">
        <v>2795</v>
      </c>
      <c r="E493" t="s">
        <v>2802</v>
      </c>
      <c r="F493" t="s">
        <v>1149</v>
      </c>
      <c r="G493" t="s">
        <v>1151</v>
      </c>
      <c r="H493" t="s">
        <v>3311</v>
      </c>
    </row>
    <row r="494" spans="1:8" x14ac:dyDescent="0.25">
      <c r="A494" t="s">
        <v>2343</v>
      </c>
      <c r="B494" t="s">
        <v>990</v>
      </c>
      <c r="C494" t="s">
        <v>2747</v>
      </c>
      <c r="D494" t="s">
        <v>2796</v>
      </c>
      <c r="E494" t="s">
        <v>2803</v>
      </c>
      <c r="F494" t="s">
        <v>1151</v>
      </c>
      <c r="G494" t="s">
        <v>1153</v>
      </c>
      <c r="H494" t="s">
        <v>2826</v>
      </c>
    </row>
    <row r="495" spans="1:8" x14ac:dyDescent="0.25">
      <c r="A495" t="s">
        <v>2344</v>
      </c>
      <c r="B495" t="s">
        <v>3099</v>
      </c>
      <c r="C495" t="s">
        <v>2748</v>
      </c>
      <c r="D495" t="s">
        <v>2797</v>
      </c>
      <c r="E495" t="s">
        <v>2804</v>
      </c>
      <c r="F495" t="s">
        <v>1153</v>
      </c>
      <c r="G495" t="s">
        <v>1158</v>
      </c>
      <c r="H495" t="s">
        <v>1105</v>
      </c>
    </row>
    <row r="496" spans="1:8" x14ac:dyDescent="0.25">
      <c r="A496" t="s">
        <v>2345</v>
      </c>
      <c r="B496" t="s">
        <v>1001</v>
      </c>
      <c r="C496" t="s">
        <v>2749</v>
      </c>
      <c r="D496" t="s">
        <v>2798</v>
      </c>
      <c r="E496" t="s">
        <v>965</v>
      </c>
      <c r="F496" t="s">
        <v>1155</v>
      </c>
      <c r="G496" t="s">
        <v>2841</v>
      </c>
      <c r="H496" t="s">
        <v>1106</v>
      </c>
    </row>
    <row r="497" spans="1:8" x14ac:dyDescent="0.25">
      <c r="A497" t="s">
        <v>2346</v>
      </c>
      <c r="B497" t="s">
        <v>1004</v>
      </c>
      <c r="C497" t="s">
        <v>936</v>
      </c>
      <c r="D497" t="s">
        <v>2799</v>
      </c>
      <c r="E497" t="s">
        <v>966</v>
      </c>
      <c r="F497" t="s">
        <v>1158</v>
      </c>
      <c r="G497" t="s">
        <v>1335</v>
      </c>
      <c r="H497" t="s">
        <v>1108</v>
      </c>
    </row>
    <row r="498" spans="1:8" x14ac:dyDescent="0.25">
      <c r="A498" t="s">
        <v>2347</v>
      </c>
      <c r="B498" t="s">
        <v>2767</v>
      </c>
      <c r="C498" t="s">
        <v>2750</v>
      </c>
      <c r="D498" t="s">
        <v>960</v>
      </c>
      <c r="E498" t="s">
        <v>968</v>
      </c>
      <c r="F498" t="s">
        <v>2841</v>
      </c>
      <c r="G498" t="s">
        <v>2843</v>
      </c>
      <c r="H498" t="s">
        <v>3289</v>
      </c>
    </row>
    <row r="499" spans="1:8" x14ac:dyDescent="0.25">
      <c r="A499" t="s">
        <v>983</v>
      </c>
      <c r="B499" t="s">
        <v>2768</v>
      </c>
      <c r="C499" t="s">
        <v>2751</v>
      </c>
      <c r="D499" t="s">
        <v>963</v>
      </c>
      <c r="E499" t="s">
        <v>969</v>
      </c>
      <c r="F499" t="s">
        <v>1335</v>
      </c>
      <c r="G499" t="s">
        <v>2844</v>
      </c>
      <c r="H499" t="s">
        <v>3346</v>
      </c>
    </row>
    <row r="500" spans="1:8" x14ac:dyDescent="0.25">
      <c r="A500" t="s">
        <v>1134</v>
      </c>
      <c r="B500" t="s">
        <v>1097</v>
      </c>
      <c r="C500" t="s">
        <v>2752</v>
      </c>
      <c r="D500" t="s">
        <v>1021</v>
      </c>
      <c r="E500" t="s">
        <v>1183</v>
      </c>
      <c r="F500" t="s">
        <v>2843</v>
      </c>
      <c r="G500" t="s">
        <v>1160</v>
      </c>
      <c r="H500" t="s">
        <v>2830</v>
      </c>
    </row>
    <row r="501" spans="1:8" x14ac:dyDescent="0.25">
      <c r="A501" t="s">
        <v>2763</v>
      </c>
      <c r="B501" t="s">
        <v>1145</v>
      </c>
      <c r="C501" t="s">
        <v>2753</v>
      </c>
      <c r="D501" t="s">
        <v>964</v>
      </c>
      <c r="E501" t="s">
        <v>1122</v>
      </c>
      <c r="F501" t="s">
        <v>2844</v>
      </c>
      <c r="G501" t="s">
        <v>1161</v>
      </c>
      <c r="H501" t="s">
        <v>2831</v>
      </c>
    </row>
    <row r="502" spans="1:8" x14ac:dyDescent="0.25">
      <c r="A502" t="s">
        <v>2764</v>
      </c>
      <c r="B502" t="s">
        <v>2769</v>
      </c>
      <c r="C502" t="s">
        <v>3193</v>
      </c>
      <c r="D502" t="s">
        <v>2800</v>
      </c>
      <c r="E502" t="s">
        <v>970</v>
      </c>
      <c r="F502" t="s">
        <v>1160</v>
      </c>
      <c r="G502" t="s">
        <v>1164</v>
      </c>
      <c r="H502" t="s">
        <v>1109</v>
      </c>
    </row>
    <row r="503" spans="1:8" x14ac:dyDescent="0.25">
      <c r="A503" t="s">
        <v>2765</v>
      </c>
      <c r="B503" t="s">
        <v>1099</v>
      </c>
      <c r="C503" t="s">
        <v>2754</v>
      </c>
      <c r="D503" t="s">
        <v>2801</v>
      </c>
      <c r="E503" t="s">
        <v>971</v>
      </c>
      <c r="F503" t="s">
        <v>1161</v>
      </c>
      <c r="G503" t="s">
        <v>1166</v>
      </c>
      <c r="H503" t="s">
        <v>1110</v>
      </c>
    </row>
    <row r="504" spans="1:8" x14ac:dyDescent="0.25">
      <c r="A504" t="s">
        <v>2766</v>
      </c>
      <c r="B504" t="s">
        <v>2770</v>
      </c>
      <c r="C504" t="s">
        <v>2755</v>
      </c>
      <c r="D504" t="s">
        <v>2802</v>
      </c>
      <c r="E504" t="s">
        <v>972</v>
      </c>
      <c r="F504" t="s">
        <v>1164</v>
      </c>
      <c r="G504" t="s">
        <v>1168</v>
      </c>
      <c r="H504" t="s">
        <v>1111</v>
      </c>
    </row>
    <row r="505" spans="1:8" x14ac:dyDescent="0.25">
      <c r="A505" t="s">
        <v>1083</v>
      </c>
      <c r="B505" t="s">
        <v>2771</v>
      </c>
      <c r="C505" t="s">
        <v>3194</v>
      </c>
      <c r="D505" t="s">
        <v>2803</v>
      </c>
      <c r="E505" t="s">
        <v>973</v>
      </c>
      <c r="F505" t="s">
        <v>1166</v>
      </c>
      <c r="G505" t="s">
        <v>1169</v>
      </c>
      <c r="H505" t="s">
        <v>1266</v>
      </c>
    </row>
    <row r="506" spans="1:8" x14ac:dyDescent="0.25">
      <c r="A506" t="s">
        <v>1086</v>
      </c>
      <c r="B506" t="s">
        <v>2772</v>
      </c>
      <c r="C506" t="s">
        <v>3195</v>
      </c>
      <c r="D506" t="s">
        <v>2804</v>
      </c>
      <c r="E506" t="s">
        <v>1192</v>
      </c>
      <c r="F506" t="s">
        <v>1168</v>
      </c>
      <c r="G506" t="s">
        <v>1303</v>
      </c>
      <c r="H506" t="s">
        <v>2836</v>
      </c>
    </row>
    <row r="507" spans="1:8" x14ac:dyDescent="0.25">
      <c r="A507" t="s">
        <v>2348</v>
      </c>
      <c r="B507" t="s">
        <v>2773</v>
      </c>
      <c r="C507" t="s">
        <v>2756</v>
      </c>
      <c r="D507" t="s">
        <v>965</v>
      </c>
      <c r="E507" t="s">
        <v>2805</v>
      </c>
      <c r="F507" t="s">
        <v>1169</v>
      </c>
      <c r="G507" t="s">
        <v>1305</v>
      </c>
      <c r="H507" t="s">
        <v>1268</v>
      </c>
    </row>
    <row r="508" spans="1:8" x14ac:dyDescent="0.25">
      <c r="A508" t="s">
        <v>2349</v>
      </c>
      <c r="B508" t="s">
        <v>2774</v>
      </c>
      <c r="C508" t="s">
        <v>2757</v>
      </c>
      <c r="D508" t="s">
        <v>966</v>
      </c>
      <c r="E508" t="s">
        <v>975</v>
      </c>
      <c r="F508" t="s">
        <v>1303</v>
      </c>
      <c r="G508" t="s">
        <v>2845</v>
      </c>
      <c r="H508" t="s">
        <v>1270</v>
      </c>
    </row>
    <row r="509" spans="1:8" x14ac:dyDescent="0.25">
      <c r="A509" t="s">
        <v>2350</v>
      </c>
      <c r="B509" t="s">
        <v>2775</v>
      </c>
      <c r="C509" t="s">
        <v>3196</v>
      </c>
      <c r="D509" t="s">
        <v>968</v>
      </c>
      <c r="E509" t="s">
        <v>976</v>
      </c>
      <c r="F509" t="s">
        <v>1305</v>
      </c>
      <c r="G509" t="s">
        <v>1170</v>
      </c>
      <c r="H509" t="s">
        <v>1112</v>
      </c>
    </row>
    <row r="510" spans="1:8" x14ac:dyDescent="0.25">
      <c r="A510" t="s">
        <v>2351</v>
      </c>
      <c r="B510" t="s">
        <v>2776</v>
      </c>
      <c r="C510" t="s">
        <v>2758</v>
      </c>
      <c r="D510" t="s">
        <v>969</v>
      </c>
      <c r="E510" t="s">
        <v>2806</v>
      </c>
      <c r="F510" t="s">
        <v>2845</v>
      </c>
      <c r="G510" t="s">
        <v>1171</v>
      </c>
      <c r="H510" t="s">
        <v>1113</v>
      </c>
    </row>
    <row r="511" spans="1:8" x14ac:dyDescent="0.25">
      <c r="A511" t="s">
        <v>2352</v>
      </c>
      <c r="B511" t="s">
        <v>2777</v>
      </c>
      <c r="C511" t="s">
        <v>2759</v>
      </c>
      <c r="D511" t="s">
        <v>1183</v>
      </c>
      <c r="E511" t="s">
        <v>2807</v>
      </c>
      <c r="F511" t="s">
        <v>1170</v>
      </c>
      <c r="G511" t="s">
        <v>1173</v>
      </c>
      <c r="H511" t="s">
        <v>1114</v>
      </c>
    </row>
    <row r="512" spans="1:8" x14ac:dyDescent="0.25">
      <c r="A512" t="s">
        <v>990</v>
      </c>
      <c r="B512" t="s">
        <v>988</v>
      </c>
      <c r="C512" t="s">
        <v>2760</v>
      </c>
      <c r="D512" t="s">
        <v>1122</v>
      </c>
      <c r="E512" t="s">
        <v>1195</v>
      </c>
      <c r="F512" t="s">
        <v>1171</v>
      </c>
      <c r="G512" t="s">
        <v>1174</v>
      </c>
      <c r="H512" t="s">
        <v>1115</v>
      </c>
    </row>
    <row r="513" spans="1:8" x14ac:dyDescent="0.25">
      <c r="A513" t="s">
        <v>1004</v>
      </c>
      <c r="B513" t="s">
        <v>2780</v>
      </c>
      <c r="C513" t="s">
        <v>2761</v>
      </c>
      <c r="D513" t="s">
        <v>970</v>
      </c>
      <c r="E513" t="s">
        <v>1198</v>
      </c>
      <c r="F513" t="s">
        <v>1173</v>
      </c>
      <c r="G513" t="s">
        <v>1175</v>
      </c>
      <c r="H513" t="s">
        <v>1116</v>
      </c>
    </row>
    <row r="514" spans="1:8" x14ac:dyDescent="0.25">
      <c r="A514" t="s">
        <v>2767</v>
      </c>
      <c r="B514" t="s">
        <v>938</v>
      </c>
      <c r="C514" t="s">
        <v>3098</v>
      </c>
      <c r="D514" t="s">
        <v>971</v>
      </c>
      <c r="E514" t="s">
        <v>977</v>
      </c>
      <c r="F514" t="s">
        <v>1174</v>
      </c>
      <c r="G514" t="s">
        <v>2848</v>
      </c>
      <c r="H514" t="s">
        <v>1119</v>
      </c>
    </row>
    <row r="515" spans="1:8" x14ac:dyDescent="0.25">
      <c r="A515" t="s">
        <v>2768</v>
      </c>
      <c r="B515" t="s">
        <v>2782</v>
      </c>
      <c r="C515" t="s">
        <v>3197</v>
      </c>
      <c r="D515" t="s">
        <v>972</v>
      </c>
      <c r="E515" t="s">
        <v>979</v>
      </c>
      <c r="F515" t="s">
        <v>1175</v>
      </c>
      <c r="G515" t="s">
        <v>1177</v>
      </c>
      <c r="H515" t="s">
        <v>1120</v>
      </c>
    </row>
    <row r="516" spans="1:8" x14ac:dyDescent="0.25">
      <c r="A516" t="s">
        <v>1097</v>
      </c>
      <c r="B516" t="s">
        <v>2353</v>
      </c>
      <c r="C516" t="s">
        <v>2762</v>
      </c>
      <c r="D516" t="s">
        <v>973</v>
      </c>
      <c r="E516" t="s">
        <v>1139</v>
      </c>
      <c r="F516" t="s">
        <v>2848</v>
      </c>
      <c r="G516" t="s">
        <v>1176</v>
      </c>
      <c r="H516" t="s">
        <v>2837</v>
      </c>
    </row>
    <row r="517" spans="1:8" x14ac:dyDescent="0.25">
      <c r="A517" t="s">
        <v>1145</v>
      </c>
      <c r="B517" t="s">
        <v>1093</v>
      </c>
      <c r="C517" t="s">
        <v>1087</v>
      </c>
      <c r="D517" t="s">
        <v>1192</v>
      </c>
      <c r="E517" t="s">
        <v>989</v>
      </c>
      <c r="F517" t="s">
        <v>1177</v>
      </c>
      <c r="G517" t="s">
        <v>1178</v>
      </c>
      <c r="H517" t="s">
        <v>2838</v>
      </c>
    </row>
    <row r="518" spans="1:8" x14ac:dyDescent="0.25">
      <c r="A518" t="s">
        <v>2769</v>
      </c>
      <c r="B518" t="s">
        <v>1095</v>
      </c>
      <c r="C518" t="s">
        <v>2341</v>
      </c>
      <c r="D518" t="s">
        <v>2805</v>
      </c>
      <c r="E518" t="s">
        <v>992</v>
      </c>
      <c r="F518" t="s">
        <v>1176</v>
      </c>
      <c r="G518" t="s">
        <v>1179</v>
      </c>
      <c r="H518" t="s">
        <v>1222</v>
      </c>
    </row>
    <row r="519" spans="1:8" x14ac:dyDescent="0.25">
      <c r="A519" t="s">
        <v>1099</v>
      </c>
      <c r="B519" t="s">
        <v>2783</v>
      </c>
      <c r="C519" t="s">
        <v>3198</v>
      </c>
      <c r="D519" t="s">
        <v>975</v>
      </c>
      <c r="E519" t="s">
        <v>994</v>
      </c>
      <c r="F519" t="s">
        <v>1178</v>
      </c>
      <c r="G519" t="s">
        <v>1180</v>
      </c>
      <c r="H519" t="s">
        <v>1280</v>
      </c>
    </row>
    <row r="520" spans="1:8" x14ac:dyDescent="0.25">
      <c r="A520" t="s">
        <v>2770</v>
      </c>
      <c r="B520" t="s">
        <v>1100</v>
      </c>
      <c r="C520" t="s">
        <v>2343</v>
      </c>
      <c r="D520" t="s">
        <v>2806</v>
      </c>
      <c r="E520" t="s">
        <v>2808</v>
      </c>
      <c r="F520" t="s">
        <v>1179</v>
      </c>
      <c r="G520" t="s">
        <v>1284</v>
      </c>
      <c r="H520" t="s">
        <v>1224</v>
      </c>
    </row>
    <row r="521" spans="1:8" x14ac:dyDescent="0.25">
      <c r="A521" t="s">
        <v>2771</v>
      </c>
      <c r="B521" t="s">
        <v>953</v>
      </c>
      <c r="C521" t="s">
        <v>983</v>
      </c>
      <c r="D521" t="s">
        <v>2807</v>
      </c>
      <c r="E521" t="s">
        <v>2809</v>
      </c>
      <c r="F521" t="s">
        <v>1180</v>
      </c>
      <c r="G521" t="s">
        <v>1186</v>
      </c>
      <c r="H521" t="s">
        <v>1121</v>
      </c>
    </row>
    <row r="522" spans="1:8" x14ac:dyDescent="0.25">
      <c r="A522" t="s">
        <v>2772</v>
      </c>
      <c r="B522" t="s">
        <v>2784</v>
      </c>
      <c r="C522" t="s">
        <v>1134</v>
      </c>
      <c r="D522" t="s">
        <v>1195</v>
      </c>
      <c r="E522" t="s">
        <v>3101</v>
      </c>
      <c r="F522" t="s">
        <v>1284</v>
      </c>
      <c r="G522" t="s">
        <v>1182</v>
      </c>
      <c r="H522" t="s">
        <v>1123</v>
      </c>
    </row>
    <row r="523" spans="1:8" x14ac:dyDescent="0.25">
      <c r="A523" t="s">
        <v>2773</v>
      </c>
      <c r="B523" t="s">
        <v>2785</v>
      </c>
      <c r="C523" t="s">
        <v>2763</v>
      </c>
      <c r="D523" t="s">
        <v>1198</v>
      </c>
      <c r="E523" t="s">
        <v>2810</v>
      </c>
      <c r="F523" t="s">
        <v>1186</v>
      </c>
      <c r="G523" t="s">
        <v>1347</v>
      </c>
      <c r="H523" t="s">
        <v>1124</v>
      </c>
    </row>
    <row r="524" spans="1:8" x14ac:dyDescent="0.25">
      <c r="A524" t="s">
        <v>2774</v>
      </c>
      <c r="B524" t="s">
        <v>2786</v>
      </c>
      <c r="C524" t="s">
        <v>980</v>
      </c>
      <c r="D524" t="s">
        <v>977</v>
      </c>
      <c r="E524" t="s">
        <v>2811</v>
      </c>
      <c r="F524" t="s">
        <v>1182</v>
      </c>
      <c r="G524" t="s">
        <v>1287</v>
      </c>
      <c r="H524" t="s">
        <v>1126</v>
      </c>
    </row>
    <row r="525" spans="1:8" x14ac:dyDescent="0.25">
      <c r="A525" t="s">
        <v>2775</v>
      </c>
      <c r="B525" t="s">
        <v>2787</v>
      </c>
      <c r="C525" t="s">
        <v>3199</v>
      </c>
      <c r="D525" t="s">
        <v>979</v>
      </c>
      <c r="E525" t="s">
        <v>1203</v>
      </c>
      <c r="F525" t="s">
        <v>1347</v>
      </c>
      <c r="G525" t="s">
        <v>1185</v>
      </c>
      <c r="H525" t="s">
        <v>1128</v>
      </c>
    </row>
    <row r="526" spans="1:8" x14ac:dyDescent="0.25">
      <c r="A526" t="s">
        <v>2776</v>
      </c>
      <c r="B526" t="s">
        <v>2788</v>
      </c>
      <c r="C526" t="s">
        <v>982</v>
      </c>
      <c r="D526" t="s">
        <v>1139</v>
      </c>
      <c r="E526" t="s">
        <v>1049</v>
      </c>
      <c r="F526" t="s">
        <v>1287</v>
      </c>
      <c r="G526" t="s">
        <v>1187</v>
      </c>
      <c r="H526" t="s">
        <v>1129</v>
      </c>
    </row>
    <row r="527" spans="1:8" x14ac:dyDescent="0.25">
      <c r="A527" t="s">
        <v>2777</v>
      </c>
      <c r="B527" t="s">
        <v>2789</v>
      </c>
      <c r="C527" t="s">
        <v>3200</v>
      </c>
      <c r="D527" t="s">
        <v>981</v>
      </c>
      <c r="E527" t="s">
        <v>1005</v>
      </c>
      <c r="F527" t="s">
        <v>1185</v>
      </c>
      <c r="G527" t="s">
        <v>1189</v>
      </c>
      <c r="H527" t="s">
        <v>1292</v>
      </c>
    </row>
    <row r="528" spans="1:8" x14ac:dyDescent="0.25">
      <c r="A528" t="s">
        <v>2778</v>
      </c>
      <c r="B528" t="s">
        <v>1013</v>
      </c>
      <c r="C528" t="s">
        <v>2764</v>
      </c>
      <c r="D528" t="s">
        <v>995</v>
      </c>
      <c r="E528" t="s">
        <v>1037</v>
      </c>
      <c r="F528" t="s">
        <v>1187</v>
      </c>
      <c r="G528" t="s">
        <v>1196</v>
      </c>
      <c r="H528" t="s">
        <v>2839</v>
      </c>
    </row>
    <row r="529" spans="1:8" x14ac:dyDescent="0.25">
      <c r="A529" t="s">
        <v>2779</v>
      </c>
      <c r="B529" t="s">
        <v>3100</v>
      </c>
      <c r="C529" t="s">
        <v>2765</v>
      </c>
      <c r="D529" t="s">
        <v>2808</v>
      </c>
      <c r="E529" t="s">
        <v>1165</v>
      </c>
      <c r="F529" t="s">
        <v>1189</v>
      </c>
      <c r="G529" t="s">
        <v>1190</v>
      </c>
      <c r="H529" t="s">
        <v>1294</v>
      </c>
    </row>
    <row r="530" spans="1:8" x14ac:dyDescent="0.25">
      <c r="A530" t="s">
        <v>988</v>
      </c>
      <c r="B530" t="s">
        <v>2790</v>
      </c>
      <c r="C530" t="s">
        <v>2766</v>
      </c>
      <c r="D530" t="s">
        <v>2809</v>
      </c>
      <c r="E530" t="s">
        <v>1152</v>
      </c>
      <c r="F530" t="s">
        <v>1196</v>
      </c>
      <c r="G530" t="s">
        <v>1191</v>
      </c>
      <c r="H530" t="s">
        <v>1130</v>
      </c>
    </row>
    <row r="531" spans="1:8" x14ac:dyDescent="0.25">
      <c r="A531" t="s">
        <v>2780</v>
      </c>
      <c r="B531" t="s">
        <v>2791</v>
      </c>
      <c r="C531" t="s">
        <v>1083</v>
      </c>
      <c r="D531" t="s">
        <v>2811</v>
      </c>
      <c r="E531" t="s">
        <v>1070</v>
      </c>
      <c r="F531" t="s">
        <v>1199</v>
      </c>
      <c r="G531" t="s">
        <v>1194</v>
      </c>
      <c r="H531" t="s">
        <v>1131</v>
      </c>
    </row>
    <row r="532" spans="1:8" x14ac:dyDescent="0.25">
      <c r="A532" t="s">
        <v>938</v>
      </c>
      <c r="B532" t="s">
        <v>2792</v>
      </c>
      <c r="C532" t="s">
        <v>1086</v>
      </c>
      <c r="D532" t="s">
        <v>1201</v>
      </c>
      <c r="E532" t="s">
        <v>1157</v>
      </c>
      <c r="F532" t="s">
        <v>1190</v>
      </c>
      <c r="G532" t="s">
        <v>1197</v>
      </c>
      <c r="H532" t="s">
        <v>1133</v>
      </c>
    </row>
    <row r="533" spans="1:8" x14ac:dyDescent="0.25">
      <c r="A533" t="s">
        <v>2781</v>
      </c>
      <c r="B533" t="s">
        <v>2793</v>
      </c>
      <c r="C533" t="s">
        <v>2348</v>
      </c>
      <c r="D533" t="s">
        <v>1203</v>
      </c>
      <c r="E533" t="s">
        <v>1172</v>
      </c>
      <c r="F533" t="s">
        <v>1191</v>
      </c>
      <c r="G533" t="s">
        <v>1200</v>
      </c>
      <c r="H533" t="s">
        <v>1137</v>
      </c>
    </row>
    <row r="534" spans="1:8" x14ac:dyDescent="0.25">
      <c r="A534" t="s">
        <v>2782</v>
      </c>
      <c r="B534" t="s">
        <v>2794</v>
      </c>
      <c r="C534" t="s">
        <v>2349</v>
      </c>
      <c r="D534" t="s">
        <v>1049</v>
      </c>
      <c r="E534" t="s">
        <v>1159</v>
      </c>
      <c r="F534" t="s">
        <v>1194</v>
      </c>
      <c r="G534" t="s">
        <v>1210</v>
      </c>
      <c r="H534" t="s">
        <v>1138</v>
      </c>
    </row>
    <row r="535" spans="1:8" x14ac:dyDescent="0.25">
      <c r="A535" t="s">
        <v>2353</v>
      </c>
      <c r="B535" t="s">
        <v>2795</v>
      </c>
      <c r="C535" t="s">
        <v>2350</v>
      </c>
      <c r="D535" t="s">
        <v>2355</v>
      </c>
      <c r="E535" t="s">
        <v>1014</v>
      </c>
      <c r="F535" t="s">
        <v>1197</v>
      </c>
      <c r="G535" t="s">
        <v>1202</v>
      </c>
      <c r="H535" t="s">
        <v>1271</v>
      </c>
    </row>
    <row r="536" spans="1:8" x14ac:dyDescent="0.25">
      <c r="A536" t="s">
        <v>1093</v>
      </c>
      <c r="B536" t="s">
        <v>2796</v>
      </c>
      <c r="C536" t="s">
        <v>2351</v>
      </c>
      <c r="D536" t="s">
        <v>1029</v>
      </c>
      <c r="E536" t="s">
        <v>1015</v>
      </c>
      <c r="F536" t="s">
        <v>1200</v>
      </c>
      <c r="G536" t="s">
        <v>2849</v>
      </c>
      <c r="H536" t="s">
        <v>1310</v>
      </c>
    </row>
    <row r="537" spans="1:8" x14ac:dyDescent="0.25">
      <c r="A537" t="s">
        <v>1095</v>
      </c>
      <c r="B537" t="s">
        <v>2797</v>
      </c>
      <c r="C537" t="s">
        <v>2352</v>
      </c>
      <c r="D537" t="s">
        <v>1005</v>
      </c>
      <c r="E537" t="s">
        <v>1016</v>
      </c>
      <c r="F537" t="s">
        <v>1210</v>
      </c>
      <c r="G537" t="s">
        <v>2850</v>
      </c>
      <c r="H537" t="s">
        <v>3364</v>
      </c>
    </row>
    <row r="538" spans="1:8" x14ac:dyDescent="0.25">
      <c r="A538" t="s">
        <v>947</v>
      </c>
      <c r="B538" t="s">
        <v>1017</v>
      </c>
      <c r="C538" t="s">
        <v>990</v>
      </c>
      <c r="D538" t="s">
        <v>1163</v>
      </c>
      <c r="E538" t="s">
        <v>1018</v>
      </c>
      <c r="F538" t="s">
        <v>1202</v>
      </c>
      <c r="G538" t="s">
        <v>1213</v>
      </c>
      <c r="H538" t="s">
        <v>1312</v>
      </c>
    </row>
    <row r="539" spans="1:8" x14ac:dyDescent="0.25">
      <c r="A539" t="s">
        <v>2783</v>
      </c>
      <c r="B539" t="s">
        <v>1003</v>
      </c>
      <c r="C539" t="s">
        <v>3099</v>
      </c>
      <c r="D539" t="s">
        <v>1007</v>
      </c>
      <c r="E539" t="s">
        <v>1019</v>
      </c>
      <c r="F539" t="s">
        <v>2849</v>
      </c>
      <c r="G539" t="s">
        <v>1215</v>
      </c>
      <c r="H539" t="s">
        <v>1140</v>
      </c>
    </row>
    <row r="540" spans="1:8" x14ac:dyDescent="0.25">
      <c r="A540" t="s">
        <v>1100</v>
      </c>
      <c r="B540" t="s">
        <v>1006</v>
      </c>
      <c r="C540" t="s">
        <v>1092</v>
      </c>
      <c r="D540" t="s">
        <v>1009</v>
      </c>
      <c r="E540" t="s">
        <v>1020</v>
      </c>
      <c r="F540" t="s">
        <v>2850</v>
      </c>
      <c r="G540" t="s">
        <v>1205</v>
      </c>
      <c r="H540" t="s">
        <v>1142</v>
      </c>
    </row>
    <row r="541" spans="1:8" x14ac:dyDescent="0.25">
      <c r="A541" t="s">
        <v>950</v>
      </c>
      <c r="B541" t="s">
        <v>2798</v>
      </c>
      <c r="C541" t="s">
        <v>993</v>
      </c>
      <c r="D541" t="s">
        <v>1165</v>
      </c>
      <c r="E541" t="s">
        <v>1023</v>
      </c>
      <c r="F541" t="s">
        <v>1213</v>
      </c>
      <c r="G541" t="s">
        <v>1206</v>
      </c>
      <c r="H541" t="s">
        <v>1143</v>
      </c>
    </row>
    <row r="542" spans="1:8" x14ac:dyDescent="0.25">
      <c r="A542" t="s">
        <v>2784</v>
      </c>
      <c r="B542" t="s">
        <v>2799</v>
      </c>
      <c r="C542" t="s">
        <v>986</v>
      </c>
      <c r="D542" t="s">
        <v>1152</v>
      </c>
      <c r="E542" t="s">
        <v>1024</v>
      </c>
      <c r="F542" t="s">
        <v>1215</v>
      </c>
      <c r="G542" t="s">
        <v>1207</v>
      </c>
      <c r="H542" t="s">
        <v>1146</v>
      </c>
    </row>
    <row r="543" spans="1:8" x14ac:dyDescent="0.25">
      <c r="A543" t="s">
        <v>2785</v>
      </c>
      <c r="B543" t="s">
        <v>960</v>
      </c>
      <c r="C543" t="s">
        <v>1001</v>
      </c>
      <c r="D543" t="s">
        <v>1010</v>
      </c>
      <c r="E543" t="s">
        <v>1025</v>
      </c>
      <c r="F543" t="s">
        <v>1205</v>
      </c>
      <c r="G543" t="s">
        <v>2851</v>
      </c>
      <c r="H543" t="s">
        <v>1148</v>
      </c>
    </row>
    <row r="544" spans="1:8" x14ac:dyDescent="0.25">
      <c r="A544" t="s">
        <v>2786</v>
      </c>
      <c r="B544" t="s">
        <v>964</v>
      </c>
      <c r="C544" t="s">
        <v>1004</v>
      </c>
      <c r="D544" t="s">
        <v>1011</v>
      </c>
      <c r="E544" t="s">
        <v>2357</v>
      </c>
      <c r="F544" t="s">
        <v>1206</v>
      </c>
      <c r="G544" t="s">
        <v>2852</v>
      </c>
      <c r="H544" t="s">
        <v>1281</v>
      </c>
    </row>
    <row r="545" spans="1:8" x14ac:dyDescent="0.25">
      <c r="A545" t="s">
        <v>2787</v>
      </c>
      <c r="B545" t="s">
        <v>2800</v>
      </c>
      <c r="C545" t="s">
        <v>2767</v>
      </c>
      <c r="D545" t="s">
        <v>1172</v>
      </c>
      <c r="E545" t="s">
        <v>2358</v>
      </c>
      <c r="F545" t="s">
        <v>1207</v>
      </c>
      <c r="G545" t="s">
        <v>2853</v>
      </c>
      <c r="H545" t="s">
        <v>1320</v>
      </c>
    </row>
    <row r="546" spans="1:8" x14ac:dyDescent="0.25">
      <c r="A546" t="s">
        <v>2788</v>
      </c>
      <c r="B546" t="s">
        <v>2801</v>
      </c>
      <c r="C546" t="s">
        <v>2768</v>
      </c>
      <c r="D546" t="s">
        <v>2814</v>
      </c>
      <c r="E546" t="s">
        <v>3084</v>
      </c>
      <c r="F546" t="s">
        <v>2851</v>
      </c>
      <c r="G546" t="s">
        <v>1208</v>
      </c>
      <c r="H546" t="s">
        <v>2840</v>
      </c>
    </row>
    <row r="547" spans="1:8" x14ac:dyDescent="0.25">
      <c r="A547" t="s">
        <v>2789</v>
      </c>
      <c r="B547" t="s">
        <v>2802</v>
      </c>
      <c r="C547" t="s">
        <v>1097</v>
      </c>
      <c r="D547" t="s">
        <v>1018</v>
      </c>
      <c r="E547" t="s">
        <v>1027</v>
      </c>
      <c r="F547" t="s">
        <v>2852</v>
      </c>
      <c r="G547" t="s">
        <v>1211</v>
      </c>
      <c r="H547" t="s">
        <v>1167</v>
      </c>
    </row>
    <row r="548" spans="1:8" x14ac:dyDescent="0.25">
      <c r="A548" t="s">
        <v>954</v>
      </c>
      <c r="B548" t="s">
        <v>2803</v>
      </c>
      <c r="C548" t="s">
        <v>1145</v>
      </c>
      <c r="D548" t="s">
        <v>1019</v>
      </c>
      <c r="E548" t="s">
        <v>1028</v>
      </c>
      <c r="F548" t="s">
        <v>2853</v>
      </c>
      <c r="G548" t="s">
        <v>1212</v>
      </c>
      <c r="H548" t="s">
        <v>1149</v>
      </c>
    </row>
    <row r="549" spans="1:8" x14ac:dyDescent="0.25">
      <c r="A549" t="s">
        <v>1013</v>
      </c>
      <c r="B549" t="s">
        <v>2804</v>
      </c>
      <c r="C549" t="s">
        <v>2769</v>
      </c>
      <c r="D549" t="s">
        <v>1020</v>
      </c>
      <c r="E549" t="s">
        <v>1030</v>
      </c>
      <c r="F549" t="s">
        <v>1208</v>
      </c>
      <c r="G549" t="s">
        <v>2854</v>
      </c>
      <c r="H549" t="s">
        <v>1151</v>
      </c>
    </row>
    <row r="550" spans="1:8" x14ac:dyDescent="0.25">
      <c r="A550" t="s">
        <v>2790</v>
      </c>
      <c r="B550" t="s">
        <v>965</v>
      </c>
      <c r="C550" t="s">
        <v>1099</v>
      </c>
      <c r="D550" t="s">
        <v>1023</v>
      </c>
      <c r="E550" t="s">
        <v>1032</v>
      </c>
      <c r="F550" t="s">
        <v>1211</v>
      </c>
      <c r="G550" t="s">
        <v>1225</v>
      </c>
      <c r="H550" t="s">
        <v>1153</v>
      </c>
    </row>
    <row r="551" spans="1:8" x14ac:dyDescent="0.25">
      <c r="A551" t="s">
        <v>2791</v>
      </c>
      <c r="B551" t="s">
        <v>968</v>
      </c>
      <c r="C551" t="s">
        <v>2770</v>
      </c>
      <c r="D551" t="s">
        <v>1024</v>
      </c>
      <c r="E551" t="s">
        <v>1262</v>
      </c>
      <c r="F551" t="s">
        <v>1212</v>
      </c>
      <c r="G551" t="s">
        <v>1227</v>
      </c>
      <c r="H551" t="s">
        <v>1155</v>
      </c>
    </row>
    <row r="552" spans="1:8" x14ac:dyDescent="0.25">
      <c r="A552" t="s">
        <v>2792</v>
      </c>
      <c r="B552" t="s">
        <v>969</v>
      </c>
      <c r="C552" t="s">
        <v>3201</v>
      </c>
      <c r="D552" t="s">
        <v>1025</v>
      </c>
      <c r="E552" t="s">
        <v>2816</v>
      </c>
      <c r="F552" t="s">
        <v>2854</v>
      </c>
      <c r="G552" t="s">
        <v>1230</v>
      </c>
      <c r="H552" t="s">
        <v>1158</v>
      </c>
    </row>
    <row r="553" spans="1:8" x14ac:dyDescent="0.25">
      <c r="A553" t="s">
        <v>2793</v>
      </c>
      <c r="B553" t="s">
        <v>1183</v>
      </c>
      <c r="C553" t="s">
        <v>2771</v>
      </c>
      <c r="D553" t="s">
        <v>2357</v>
      </c>
      <c r="E553" t="s">
        <v>1052</v>
      </c>
      <c r="F553" t="s">
        <v>1225</v>
      </c>
      <c r="G553" t="s">
        <v>1214</v>
      </c>
      <c r="H553" t="s">
        <v>2841</v>
      </c>
    </row>
    <row r="554" spans="1:8" x14ac:dyDescent="0.25">
      <c r="A554" t="s">
        <v>2794</v>
      </c>
      <c r="B554" t="s">
        <v>1122</v>
      </c>
      <c r="C554" t="s">
        <v>2772</v>
      </c>
      <c r="D554" t="s">
        <v>2358</v>
      </c>
      <c r="E554" t="s">
        <v>1204</v>
      </c>
      <c r="F554" t="s">
        <v>1227</v>
      </c>
      <c r="G554" t="s">
        <v>1216</v>
      </c>
      <c r="H554" t="s">
        <v>2842</v>
      </c>
    </row>
    <row r="555" spans="1:8" x14ac:dyDescent="0.25">
      <c r="A555" t="s">
        <v>2795</v>
      </c>
      <c r="B555" t="s">
        <v>970</v>
      </c>
      <c r="C555" t="s">
        <v>2773</v>
      </c>
      <c r="D555" t="s">
        <v>3084</v>
      </c>
      <c r="E555" t="s">
        <v>3106</v>
      </c>
      <c r="F555" t="s">
        <v>1230</v>
      </c>
      <c r="G555" t="s">
        <v>1234</v>
      </c>
      <c r="H555" t="s">
        <v>1335</v>
      </c>
    </row>
    <row r="556" spans="1:8" x14ac:dyDescent="0.25">
      <c r="A556" t="s">
        <v>2796</v>
      </c>
      <c r="B556" t="s">
        <v>972</v>
      </c>
      <c r="C556" t="s">
        <v>2774</v>
      </c>
      <c r="D556" t="s">
        <v>1027</v>
      </c>
      <c r="E556" t="s">
        <v>2819</v>
      </c>
      <c r="F556" t="s">
        <v>1214</v>
      </c>
      <c r="G556" t="s">
        <v>1236</v>
      </c>
      <c r="H556" t="s">
        <v>2843</v>
      </c>
    </row>
    <row r="557" spans="1:8" x14ac:dyDescent="0.25">
      <c r="A557" t="s">
        <v>2797</v>
      </c>
      <c r="B557" t="s">
        <v>973</v>
      </c>
      <c r="C557" t="s">
        <v>2775</v>
      </c>
      <c r="D557" t="s">
        <v>1028</v>
      </c>
      <c r="E557" t="s">
        <v>2820</v>
      </c>
      <c r="F557" t="s">
        <v>1216</v>
      </c>
      <c r="G557" t="s">
        <v>1355</v>
      </c>
      <c r="H557" t="s">
        <v>2844</v>
      </c>
    </row>
    <row r="558" spans="1:8" x14ac:dyDescent="0.25">
      <c r="A558" t="s">
        <v>1017</v>
      </c>
      <c r="B558" t="s">
        <v>1192</v>
      </c>
      <c r="C558" t="s">
        <v>2776</v>
      </c>
      <c r="D558" t="s">
        <v>1030</v>
      </c>
      <c r="E558" t="s">
        <v>2821</v>
      </c>
      <c r="F558" t="s">
        <v>1234</v>
      </c>
      <c r="G558" t="s">
        <v>1323</v>
      </c>
      <c r="H558" t="s">
        <v>1160</v>
      </c>
    </row>
    <row r="559" spans="1:8" x14ac:dyDescent="0.25">
      <c r="A559" t="s">
        <v>2798</v>
      </c>
      <c r="B559" t="s">
        <v>2805</v>
      </c>
      <c r="C559" t="s">
        <v>2777</v>
      </c>
      <c r="D559" t="s">
        <v>1032</v>
      </c>
      <c r="E559" t="s">
        <v>1056</v>
      </c>
      <c r="F559" t="s">
        <v>1236</v>
      </c>
      <c r="G559" t="s">
        <v>1220</v>
      </c>
      <c r="H559" t="s">
        <v>1161</v>
      </c>
    </row>
    <row r="560" spans="1:8" x14ac:dyDescent="0.25">
      <c r="A560" t="s">
        <v>2799</v>
      </c>
      <c r="B560" t="s">
        <v>2806</v>
      </c>
      <c r="C560" t="s">
        <v>3202</v>
      </c>
      <c r="D560" t="s">
        <v>1033</v>
      </c>
      <c r="E560" t="s">
        <v>1107</v>
      </c>
      <c r="F560" t="s">
        <v>1355</v>
      </c>
      <c r="G560" t="s">
        <v>1221</v>
      </c>
      <c r="H560" t="s">
        <v>1164</v>
      </c>
    </row>
    <row r="561" spans="1:8" x14ac:dyDescent="0.25">
      <c r="A561" t="s">
        <v>960</v>
      </c>
      <c r="B561" t="s">
        <v>2807</v>
      </c>
      <c r="C561" t="s">
        <v>2778</v>
      </c>
      <c r="D561" t="s">
        <v>1035</v>
      </c>
      <c r="E561" t="s">
        <v>1090</v>
      </c>
      <c r="F561" t="s">
        <v>3305</v>
      </c>
      <c r="G561" t="s">
        <v>1226</v>
      </c>
      <c r="H561" t="s">
        <v>1166</v>
      </c>
    </row>
    <row r="562" spans="1:8" x14ac:dyDescent="0.25">
      <c r="A562" t="s">
        <v>964</v>
      </c>
      <c r="B562" t="s">
        <v>1195</v>
      </c>
      <c r="C562" t="s">
        <v>988</v>
      </c>
      <c r="D562" t="s">
        <v>1046</v>
      </c>
      <c r="E562" t="s">
        <v>2824</v>
      </c>
      <c r="F562" t="s">
        <v>3306</v>
      </c>
      <c r="G562" t="s">
        <v>1228</v>
      </c>
      <c r="H562" t="s">
        <v>1168</v>
      </c>
    </row>
    <row r="563" spans="1:8" x14ac:dyDescent="0.25">
      <c r="A563" t="s">
        <v>2800</v>
      </c>
      <c r="B563" t="s">
        <v>1198</v>
      </c>
      <c r="C563" t="s">
        <v>2780</v>
      </c>
      <c r="D563" t="s">
        <v>1262</v>
      </c>
      <c r="E563" t="s">
        <v>1117</v>
      </c>
      <c r="F563" t="s">
        <v>1217</v>
      </c>
      <c r="G563" t="s">
        <v>1247</v>
      </c>
      <c r="H563" t="s">
        <v>1169</v>
      </c>
    </row>
    <row r="564" spans="1:8" x14ac:dyDescent="0.25">
      <c r="A564" t="s">
        <v>2801</v>
      </c>
      <c r="B564" t="s">
        <v>979</v>
      </c>
      <c r="C564" t="s">
        <v>938</v>
      </c>
      <c r="D564" t="s">
        <v>1249</v>
      </c>
      <c r="E564" t="s">
        <v>2361</v>
      </c>
      <c r="F564" t="s">
        <v>1220</v>
      </c>
      <c r="G564" t="s">
        <v>1231</v>
      </c>
      <c r="H564" t="s">
        <v>1303</v>
      </c>
    </row>
    <row r="565" spans="1:8" x14ac:dyDescent="0.25">
      <c r="A565" t="s">
        <v>2802</v>
      </c>
      <c r="B565" t="s">
        <v>1139</v>
      </c>
      <c r="C565" t="s">
        <v>2782</v>
      </c>
      <c r="D565" t="s">
        <v>1051</v>
      </c>
      <c r="E565" t="s">
        <v>2362</v>
      </c>
      <c r="F565" t="s">
        <v>1221</v>
      </c>
      <c r="G565" t="s">
        <v>1232</v>
      </c>
      <c r="H565" t="s">
        <v>1305</v>
      </c>
    </row>
    <row r="566" spans="1:8" x14ac:dyDescent="0.25">
      <c r="A566" t="s">
        <v>2803</v>
      </c>
      <c r="B566" t="s">
        <v>981</v>
      </c>
      <c r="C566" t="s">
        <v>2353</v>
      </c>
      <c r="D566" t="s">
        <v>2818</v>
      </c>
      <c r="E566" t="s">
        <v>1245</v>
      </c>
      <c r="F566" t="s">
        <v>1226</v>
      </c>
      <c r="G566" t="s">
        <v>3115</v>
      </c>
      <c r="H566" t="s">
        <v>2845</v>
      </c>
    </row>
    <row r="567" spans="1:8" x14ac:dyDescent="0.25">
      <c r="A567" t="s">
        <v>2804</v>
      </c>
      <c r="B567" t="s">
        <v>985</v>
      </c>
      <c r="C567" t="s">
        <v>1093</v>
      </c>
      <c r="D567" t="s">
        <v>1052</v>
      </c>
      <c r="E567" t="s">
        <v>3108</v>
      </c>
      <c r="F567" t="s">
        <v>1228</v>
      </c>
      <c r="G567" t="s">
        <v>2858</v>
      </c>
      <c r="H567" t="s">
        <v>1170</v>
      </c>
    </row>
    <row r="568" spans="1:8" x14ac:dyDescent="0.25">
      <c r="A568" t="s">
        <v>965</v>
      </c>
      <c r="B568" t="s">
        <v>1038</v>
      </c>
      <c r="C568" t="s">
        <v>1095</v>
      </c>
      <c r="D568" t="s">
        <v>1204</v>
      </c>
      <c r="E568" t="s">
        <v>2825</v>
      </c>
      <c r="F568" t="s">
        <v>1231</v>
      </c>
      <c r="G568" t="s">
        <v>1336</v>
      </c>
      <c r="H568" t="s">
        <v>1171</v>
      </c>
    </row>
    <row r="569" spans="1:8" x14ac:dyDescent="0.25">
      <c r="A569" t="s">
        <v>968</v>
      </c>
      <c r="B569" t="s">
        <v>989</v>
      </c>
      <c r="C569" t="s">
        <v>940</v>
      </c>
      <c r="D569" t="s">
        <v>2819</v>
      </c>
      <c r="E569" t="s">
        <v>1084</v>
      </c>
      <c r="F569" t="s">
        <v>1232</v>
      </c>
      <c r="G569" t="s">
        <v>1252</v>
      </c>
      <c r="H569" t="s">
        <v>1173</v>
      </c>
    </row>
    <row r="570" spans="1:8" x14ac:dyDescent="0.25">
      <c r="A570" t="s">
        <v>969</v>
      </c>
      <c r="B570" t="s">
        <v>992</v>
      </c>
      <c r="C570" t="s">
        <v>947</v>
      </c>
      <c r="D570" t="s">
        <v>2820</v>
      </c>
      <c r="E570" t="s">
        <v>1088</v>
      </c>
      <c r="F570" t="s">
        <v>3115</v>
      </c>
      <c r="G570" t="s">
        <v>1237</v>
      </c>
      <c r="H570" t="s">
        <v>1174</v>
      </c>
    </row>
    <row r="571" spans="1:8" x14ac:dyDescent="0.25">
      <c r="A571" t="s">
        <v>1183</v>
      </c>
      <c r="B571" t="s">
        <v>995</v>
      </c>
      <c r="C571" t="s">
        <v>2783</v>
      </c>
      <c r="D571" t="s">
        <v>1056</v>
      </c>
      <c r="E571" t="s">
        <v>1089</v>
      </c>
      <c r="F571" t="s">
        <v>3293</v>
      </c>
      <c r="G571" t="s">
        <v>1238</v>
      </c>
      <c r="H571" t="s">
        <v>1175</v>
      </c>
    </row>
    <row r="572" spans="1:8" x14ac:dyDescent="0.25">
      <c r="A572" t="s">
        <v>1122</v>
      </c>
      <c r="B572" t="s">
        <v>2808</v>
      </c>
      <c r="C572" t="s">
        <v>1100</v>
      </c>
      <c r="D572" t="s">
        <v>1107</v>
      </c>
      <c r="E572" t="s">
        <v>1094</v>
      </c>
      <c r="F572" t="s">
        <v>2858</v>
      </c>
      <c r="G572" t="s">
        <v>3117</v>
      </c>
      <c r="H572" t="s">
        <v>2846</v>
      </c>
    </row>
    <row r="573" spans="1:8" x14ac:dyDescent="0.25">
      <c r="A573" t="s">
        <v>970</v>
      </c>
      <c r="B573" t="s">
        <v>2809</v>
      </c>
      <c r="C573" t="s">
        <v>951</v>
      </c>
      <c r="D573" t="s">
        <v>1060</v>
      </c>
      <c r="E573" t="s">
        <v>1096</v>
      </c>
      <c r="F573" t="s">
        <v>1237</v>
      </c>
      <c r="G573" t="s">
        <v>2861</v>
      </c>
      <c r="H573" t="s">
        <v>2848</v>
      </c>
    </row>
    <row r="574" spans="1:8" x14ac:dyDescent="0.25">
      <c r="A574" t="s">
        <v>972</v>
      </c>
      <c r="B574" t="s">
        <v>3101</v>
      </c>
      <c r="C574" t="s">
        <v>953</v>
      </c>
      <c r="D574" t="s">
        <v>1085</v>
      </c>
      <c r="E574" t="s">
        <v>1229</v>
      </c>
      <c r="F574" t="s">
        <v>1238</v>
      </c>
      <c r="G574" t="s">
        <v>1258</v>
      </c>
      <c r="H574" t="s">
        <v>1177</v>
      </c>
    </row>
    <row r="575" spans="1:8" x14ac:dyDescent="0.25">
      <c r="A575" t="s">
        <v>973</v>
      </c>
      <c r="B575" t="s">
        <v>2810</v>
      </c>
      <c r="C575" t="s">
        <v>2784</v>
      </c>
      <c r="D575" t="s">
        <v>1090</v>
      </c>
      <c r="E575" t="s">
        <v>1103</v>
      </c>
      <c r="F575" t="s">
        <v>3117</v>
      </c>
      <c r="G575" t="s">
        <v>1261</v>
      </c>
      <c r="H575" t="s">
        <v>1176</v>
      </c>
    </row>
    <row r="576" spans="1:8" x14ac:dyDescent="0.25">
      <c r="A576" t="s">
        <v>1192</v>
      </c>
      <c r="B576" t="s">
        <v>3102</v>
      </c>
      <c r="C576" t="s">
        <v>2785</v>
      </c>
      <c r="D576" t="s">
        <v>1209</v>
      </c>
      <c r="E576" t="s">
        <v>2826</v>
      </c>
      <c r="F576" t="s">
        <v>3296</v>
      </c>
      <c r="G576" t="s">
        <v>1341</v>
      </c>
      <c r="H576" t="s">
        <v>1178</v>
      </c>
    </row>
    <row r="577" spans="1:8" x14ac:dyDescent="0.25">
      <c r="A577" t="s">
        <v>2805</v>
      </c>
      <c r="B577" t="s">
        <v>1026</v>
      </c>
      <c r="C577" t="s">
        <v>2786</v>
      </c>
      <c r="D577" t="s">
        <v>2822</v>
      </c>
      <c r="E577" t="s">
        <v>1105</v>
      </c>
      <c r="F577" t="s">
        <v>2861</v>
      </c>
      <c r="G577" t="s">
        <v>1239</v>
      </c>
      <c r="H577" t="s">
        <v>1179</v>
      </c>
    </row>
    <row r="578" spans="1:8" x14ac:dyDescent="0.25">
      <c r="A578" t="s">
        <v>975</v>
      </c>
      <c r="B578" t="s">
        <v>2811</v>
      </c>
      <c r="C578" t="s">
        <v>2787</v>
      </c>
      <c r="D578" t="s">
        <v>2823</v>
      </c>
      <c r="E578" t="s">
        <v>1106</v>
      </c>
      <c r="F578" t="s">
        <v>1261</v>
      </c>
      <c r="G578" t="s">
        <v>3245</v>
      </c>
      <c r="H578" t="s">
        <v>1180</v>
      </c>
    </row>
    <row r="579" spans="1:8" x14ac:dyDescent="0.25">
      <c r="A579" t="s">
        <v>2806</v>
      </c>
      <c r="B579" t="s">
        <v>1201</v>
      </c>
      <c r="C579" t="s">
        <v>2788</v>
      </c>
      <c r="D579" t="s">
        <v>2824</v>
      </c>
      <c r="E579" t="s">
        <v>1108</v>
      </c>
      <c r="F579" t="s">
        <v>3245</v>
      </c>
      <c r="G579" t="s">
        <v>3247</v>
      </c>
      <c r="H579" t="s">
        <v>1284</v>
      </c>
    </row>
    <row r="580" spans="1:8" x14ac:dyDescent="0.25">
      <c r="A580" t="s">
        <v>2807</v>
      </c>
      <c r="B580" t="s">
        <v>1203</v>
      </c>
      <c r="C580" t="s">
        <v>2789</v>
      </c>
      <c r="D580" t="s">
        <v>1117</v>
      </c>
      <c r="E580" t="s">
        <v>2827</v>
      </c>
      <c r="F580" t="s">
        <v>3247</v>
      </c>
      <c r="G580" t="s">
        <v>1259</v>
      </c>
      <c r="H580" t="s">
        <v>1186</v>
      </c>
    </row>
    <row r="581" spans="1:8" x14ac:dyDescent="0.25">
      <c r="A581" t="s">
        <v>1195</v>
      </c>
      <c r="B581" t="s">
        <v>1049</v>
      </c>
      <c r="C581" t="s">
        <v>954</v>
      </c>
      <c r="D581" t="s">
        <v>1075</v>
      </c>
      <c r="E581" t="s">
        <v>2828</v>
      </c>
      <c r="F581" t="s">
        <v>1259</v>
      </c>
      <c r="G581" t="s">
        <v>1240</v>
      </c>
      <c r="H581" t="s">
        <v>1182</v>
      </c>
    </row>
    <row r="582" spans="1:8" x14ac:dyDescent="0.25">
      <c r="A582" t="s">
        <v>1198</v>
      </c>
      <c r="B582" t="s">
        <v>2354</v>
      </c>
      <c r="C582" t="s">
        <v>1013</v>
      </c>
      <c r="D582" t="s">
        <v>2361</v>
      </c>
      <c r="E582" t="s">
        <v>2829</v>
      </c>
      <c r="F582" t="s">
        <v>3118</v>
      </c>
      <c r="G582" t="s">
        <v>1241</v>
      </c>
      <c r="H582" t="s">
        <v>1347</v>
      </c>
    </row>
    <row r="583" spans="1:8" x14ac:dyDescent="0.25">
      <c r="A583" t="s">
        <v>977</v>
      </c>
      <c r="B583" t="s">
        <v>2355</v>
      </c>
      <c r="C583" t="s">
        <v>997</v>
      </c>
      <c r="D583" t="s">
        <v>2362</v>
      </c>
      <c r="E583" t="s">
        <v>3203</v>
      </c>
      <c r="F583" t="s">
        <v>1242</v>
      </c>
      <c r="G583" t="s">
        <v>1242</v>
      </c>
      <c r="H583" t="s">
        <v>1287</v>
      </c>
    </row>
    <row r="584" spans="1:8" x14ac:dyDescent="0.25">
      <c r="A584" t="s">
        <v>979</v>
      </c>
      <c r="B584" t="s">
        <v>1029</v>
      </c>
      <c r="C584" t="s">
        <v>957</v>
      </c>
      <c r="D584" t="s">
        <v>1245</v>
      </c>
      <c r="E584" t="s">
        <v>3289</v>
      </c>
      <c r="F584" t="s">
        <v>1399</v>
      </c>
      <c r="G584" t="s">
        <v>1273</v>
      </c>
      <c r="H584" t="s">
        <v>1185</v>
      </c>
    </row>
    <row r="585" spans="1:8" x14ac:dyDescent="0.25">
      <c r="A585" t="s">
        <v>1139</v>
      </c>
      <c r="B585" t="s">
        <v>1034</v>
      </c>
      <c r="C585" t="s">
        <v>3100</v>
      </c>
      <c r="D585" t="s">
        <v>1079</v>
      </c>
      <c r="E585" t="s">
        <v>2830</v>
      </c>
      <c r="F585" t="s">
        <v>3307</v>
      </c>
      <c r="G585" t="s">
        <v>3297</v>
      </c>
      <c r="H585" t="s">
        <v>1187</v>
      </c>
    </row>
    <row r="586" spans="1:8" x14ac:dyDescent="0.25">
      <c r="A586" t="s">
        <v>981</v>
      </c>
      <c r="B586" t="s">
        <v>1005</v>
      </c>
      <c r="C586" t="s">
        <v>2790</v>
      </c>
      <c r="D586" t="s">
        <v>1080</v>
      </c>
      <c r="E586" t="s">
        <v>2831</v>
      </c>
      <c r="F586" t="s">
        <v>1408</v>
      </c>
      <c r="G586" t="s">
        <v>2864</v>
      </c>
      <c r="H586" t="s">
        <v>1188</v>
      </c>
    </row>
    <row r="587" spans="1:8" x14ac:dyDescent="0.25">
      <c r="A587" t="s">
        <v>985</v>
      </c>
      <c r="B587" t="s">
        <v>1037</v>
      </c>
      <c r="C587" t="s">
        <v>2791</v>
      </c>
      <c r="D587" t="s">
        <v>2825</v>
      </c>
      <c r="E587" t="s">
        <v>2832</v>
      </c>
      <c r="F587" t="s">
        <v>2875</v>
      </c>
      <c r="G587" t="s">
        <v>1396</v>
      </c>
      <c r="H587" t="s">
        <v>1189</v>
      </c>
    </row>
    <row r="588" spans="1:8" x14ac:dyDescent="0.25">
      <c r="A588" t="s">
        <v>1038</v>
      </c>
      <c r="B588" t="s">
        <v>1163</v>
      </c>
      <c r="C588" t="s">
        <v>2792</v>
      </c>
      <c r="D588" t="s">
        <v>1084</v>
      </c>
      <c r="E588" t="s">
        <v>3204</v>
      </c>
      <c r="F588" t="s">
        <v>2876</v>
      </c>
      <c r="G588" t="s">
        <v>1399</v>
      </c>
      <c r="H588" t="s">
        <v>1196</v>
      </c>
    </row>
    <row r="589" spans="1:8" x14ac:dyDescent="0.25">
      <c r="A589" t="s">
        <v>989</v>
      </c>
      <c r="B589" t="s">
        <v>1007</v>
      </c>
      <c r="C589" t="s">
        <v>2793</v>
      </c>
      <c r="D589" t="s">
        <v>1088</v>
      </c>
      <c r="E589" t="s">
        <v>3110</v>
      </c>
      <c r="F589" t="s">
        <v>1418</v>
      </c>
      <c r="G589" t="s">
        <v>1333</v>
      </c>
      <c r="H589" t="s">
        <v>1190</v>
      </c>
    </row>
    <row r="590" spans="1:8" x14ac:dyDescent="0.25">
      <c r="A590" t="s">
        <v>992</v>
      </c>
      <c r="B590" t="s">
        <v>1009</v>
      </c>
      <c r="C590" t="s">
        <v>2795</v>
      </c>
      <c r="D590" t="s">
        <v>1089</v>
      </c>
      <c r="E590" t="s">
        <v>1109</v>
      </c>
      <c r="F590" t="s">
        <v>1422</v>
      </c>
      <c r="G590" t="s">
        <v>1337</v>
      </c>
      <c r="H590" t="s">
        <v>1191</v>
      </c>
    </row>
    <row r="591" spans="1:8" x14ac:dyDescent="0.25">
      <c r="A591" t="s">
        <v>995</v>
      </c>
      <c r="B591" t="s">
        <v>1165</v>
      </c>
      <c r="C591" t="s">
        <v>2796</v>
      </c>
      <c r="D591" t="s">
        <v>1094</v>
      </c>
      <c r="E591" t="s">
        <v>1110</v>
      </c>
      <c r="F591" t="s">
        <v>1425</v>
      </c>
      <c r="G591" t="s">
        <v>1340</v>
      </c>
      <c r="H591" t="s">
        <v>1194</v>
      </c>
    </row>
    <row r="592" spans="1:8" x14ac:dyDescent="0.25">
      <c r="A592" t="s">
        <v>2808</v>
      </c>
      <c r="B592" t="s">
        <v>1152</v>
      </c>
      <c r="C592" t="s">
        <v>2797</v>
      </c>
      <c r="D592" t="s">
        <v>1096</v>
      </c>
      <c r="E592" t="s">
        <v>1111</v>
      </c>
      <c r="F592" t="s">
        <v>1429</v>
      </c>
      <c r="G592" t="s">
        <v>1342</v>
      </c>
      <c r="H592" t="s">
        <v>1197</v>
      </c>
    </row>
    <row r="593" spans="1:8" x14ac:dyDescent="0.25">
      <c r="A593" t="s">
        <v>2809</v>
      </c>
      <c r="B593" t="s">
        <v>2812</v>
      </c>
      <c r="C593" t="s">
        <v>1017</v>
      </c>
      <c r="D593" t="s">
        <v>1229</v>
      </c>
      <c r="E593" t="s">
        <v>1125</v>
      </c>
      <c r="F593" t="s">
        <v>1446</v>
      </c>
      <c r="G593" t="s">
        <v>1343</v>
      </c>
      <c r="H593" t="s">
        <v>1200</v>
      </c>
    </row>
    <row r="594" spans="1:8" x14ac:dyDescent="0.25">
      <c r="A594" t="s">
        <v>2810</v>
      </c>
      <c r="B594" t="s">
        <v>1010</v>
      </c>
      <c r="C594" t="s">
        <v>1003</v>
      </c>
      <c r="D594" t="s">
        <v>1103</v>
      </c>
      <c r="E594" t="s">
        <v>1127</v>
      </c>
      <c r="F594" t="s">
        <v>1451</v>
      </c>
      <c r="G594" t="s">
        <v>1354</v>
      </c>
      <c r="H594" t="s">
        <v>1210</v>
      </c>
    </row>
    <row r="595" spans="1:8" x14ac:dyDescent="0.25">
      <c r="A595" t="s">
        <v>1026</v>
      </c>
      <c r="B595" t="s">
        <v>1011</v>
      </c>
      <c r="C595" t="s">
        <v>1006</v>
      </c>
      <c r="D595" t="s">
        <v>2826</v>
      </c>
      <c r="E595" t="s">
        <v>1264</v>
      </c>
      <c r="F595" t="s">
        <v>1453</v>
      </c>
      <c r="G595" t="s">
        <v>1356</v>
      </c>
      <c r="H595" t="s">
        <v>1202</v>
      </c>
    </row>
    <row r="596" spans="1:8" x14ac:dyDescent="0.25">
      <c r="A596" t="s">
        <v>2811</v>
      </c>
      <c r="B596" t="s">
        <v>1172</v>
      </c>
      <c r="C596" t="s">
        <v>2798</v>
      </c>
      <c r="D596" t="s">
        <v>1105</v>
      </c>
      <c r="E596" t="s">
        <v>1266</v>
      </c>
      <c r="F596" t="s">
        <v>1443</v>
      </c>
      <c r="G596" t="s">
        <v>1360</v>
      </c>
      <c r="H596" t="s">
        <v>2849</v>
      </c>
    </row>
    <row r="597" spans="1:8" x14ac:dyDescent="0.25">
      <c r="A597" t="s">
        <v>1201</v>
      </c>
      <c r="B597" t="s">
        <v>2814</v>
      </c>
      <c r="C597" t="s">
        <v>2799</v>
      </c>
      <c r="D597" t="s">
        <v>1106</v>
      </c>
      <c r="E597" t="s">
        <v>2836</v>
      </c>
      <c r="F597" t="s">
        <v>1481</v>
      </c>
      <c r="G597" t="s">
        <v>3307</v>
      </c>
      <c r="H597" t="s">
        <v>2850</v>
      </c>
    </row>
    <row r="598" spans="1:8" x14ac:dyDescent="0.25">
      <c r="A598" t="s">
        <v>1203</v>
      </c>
      <c r="B598" t="s">
        <v>1012</v>
      </c>
      <c r="C598" t="s">
        <v>960</v>
      </c>
      <c r="D598" t="s">
        <v>1108</v>
      </c>
      <c r="E598" t="s">
        <v>1268</v>
      </c>
      <c r="F598" t="s">
        <v>1444</v>
      </c>
      <c r="G598" t="s">
        <v>1408</v>
      </c>
      <c r="H598" t="s">
        <v>1213</v>
      </c>
    </row>
    <row r="599" spans="1:8" x14ac:dyDescent="0.25">
      <c r="A599" t="s">
        <v>1049</v>
      </c>
      <c r="B599" t="s">
        <v>1159</v>
      </c>
      <c r="C599" t="s">
        <v>963</v>
      </c>
      <c r="D599" t="s">
        <v>2827</v>
      </c>
      <c r="E599" t="s">
        <v>1270</v>
      </c>
      <c r="F599" t="s">
        <v>1445</v>
      </c>
      <c r="G599" t="s">
        <v>1369</v>
      </c>
      <c r="H599" t="s">
        <v>1215</v>
      </c>
    </row>
    <row r="600" spans="1:8" x14ac:dyDescent="0.25">
      <c r="A600" t="s">
        <v>2354</v>
      </c>
      <c r="B600" t="s">
        <v>2815</v>
      </c>
      <c r="C600" t="s">
        <v>1008</v>
      </c>
      <c r="D600" t="s">
        <v>2828</v>
      </c>
      <c r="E600" t="s">
        <v>1112</v>
      </c>
      <c r="F600" t="s">
        <v>1447</v>
      </c>
      <c r="G600" t="s">
        <v>1371</v>
      </c>
      <c r="H600" t="s">
        <v>1205</v>
      </c>
    </row>
    <row r="601" spans="1:8" x14ac:dyDescent="0.25">
      <c r="A601" t="s">
        <v>2355</v>
      </c>
      <c r="B601" t="s">
        <v>1015</v>
      </c>
      <c r="C601" t="s">
        <v>964</v>
      </c>
      <c r="D601" t="s">
        <v>2829</v>
      </c>
      <c r="E601" t="s">
        <v>1113</v>
      </c>
      <c r="F601" t="s">
        <v>1478</v>
      </c>
      <c r="G601" t="s">
        <v>1372</v>
      </c>
      <c r="H601" t="s">
        <v>1206</v>
      </c>
    </row>
    <row r="602" spans="1:8" x14ac:dyDescent="0.25">
      <c r="A602" t="s">
        <v>1029</v>
      </c>
      <c r="B602" t="s">
        <v>1016</v>
      </c>
      <c r="C602" t="s">
        <v>2800</v>
      </c>
      <c r="D602" t="s">
        <v>2830</v>
      </c>
      <c r="E602" t="s">
        <v>1114</v>
      </c>
      <c r="F602" t="s">
        <v>1466</v>
      </c>
      <c r="G602" t="s">
        <v>1373</v>
      </c>
      <c r="H602" t="s">
        <v>1207</v>
      </c>
    </row>
    <row r="603" spans="1:8" x14ac:dyDescent="0.25">
      <c r="A603" t="s">
        <v>2356</v>
      </c>
      <c r="B603" t="s">
        <v>3103</v>
      </c>
      <c r="C603" t="s">
        <v>2801</v>
      </c>
      <c r="D603" t="s">
        <v>2831</v>
      </c>
      <c r="E603" t="s">
        <v>1115</v>
      </c>
      <c r="F603" t="s">
        <v>2879</v>
      </c>
      <c r="G603" t="s">
        <v>2375</v>
      </c>
      <c r="H603" t="s">
        <v>2851</v>
      </c>
    </row>
    <row r="604" spans="1:8" x14ac:dyDescent="0.25">
      <c r="A604" t="s">
        <v>1034</v>
      </c>
      <c r="B604" t="s">
        <v>1018</v>
      </c>
      <c r="C604" t="s">
        <v>2802</v>
      </c>
      <c r="D604" t="s">
        <v>3110</v>
      </c>
      <c r="E604" t="s">
        <v>1116</v>
      </c>
      <c r="F604" t="s">
        <v>1455</v>
      </c>
      <c r="G604" t="s">
        <v>2378</v>
      </c>
      <c r="H604" t="s">
        <v>2852</v>
      </c>
    </row>
    <row r="605" spans="1:8" x14ac:dyDescent="0.25">
      <c r="A605" t="s">
        <v>1005</v>
      </c>
      <c r="B605" t="s">
        <v>1019</v>
      </c>
      <c r="C605" t="s">
        <v>2803</v>
      </c>
      <c r="D605" t="s">
        <v>1111</v>
      </c>
      <c r="E605" t="s">
        <v>1119</v>
      </c>
      <c r="F605" t="s">
        <v>1457</v>
      </c>
      <c r="G605" t="s">
        <v>2875</v>
      </c>
      <c r="H605" t="s">
        <v>2853</v>
      </c>
    </row>
    <row r="606" spans="1:8" x14ac:dyDescent="0.25">
      <c r="A606" t="s">
        <v>1037</v>
      </c>
      <c r="B606" t="s">
        <v>1024</v>
      </c>
      <c r="C606" t="s">
        <v>2804</v>
      </c>
      <c r="D606" t="s">
        <v>3237</v>
      </c>
      <c r="E606" t="s">
        <v>1120</v>
      </c>
      <c r="F606" t="s">
        <v>1458</v>
      </c>
      <c r="G606" t="s">
        <v>2876</v>
      </c>
      <c r="H606" t="s">
        <v>1208</v>
      </c>
    </row>
    <row r="607" spans="1:8" x14ac:dyDescent="0.25">
      <c r="A607" t="s">
        <v>1163</v>
      </c>
      <c r="B607" t="s">
        <v>1025</v>
      </c>
      <c r="C607" t="s">
        <v>965</v>
      </c>
      <c r="D607" t="s">
        <v>2835</v>
      </c>
      <c r="E607" t="s">
        <v>2838</v>
      </c>
      <c r="F607" t="s">
        <v>1460</v>
      </c>
      <c r="G607" t="s">
        <v>2382</v>
      </c>
      <c r="H607" t="s">
        <v>1211</v>
      </c>
    </row>
    <row r="608" spans="1:8" x14ac:dyDescent="0.25">
      <c r="A608" t="s">
        <v>1007</v>
      </c>
      <c r="B608" t="s">
        <v>2357</v>
      </c>
      <c r="C608" t="s">
        <v>968</v>
      </c>
      <c r="D608" t="s">
        <v>1125</v>
      </c>
      <c r="E608" t="s">
        <v>1222</v>
      </c>
      <c r="F608" t="s">
        <v>1461</v>
      </c>
      <c r="G608" t="s">
        <v>1418</v>
      </c>
      <c r="H608" t="s">
        <v>1212</v>
      </c>
    </row>
    <row r="609" spans="1:8" x14ac:dyDescent="0.25">
      <c r="A609" t="s">
        <v>1009</v>
      </c>
      <c r="B609" t="s">
        <v>2358</v>
      </c>
      <c r="C609" t="s">
        <v>969</v>
      </c>
      <c r="D609" t="s">
        <v>1127</v>
      </c>
      <c r="E609" t="s">
        <v>1280</v>
      </c>
      <c r="F609" t="s">
        <v>1464</v>
      </c>
      <c r="G609" t="s">
        <v>1422</v>
      </c>
      <c r="H609" t="s">
        <v>2854</v>
      </c>
    </row>
    <row r="610" spans="1:8" x14ac:dyDescent="0.25">
      <c r="A610" t="s">
        <v>1165</v>
      </c>
      <c r="B610" t="s">
        <v>3084</v>
      </c>
      <c r="C610" t="s">
        <v>1183</v>
      </c>
      <c r="D610" t="s">
        <v>1264</v>
      </c>
      <c r="E610" t="s">
        <v>1224</v>
      </c>
      <c r="F610" t="s">
        <v>1465</v>
      </c>
      <c r="G610" t="s">
        <v>1425</v>
      </c>
      <c r="H610" t="s">
        <v>1225</v>
      </c>
    </row>
    <row r="611" spans="1:8" x14ac:dyDescent="0.25">
      <c r="A611" t="s">
        <v>1152</v>
      </c>
      <c r="B611" t="s">
        <v>1027</v>
      </c>
      <c r="C611" t="s">
        <v>1122</v>
      </c>
      <c r="D611" t="s">
        <v>1266</v>
      </c>
      <c r="E611" t="s">
        <v>1121</v>
      </c>
      <c r="F611" t="s">
        <v>1503</v>
      </c>
      <c r="G611" t="s">
        <v>1429</v>
      </c>
      <c r="H611" t="s">
        <v>1227</v>
      </c>
    </row>
    <row r="612" spans="1:8" x14ac:dyDescent="0.25">
      <c r="A612" t="s">
        <v>2812</v>
      </c>
      <c r="B612" t="s">
        <v>1028</v>
      </c>
      <c r="C612" t="s">
        <v>970</v>
      </c>
      <c r="D612" t="s">
        <v>2836</v>
      </c>
      <c r="E612" t="s">
        <v>1123</v>
      </c>
      <c r="F612" t="s">
        <v>1510</v>
      </c>
      <c r="G612" t="s">
        <v>1446</v>
      </c>
      <c r="H612" t="s">
        <v>1230</v>
      </c>
    </row>
    <row r="613" spans="1:8" x14ac:dyDescent="0.25">
      <c r="A613" t="s">
        <v>2813</v>
      </c>
      <c r="B613" t="s">
        <v>1030</v>
      </c>
      <c r="C613" t="s">
        <v>972</v>
      </c>
      <c r="D613" t="s">
        <v>1268</v>
      </c>
      <c r="E613" t="s">
        <v>1124</v>
      </c>
      <c r="F613" t="s">
        <v>1467</v>
      </c>
      <c r="G613" t="s">
        <v>1451</v>
      </c>
      <c r="H613" t="s">
        <v>1214</v>
      </c>
    </row>
    <row r="614" spans="1:8" x14ac:dyDescent="0.25">
      <c r="A614" t="s">
        <v>1070</v>
      </c>
      <c r="B614" t="s">
        <v>1032</v>
      </c>
      <c r="C614" t="s">
        <v>973</v>
      </c>
      <c r="D614" t="s">
        <v>1270</v>
      </c>
      <c r="E614" t="s">
        <v>1126</v>
      </c>
      <c r="F614" t="s">
        <v>1470</v>
      </c>
      <c r="G614" t="s">
        <v>1431</v>
      </c>
      <c r="H614" t="s">
        <v>1216</v>
      </c>
    </row>
    <row r="615" spans="1:8" x14ac:dyDescent="0.25">
      <c r="A615" t="s">
        <v>1157</v>
      </c>
      <c r="B615" t="s">
        <v>1033</v>
      </c>
      <c r="C615" t="s">
        <v>1192</v>
      </c>
      <c r="D615" t="s">
        <v>1112</v>
      </c>
      <c r="E615" t="s">
        <v>1128</v>
      </c>
      <c r="F615" t="s">
        <v>1472</v>
      </c>
      <c r="G615" t="s">
        <v>1434</v>
      </c>
      <c r="H615" t="s">
        <v>1234</v>
      </c>
    </row>
    <row r="616" spans="1:8" x14ac:dyDescent="0.25">
      <c r="A616" t="s">
        <v>1010</v>
      </c>
      <c r="B616" t="s">
        <v>1035</v>
      </c>
      <c r="C616" t="s">
        <v>2805</v>
      </c>
      <c r="D616" t="s">
        <v>1113</v>
      </c>
      <c r="E616" t="s">
        <v>1129</v>
      </c>
      <c r="F616" t="s">
        <v>1473</v>
      </c>
      <c r="G616" t="s">
        <v>1437</v>
      </c>
      <c r="H616" t="s">
        <v>1236</v>
      </c>
    </row>
    <row r="617" spans="1:8" x14ac:dyDescent="0.25">
      <c r="A617" t="s">
        <v>1011</v>
      </c>
      <c r="B617" t="s">
        <v>1091</v>
      </c>
      <c r="C617" t="s">
        <v>975</v>
      </c>
      <c r="D617" t="s">
        <v>1114</v>
      </c>
      <c r="E617" t="s">
        <v>1292</v>
      </c>
      <c r="F617" t="s">
        <v>1475</v>
      </c>
      <c r="G617" t="s">
        <v>1440</v>
      </c>
      <c r="H617" t="s">
        <v>1355</v>
      </c>
    </row>
    <row r="618" spans="1:8" x14ac:dyDescent="0.25">
      <c r="A618" t="s">
        <v>1172</v>
      </c>
      <c r="B618" t="s">
        <v>1042</v>
      </c>
      <c r="C618" t="s">
        <v>2806</v>
      </c>
      <c r="D618" t="s">
        <v>1115</v>
      </c>
      <c r="E618" t="s">
        <v>2839</v>
      </c>
      <c r="F618" t="s">
        <v>1479</v>
      </c>
      <c r="G618" t="s">
        <v>1463</v>
      </c>
      <c r="H618" t="s">
        <v>1323</v>
      </c>
    </row>
    <row r="619" spans="1:8" x14ac:dyDescent="0.25">
      <c r="A619" t="s">
        <v>2814</v>
      </c>
      <c r="B619" t="s">
        <v>1262</v>
      </c>
      <c r="C619" t="s">
        <v>2807</v>
      </c>
      <c r="D619" t="s">
        <v>1116</v>
      </c>
      <c r="E619" t="s">
        <v>1294</v>
      </c>
      <c r="F619" t="s">
        <v>1482</v>
      </c>
      <c r="G619" t="s">
        <v>1459</v>
      </c>
      <c r="H619" t="s">
        <v>1217</v>
      </c>
    </row>
    <row r="620" spans="1:8" x14ac:dyDescent="0.25">
      <c r="A620" t="s">
        <v>1012</v>
      </c>
      <c r="B620" t="s">
        <v>1249</v>
      </c>
      <c r="C620" t="s">
        <v>1195</v>
      </c>
      <c r="D620" t="s">
        <v>1119</v>
      </c>
      <c r="E620" t="s">
        <v>1130</v>
      </c>
      <c r="F620" t="s">
        <v>1483</v>
      </c>
      <c r="G620" t="s">
        <v>1443</v>
      </c>
      <c r="H620" t="s">
        <v>1220</v>
      </c>
    </row>
    <row r="621" spans="1:8" x14ac:dyDescent="0.25">
      <c r="A621" t="s">
        <v>1159</v>
      </c>
      <c r="B621" t="s">
        <v>2816</v>
      </c>
      <c r="C621" t="s">
        <v>1198</v>
      </c>
      <c r="D621" t="s">
        <v>1120</v>
      </c>
      <c r="E621" t="s">
        <v>1131</v>
      </c>
      <c r="F621" t="s">
        <v>1485</v>
      </c>
      <c r="G621" t="s">
        <v>1444</v>
      </c>
      <c r="H621" t="s">
        <v>1221</v>
      </c>
    </row>
    <row r="622" spans="1:8" x14ac:dyDescent="0.25">
      <c r="A622" t="s">
        <v>2815</v>
      </c>
      <c r="B622" t="s">
        <v>1048</v>
      </c>
      <c r="C622" t="s">
        <v>977</v>
      </c>
      <c r="D622" t="s">
        <v>2837</v>
      </c>
      <c r="E622" t="s">
        <v>1133</v>
      </c>
      <c r="F622" t="s">
        <v>1486</v>
      </c>
      <c r="G622" t="s">
        <v>1445</v>
      </c>
      <c r="H622" t="s">
        <v>1226</v>
      </c>
    </row>
    <row r="623" spans="1:8" x14ac:dyDescent="0.25">
      <c r="A623" t="s">
        <v>1015</v>
      </c>
      <c r="B623" t="s">
        <v>1051</v>
      </c>
      <c r="C623" t="s">
        <v>979</v>
      </c>
      <c r="D623" t="s">
        <v>2838</v>
      </c>
      <c r="E623" t="s">
        <v>1135</v>
      </c>
      <c r="F623" t="s">
        <v>1488</v>
      </c>
      <c r="G623" t="s">
        <v>1447</v>
      </c>
      <c r="H623" t="s">
        <v>1228</v>
      </c>
    </row>
    <row r="624" spans="1:8" x14ac:dyDescent="0.25">
      <c r="A624" t="s">
        <v>1016</v>
      </c>
      <c r="B624" t="s">
        <v>2818</v>
      </c>
      <c r="C624" t="s">
        <v>1139</v>
      </c>
      <c r="D624" t="s">
        <v>1222</v>
      </c>
      <c r="E624" t="s">
        <v>1137</v>
      </c>
      <c r="F624" t="s">
        <v>1490</v>
      </c>
      <c r="G624" t="s">
        <v>1469</v>
      </c>
      <c r="H624" t="s">
        <v>1247</v>
      </c>
    </row>
    <row r="625" spans="1:8" x14ac:dyDescent="0.25">
      <c r="A625" t="s">
        <v>1018</v>
      </c>
      <c r="B625" t="s">
        <v>1052</v>
      </c>
      <c r="C625" t="s">
        <v>981</v>
      </c>
      <c r="D625" t="s">
        <v>1280</v>
      </c>
      <c r="E625" t="s">
        <v>1138</v>
      </c>
      <c r="F625" t="s">
        <v>1492</v>
      </c>
      <c r="G625" t="s">
        <v>1474</v>
      </c>
      <c r="H625" t="s">
        <v>3365</v>
      </c>
    </row>
    <row r="626" spans="1:8" x14ac:dyDescent="0.25">
      <c r="A626" t="s">
        <v>1019</v>
      </c>
      <c r="B626" t="s">
        <v>3104</v>
      </c>
      <c r="C626" t="s">
        <v>985</v>
      </c>
      <c r="D626" t="s">
        <v>1224</v>
      </c>
      <c r="E626" t="s">
        <v>1271</v>
      </c>
      <c r="F626" t="s">
        <v>1494</v>
      </c>
      <c r="G626" t="s">
        <v>1478</v>
      </c>
      <c r="H626" t="s">
        <v>1231</v>
      </c>
    </row>
    <row r="627" spans="1:8" x14ac:dyDescent="0.25">
      <c r="A627" t="s">
        <v>1020</v>
      </c>
      <c r="B627" t="s">
        <v>3105</v>
      </c>
      <c r="C627" t="s">
        <v>1038</v>
      </c>
      <c r="D627" t="s">
        <v>1121</v>
      </c>
      <c r="E627" t="s">
        <v>1310</v>
      </c>
      <c r="F627" t="s">
        <v>1497</v>
      </c>
      <c r="G627" t="s">
        <v>1448</v>
      </c>
      <c r="H627" t="s">
        <v>1232</v>
      </c>
    </row>
    <row r="628" spans="1:8" x14ac:dyDescent="0.25">
      <c r="A628" t="s">
        <v>1024</v>
      </c>
      <c r="B628" t="s">
        <v>3106</v>
      </c>
      <c r="C628" t="s">
        <v>987</v>
      </c>
      <c r="D628" t="s">
        <v>1123</v>
      </c>
      <c r="E628" t="s">
        <v>3290</v>
      </c>
      <c r="F628" t="s">
        <v>1498</v>
      </c>
      <c r="G628" t="s">
        <v>1449</v>
      </c>
      <c r="H628" t="s">
        <v>3115</v>
      </c>
    </row>
    <row r="629" spans="1:8" x14ac:dyDescent="0.25">
      <c r="A629" t="s">
        <v>1025</v>
      </c>
      <c r="B629" t="s">
        <v>2819</v>
      </c>
      <c r="C629" t="s">
        <v>989</v>
      </c>
      <c r="D629" t="s">
        <v>1124</v>
      </c>
      <c r="E629" t="s">
        <v>1312</v>
      </c>
      <c r="F629" t="s">
        <v>1499</v>
      </c>
      <c r="G629" t="s">
        <v>2879</v>
      </c>
      <c r="H629" t="s">
        <v>3293</v>
      </c>
    </row>
    <row r="630" spans="1:8" x14ac:dyDescent="0.25">
      <c r="A630" t="s">
        <v>2357</v>
      </c>
      <c r="B630" t="s">
        <v>2821</v>
      </c>
      <c r="C630" t="s">
        <v>992</v>
      </c>
      <c r="D630" t="s">
        <v>1126</v>
      </c>
      <c r="E630" t="s">
        <v>1140</v>
      </c>
      <c r="F630" t="s">
        <v>1500</v>
      </c>
      <c r="G630" t="s">
        <v>1480</v>
      </c>
      <c r="H630" t="s">
        <v>2858</v>
      </c>
    </row>
    <row r="631" spans="1:8" x14ac:dyDescent="0.25">
      <c r="A631" t="s">
        <v>2358</v>
      </c>
      <c r="B631" t="s">
        <v>1056</v>
      </c>
      <c r="C631" t="s">
        <v>994</v>
      </c>
      <c r="D631" t="s">
        <v>1128</v>
      </c>
      <c r="E631" t="s">
        <v>1142</v>
      </c>
      <c r="F631" t="s">
        <v>1501</v>
      </c>
      <c r="G631" t="s">
        <v>1455</v>
      </c>
      <c r="H631" t="s">
        <v>3366</v>
      </c>
    </row>
    <row r="632" spans="1:8" x14ac:dyDescent="0.25">
      <c r="A632" t="s">
        <v>1027</v>
      </c>
      <c r="B632" t="s">
        <v>1107</v>
      </c>
      <c r="C632" t="s">
        <v>995</v>
      </c>
      <c r="D632" t="s">
        <v>1129</v>
      </c>
      <c r="E632" t="s">
        <v>1143</v>
      </c>
      <c r="F632" t="s">
        <v>1502</v>
      </c>
      <c r="G632" t="s">
        <v>1457</v>
      </c>
      <c r="H632" t="s">
        <v>1332</v>
      </c>
    </row>
    <row r="633" spans="1:8" x14ac:dyDescent="0.25">
      <c r="A633" t="s">
        <v>1028</v>
      </c>
      <c r="B633" t="s">
        <v>1255</v>
      </c>
      <c r="C633" t="s">
        <v>2808</v>
      </c>
      <c r="D633" t="s">
        <v>1292</v>
      </c>
      <c r="E633" t="s">
        <v>1146</v>
      </c>
      <c r="F633" t="s">
        <v>1504</v>
      </c>
      <c r="G633" t="s">
        <v>1458</v>
      </c>
      <c r="H633" t="s">
        <v>1336</v>
      </c>
    </row>
    <row r="634" spans="1:8" x14ac:dyDescent="0.25">
      <c r="A634" t="s">
        <v>1030</v>
      </c>
      <c r="B634" t="s">
        <v>1060</v>
      </c>
      <c r="C634" t="s">
        <v>2809</v>
      </c>
      <c r="D634" t="s">
        <v>2839</v>
      </c>
      <c r="E634" t="s">
        <v>1148</v>
      </c>
      <c r="F634" t="s">
        <v>1507</v>
      </c>
      <c r="G634" t="s">
        <v>1460</v>
      </c>
      <c r="H634" t="s">
        <v>2859</v>
      </c>
    </row>
    <row r="635" spans="1:8" x14ac:dyDescent="0.25">
      <c r="A635" t="s">
        <v>1033</v>
      </c>
      <c r="B635" t="s">
        <v>1085</v>
      </c>
      <c r="C635" t="s">
        <v>2810</v>
      </c>
      <c r="D635" t="s">
        <v>1294</v>
      </c>
      <c r="E635" t="s">
        <v>1281</v>
      </c>
      <c r="F635" t="s">
        <v>1509</v>
      </c>
      <c r="G635" t="s">
        <v>1461</v>
      </c>
      <c r="H635" t="s">
        <v>1252</v>
      </c>
    </row>
    <row r="636" spans="1:8" x14ac:dyDescent="0.25">
      <c r="A636" t="s">
        <v>1035</v>
      </c>
      <c r="B636" t="s">
        <v>1090</v>
      </c>
      <c r="C636" t="s">
        <v>1026</v>
      </c>
      <c r="D636" t="s">
        <v>1130</v>
      </c>
      <c r="E636" t="s">
        <v>1320</v>
      </c>
      <c r="F636" t="s">
        <v>1511</v>
      </c>
      <c r="G636" t="s">
        <v>1503</v>
      </c>
      <c r="H636" t="s">
        <v>3367</v>
      </c>
    </row>
    <row r="637" spans="1:8" x14ac:dyDescent="0.25">
      <c r="A637" t="s">
        <v>1091</v>
      </c>
      <c r="B637" t="s">
        <v>1209</v>
      </c>
      <c r="C637" t="s">
        <v>2811</v>
      </c>
      <c r="D637" t="s">
        <v>1131</v>
      </c>
      <c r="E637" t="s">
        <v>2840</v>
      </c>
      <c r="F637" t="s">
        <v>2882</v>
      </c>
      <c r="G637" t="s">
        <v>2387</v>
      </c>
      <c r="H637" t="s">
        <v>1237</v>
      </c>
    </row>
    <row r="638" spans="1:8" x14ac:dyDescent="0.25">
      <c r="A638" t="s">
        <v>1040</v>
      </c>
      <c r="B638" t="s">
        <v>2822</v>
      </c>
      <c r="C638" t="s">
        <v>1201</v>
      </c>
      <c r="D638" t="s">
        <v>1133</v>
      </c>
      <c r="E638" t="s">
        <v>1167</v>
      </c>
      <c r="F638" t="s">
        <v>2883</v>
      </c>
      <c r="G638" t="s">
        <v>1467</v>
      </c>
      <c r="H638" t="s">
        <v>1238</v>
      </c>
    </row>
    <row r="639" spans="1:8" x14ac:dyDescent="0.25">
      <c r="A639" t="s">
        <v>1042</v>
      </c>
      <c r="B639" t="s">
        <v>2823</v>
      </c>
      <c r="C639" t="s">
        <v>1203</v>
      </c>
      <c r="D639" t="s">
        <v>1135</v>
      </c>
      <c r="E639" t="s">
        <v>1149</v>
      </c>
      <c r="F639" t="s">
        <v>2884</v>
      </c>
      <c r="G639" t="s">
        <v>1470</v>
      </c>
      <c r="H639" t="s">
        <v>3117</v>
      </c>
    </row>
    <row r="640" spans="1:8" x14ac:dyDescent="0.25">
      <c r="A640" t="s">
        <v>1046</v>
      </c>
      <c r="B640" t="s">
        <v>3107</v>
      </c>
      <c r="C640" t="s">
        <v>1049</v>
      </c>
      <c r="D640" t="s">
        <v>1137</v>
      </c>
      <c r="E640" t="s">
        <v>1151</v>
      </c>
      <c r="F640" t="s">
        <v>2389</v>
      </c>
      <c r="G640" t="s">
        <v>1472</v>
      </c>
      <c r="H640" t="s">
        <v>3296</v>
      </c>
    </row>
    <row r="641" spans="1:8" x14ac:dyDescent="0.25">
      <c r="A641" t="s">
        <v>1262</v>
      </c>
      <c r="B641" t="s">
        <v>1074</v>
      </c>
      <c r="C641" t="s">
        <v>2354</v>
      </c>
      <c r="D641" t="s">
        <v>1138</v>
      </c>
      <c r="E641" t="s">
        <v>1153</v>
      </c>
      <c r="F641" t="s">
        <v>1512</v>
      </c>
      <c r="G641" t="s">
        <v>1473</v>
      </c>
      <c r="H641" t="s">
        <v>2861</v>
      </c>
    </row>
    <row r="642" spans="1:8" x14ac:dyDescent="0.25">
      <c r="A642" t="s">
        <v>1249</v>
      </c>
      <c r="B642" t="s">
        <v>2824</v>
      </c>
      <c r="C642" t="s">
        <v>2355</v>
      </c>
      <c r="D642" t="s">
        <v>1271</v>
      </c>
      <c r="E642" t="s">
        <v>1158</v>
      </c>
      <c r="F642" t="s">
        <v>1513</v>
      </c>
      <c r="G642" t="s">
        <v>1475</v>
      </c>
      <c r="H642" t="s">
        <v>3368</v>
      </c>
    </row>
    <row r="643" spans="1:8" x14ac:dyDescent="0.25">
      <c r="A643" t="s">
        <v>2816</v>
      </c>
      <c r="B643" t="s">
        <v>1117</v>
      </c>
      <c r="C643" t="s">
        <v>1029</v>
      </c>
      <c r="D643" t="s">
        <v>1310</v>
      </c>
      <c r="E643" t="s">
        <v>2841</v>
      </c>
      <c r="F643" t="s">
        <v>2885</v>
      </c>
      <c r="G643" t="s">
        <v>1479</v>
      </c>
      <c r="H643" t="s">
        <v>3369</v>
      </c>
    </row>
    <row r="644" spans="1:8" x14ac:dyDescent="0.25">
      <c r="A644" t="s">
        <v>2817</v>
      </c>
      <c r="B644" t="s">
        <v>2359</v>
      </c>
      <c r="C644" t="s">
        <v>1034</v>
      </c>
      <c r="D644" t="s">
        <v>1312</v>
      </c>
      <c r="E644" t="s">
        <v>2842</v>
      </c>
      <c r="F644" t="s">
        <v>2886</v>
      </c>
      <c r="G644" t="s">
        <v>1482</v>
      </c>
      <c r="H644" t="s">
        <v>1258</v>
      </c>
    </row>
    <row r="645" spans="1:8" x14ac:dyDescent="0.25">
      <c r="A645" t="s">
        <v>1048</v>
      </c>
      <c r="B645" t="s">
        <v>2360</v>
      </c>
      <c r="C645" t="s">
        <v>1005</v>
      </c>
      <c r="D645" t="s">
        <v>1140</v>
      </c>
      <c r="E645" t="s">
        <v>1335</v>
      </c>
      <c r="F645" t="s">
        <v>2887</v>
      </c>
      <c r="G645" t="s">
        <v>1483</v>
      </c>
      <c r="H645" t="s">
        <v>1261</v>
      </c>
    </row>
    <row r="646" spans="1:8" x14ac:dyDescent="0.25">
      <c r="A646" t="s">
        <v>1051</v>
      </c>
      <c r="B646" t="s">
        <v>1075</v>
      </c>
      <c r="C646" t="s">
        <v>1037</v>
      </c>
      <c r="D646" t="s">
        <v>1142</v>
      </c>
      <c r="E646" t="s">
        <v>2843</v>
      </c>
      <c r="F646" t="s">
        <v>1514</v>
      </c>
      <c r="G646" t="s">
        <v>1485</v>
      </c>
      <c r="H646" t="s">
        <v>1341</v>
      </c>
    </row>
    <row r="647" spans="1:8" x14ac:dyDescent="0.25">
      <c r="A647" t="s">
        <v>2818</v>
      </c>
      <c r="B647" t="s">
        <v>2361</v>
      </c>
      <c r="C647" t="s">
        <v>1163</v>
      </c>
      <c r="D647" t="s">
        <v>1143</v>
      </c>
      <c r="E647" t="s">
        <v>2844</v>
      </c>
      <c r="F647" t="s">
        <v>1515</v>
      </c>
      <c r="G647" t="s">
        <v>1486</v>
      </c>
      <c r="H647" t="s">
        <v>1239</v>
      </c>
    </row>
    <row r="648" spans="1:8" x14ac:dyDescent="0.25">
      <c r="A648" t="s">
        <v>1052</v>
      </c>
      <c r="B648" t="s">
        <v>2362</v>
      </c>
      <c r="C648" t="s">
        <v>1007</v>
      </c>
      <c r="D648" t="s">
        <v>1146</v>
      </c>
      <c r="E648" t="s">
        <v>1160</v>
      </c>
      <c r="F648" t="s">
        <v>2391</v>
      </c>
      <c r="G648" t="s">
        <v>1488</v>
      </c>
      <c r="H648" t="s">
        <v>3245</v>
      </c>
    </row>
    <row r="649" spans="1:8" x14ac:dyDescent="0.25">
      <c r="A649" t="s">
        <v>2819</v>
      </c>
      <c r="B649" t="s">
        <v>1245</v>
      </c>
      <c r="C649" t="s">
        <v>1009</v>
      </c>
      <c r="D649" t="s">
        <v>1148</v>
      </c>
      <c r="E649" t="s">
        <v>1161</v>
      </c>
      <c r="F649" t="s">
        <v>2392</v>
      </c>
      <c r="G649" t="s">
        <v>1490</v>
      </c>
      <c r="H649" t="s">
        <v>3246</v>
      </c>
    </row>
    <row r="650" spans="1:8" x14ac:dyDescent="0.25">
      <c r="A650" t="s">
        <v>2820</v>
      </c>
      <c r="B650" t="s">
        <v>1079</v>
      </c>
      <c r="C650" t="s">
        <v>1165</v>
      </c>
      <c r="D650" t="s">
        <v>1281</v>
      </c>
      <c r="E650" t="s">
        <v>1164</v>
      </c>
      <c r="F650" t="s">
        <v>1517</v>
      </c>
      <c r="G650" t="s">
        <v>1492</v>
      </c>
      <c r="H650" t="s">
        <v>3247</v>
      </c>
    </row>
    <row r="651" spans="1:8" x14ac:dyDescent="0.25">
      <c r="A651" t="s">
        <v>2821</v>
      </c>
      <c r="B651" t="s">
        <v>1080</v>
      </c>
      <c r="C651" t="s">
        <v>1152</v>
      </c>
      <c r="D651" t="s">
        <v>1320</v>
      </c>
      <c r="E651" t="s">
        <v>1166</v>
      </c>
      <c r="F651" t="s">
        <v>1519</v>
      </c>
      <c r="G651" t="s">
        <v>1494</v>
      </c>
      <c r="H651" t="s">
        <v>1259</v>
      </c>
    </row>
    <row r="652" spans="1:8" x14ac:dyDescent="0.25">
      <c r="A652" t="s">
        <v>1056</v>
      </c>
      <c r="B652" t="s">
        <v>3108</v>
      </c>
      <c r="C652" t="s">
        <v>2812</v>
      </c>
      <c r="D652" t="s">
        <v>1322</v>
      </c>
      <c r="E652" t="s">
        <v>1168</v>
      </c>
      <c r="F652" t="s">
        <v>1520</v>
      </c>
      <c r="G652" t="s">
        <v>1497</v>
      </c>
      <c r="H652" t="s">
        <v>1240</v>
      </c>
    </row>
    <row r="653" spans="1:8" x14ac:dyDescent="0.25">
      <c r="A653" t="s">
        <v>1107</v>
      </c>
      <c r="B653" t="s">
        <v>2825</v>
      </c>
      <c r="C653" t="s">
        <v>2813</v>
      </c>
      <c r="D653" t="s">
        <v>2840</v>
      </c>
      <c r="E653" t="s">
        <v>1169</v>
      </c>
      <c r="F653" t="s">
        <v>1521</v>
      </c>
      <c r="G653" t="s">
        <v>1498</v>
      </c>
      <c r="H653" t="s">
        <v>1241</v>
      </c>
    </row>
    <row r="654" spans="1:8" x14ac:dyDescent="0.25">
      <c r="A654" t="s">
        <v>1255</v>
      </c>
      <c r="B654" t="s">
        <v>1084</v>
      </c>
      <c r="C654" t="s">
        <v>1070</v>
      </c>
      <c r="D654" t="s">
        <v>1167</v>
      </c>
      <c r="E654" t="s">
        <v>1303</v>
      </c>
      <c r="F654" t="s">
        <v>1522</v>
      </c>
      <c r="G654" t="s">
        <v>1499</v>
      </c>
      <c r="H654" t="s">
        <v>3118</v>
      </c>
    </row>
    <row r="655" spans="1:8" x14ac:dyDescent="0.25">
      <c r="A655" t="s">
        <v>1060</v>
      </c>
      <c r="B655" t="s">
        <v>1088</v>
      </c>
      <c r="C655" t="s">
        <v>1157</v>
      </c>
      <c r="D655" t="s">
        <v>1149</v>
      </c>
      <c r="E655" t="s">
        <v>1305</v>
      </c>
      <c r="F655" t="s">
        <v>1523</v>
      </c>
      <c r="G655" t="s">
        <v>1500</v>
      </c>
      <c r="H655" t="s">
        <v>1242</v>
      </c>
    </row>
    <row r="656" spans="1:8" x14ac:dyDescent="0.25">
      <c r="A656" t="s">
        <v>1085</v>
      </c>
      <c r="B656" t="s">
        <v>1089</v>
      </c>
      <c r="C656" t="s">
        <v>1010</v>
      </c>
      <c r="D656" t="s">
        <v>1151</v>
      </c>
      <c r="E656" t="s">
        <v>2845</v>
      </c>
      <c r="F656" t="s">
        <v>1524</v>
      </c>
      <c r="G656" t="s">
        <v>1501</v>
      </c>
      <c r="H656" t="s">
        <v>1273</v>
      </c>
    </row>
    <row r="657" spans="1:8" x14ac:dyDescent="0.25">
      <c r="A657" t="s">
        <v>1090</v>
      </c>
      <c r="B657" t="s">
        <v>1094</v>
      </c>
      <c r="C657" t="s">
        <v>1011</v>
      </c>
      <c r="D657" t="s">
        <v>1153</v>
      </c>
      <c r="E657" t="s">
        <v>1170</v>
      </c>
      <c r="F657" t="s">
        <v>1525</v>
      </c>
      <c r="G657" t="s">
        <v>1502</v>
      </c>
      <c r="H657" t="s">
        <v>3297</v>
      </c>
    </row>
    <row r="658" spans="1:8" x14ac:dyDescent="0.25">
      <c r="A658" t="s">
        <v>1064</v>
      </c>
      <c r="B658" t="s">
        <v>1096</v>
      </c>
      <c r="C658" t="s">
        <v>1172</v>
      </c>
      <c r="D658" t="s">
        <v>1158</v>
      </c>
      <c r="E658" t="s">
        <v>1171</v>
      </c>
      <c r="F658" t="s">
        <v>1527</v>
      </c>
      <c r="G658" t="s">
        <v>1504</v>
      </c>
      <c r="H658" t="s">
        <v>1399</v>
      </c>
    </row>
    <row r="659" spans="1:8" x14ac:dyDescent="0.25">
      <c r="A659" t="s">
        <v>1209</v>
      </c>
      <c r="B659" t="s">
        <v>1101</v>
      </c>
      <c r="C659" t="s">
        <v>2814</v>
      </c>
      <c r="D659" t="s">
        <v>2841</v>
      </c>
      <c r="E659" t="s">
        <v>1173</v>
      </c>
      <c r="F659" t="s">
        <v>3127</v>
      </c>
      <c r="G659" t="s">
        <v>1507</v>
      </c>
      <c r="H659" t="s">
        <v>1333</v>
      </c>
    </row>
    <row r="660" spans="1:8" x14ac:dyDescent="0.25">
      <c r="A660" t="s">
        <v>2822</v>
      </c>
      <c r="B660" t="s">
        <v>1229</v>
      </c>
      <c r="C660" t="s">
        <v>1012</v>
      </c>
      <c r="D660" t="s">
        <v>2842</v>
      </c>
      <c r="E660" t="s">
        <v>1174</v>
      </c>
      <c r="F660" t="s">
        <v>1528</v>
      </c>
      <c r="G660" t="s">
        <v>1509</v>
      </c>
      <c r="H660" t="s">
        <v>1337</v>
      </c>
    </row>
    <row r="661" spans="1:8" x14ac:dyDescent="0.25">
      <c r="A661" t="s">
        <v>2823</v>
      </c>
      <c r="B661" t="s">
        <v>1103</v>
      </c>
      <c r="C661" t="s">
        <v>1159</v>
      </c>
      <c r="D661" t="s">
        <v>1335</v>
      </c>
      <c r="E661" t="s">
        <v>1175</v>
      </c>
      <c r="F661" t="s">
        <v>3128</v>
      </c>
      <c r="G661" t="s">
        <v>1511</v>
      </c>
      <c r="H661" t="s">
        <v>1340</v>
      </c>
    </row>
    <row r="662" spans="1:8" x14ac:dyDescent="0.25">
      <c r="A662" t="s">
        <v>1074</v>
      </c>
      <c r="B662" t="s">
        <v>2826</v>
      </c>
      <c r="C662" t="s">
        <v>2815</v>
      </c>
      <c r="D662" t="s">
        <v>2843</v>
      </c>
      <c r="E662" t="s">
        <v>2846</v>
      </c>
      <c r="F662" t="s">
        <v>1529</v>
      </c>
      <c r="G662" t="s">
        <v>2883</v>
      </c>
      <c r="H662" t="s">
        <v>1342</v>
      </c>
    </row>
    <row r="663" spans="1:8" x14ac:dyDescent="0.25">
      <c r="A663" t="s">
        <v>2824</v>
      </c>
      <c r="B663" t="s">
        <v>1105</v>
      </c>
      <c r="C663" t="s">
        <v>1014</v>
      </c>
      <c r="D663" t="s">
        <v>2844</v>
      </c>
      <c r="E663" t="s">
        <v>2847</v>
      </c>
      <c r="F663" t="s">
        <v>3129</v>
      </c>
      <c r="G663" t="s">
        <v>2884</v>
      </c>
      <c r="H663" t="s">
        <v>1354</v>
      </c>
    </row>
    <row r="664" spans="1:8" x14ac:dyDescent="0.25">
      <c r="A664" t="s">
        <v>1117</v>
      </c>
      <c r="B664" t="s">
        <v>1106</v>
      </c>
      <c r="C664" t="s">
        <v>1015</v>
      </c>
      <c r="D664" t="s">
        <v>1160</v>
      </c>
      <c r="E664" t="s">
        <v>1274</v>
      </c>
      <c r="F664" t="s">
        <v>1530</v>
      </c>
      <c r="G664" t="s">
        <v>1512</v>
      </c>
      <c r="H664" t="s">
        <v>1356</v>
      </c>
    </row>
    <row r="665" spans="1:8" x14ac:dyDescent="0.25">
      <c r="A665" t="s">
        <v>2359</v>
      </c>
      <c r="B665" t="s">
        <v>2827</v>
      </c>
      <c r="C665" t="s">
        <v>1016</v>
      </c>
      <c r="D665" t="s">
        <v>1161</v>
      </c>
      <c r="E665" t="s">
        <v>2848</v>
      </c>
      <c r="F665" t="s">
        <v>3258</v>
      </c>
      <c r="G665" t="s">
        <v>1513</v>
      </c>
      <c r="H665" t="s">
        <v>1357</v>
      </c>
    </row>
    <row r="666" spans="1:8" x14ac:dyDescent="0.25">
      <c r="A666" t="s">
        <v>2360</v>
      </c>
      <c r="B666" t="s">
        <v>2828</v>
      </c>
      <c r="C666" t="s">
        <v>1018</v>
      </c>
      <c r="D666" t="s">
        <v>1164</v>
      </c>
      <c r="E666" t="s">
        <v>1177</v>
      </c>
      <c r="F666" t="s">
        <v>1532</v>
      </c>
      <c r="G666" t="s">
        <v>2886</v>
      </c>
      <c r="H666" t="s">
        <v>1358</v>
      </c>
    </row>
    <row r="667" spans="1:8" x14ac:dyDescent="0.25">
      <c r="A667" t="s">
        <v>1075</v>
      </c>
      <c r="B667" t="s">
        <v>2829</v>
      </c>
      <c r="C667" t="s">
        <v>1019</v>
      </c>
      <c r="D667" t="s">
        <v>1166</v>
      </c>
      <c r="E667" t="s">
        <v>1176</v>
      </c>
      <c r="F667" t="s">
        <v>1533</v>
      </c>
      <c r="G667" t="s">
        <v>2887</v>
      </c>
      <c r="H667" t="s">
        <v>1360</v>
      </c>
    </row>
    <row r="668" spans="1:8" x14ac:dyDescent="0.25">
      <c r="A668" t="s">
        <v>2361</v>
      </c>
      <c r="B668" t="s">
        <v>3109</v>
      </c>
      <c r="C668" t="s">
        <v>1020</v>
      </c>
      <c r="D668" t="s">
        <v>1168</v>
      </c>
      <c r="E668" t="s">
        <v>1178</v>
      </c>
      <c r="F668" t="s">
        <v>1534</v>
      </c>
      <c r="G668" t="s">
        <v>1514</v>
      </c>
      <c r="H668" t="s">
        <v>3307</v>
      </c>
    </row>
    <row r="669" spans="1:8" x14ac:dyDescent="0.25">
      <c r="A669" t="s">
        <v>2362</v>
      </c>
      <c r="B669" t="s">
        <v>2830</v>
      </c>
      <c r="C669" t="s">
        <v>1023</v>
      </c>
      <c r="D669" t="s">
        <v>1169</v>
      </c>
      <c r="E669" t="s">
        <v>1179</v>
      </c>
      <c r="F669" t="s">
        <v>1536</v>
      </c>
      <c r="G669" t="s">
        <v>1515</v>
      </c>
      <c r="H669" t="s">
        <v>1408</v>
      </c>
    </row>
    <row r="670" spans="1:8" x14ac:dyDescent="0.25">
      <c r="A670" t="s">
        <v>1245</v>
      </c>
      <c r="B670" t="s">
        <v>2831</v>
      </c>
      <c r="C670" t="s">
        <v>1024</v>
      </c>
      <c r="D670" t="s">
        <v>1303</v>
      </c>
      <c r="E670" t="s">
        <v>1180</v>
      </c>
      <c r="F670" t="s">
        <v>1537</v>
      </c>
      <c r="G670" t="s">
        <v>3085</v>
      </c>
      <c r="H670" t="s">
        <v>1369</v>
      </c>
    </row>
    <row r="671" spans="1:8" x14ac:dyDescent="0.25">
      <c r="A671" t="s">
        <v>1078</v>
      </c>
      <c r="B671" t="s">
        <v>3110</v>
      </c>
      <c r="C671" t="s">
        <v>1025</v>
      </c>
      <c r="D671" t="s">
        <v>1305</v>
      </c>
      <c r="E671" t="s">
        <v>1284</v>
      </c>
      <c r="F671" t="s">
        <v>1538</v>
      </c>
      <c r="G671" t="s">
        <v>2391</v>
      </c>
      <c r="H671" t="s">
        <v>1371</v>
      </c>
    </row>
    <row r="672" spans="1:8" x14ac:dyDescent="0.25">
      <c r="A672" t="s">
        <v>1079</v>
      </c>
      <c r="B672" t="s">
        <v>1109</v>
      </c>
      <c r="C672" t="s">
        <v>2357</v>
      </c>
      <c r="D672" t="s">
        <v>2845</v>
      </c>
      <c r="E672" t="s">
        <v>1186</v>
      </c>
      <c r="F672" t="s">
        <v>1539</v>
      </c>
      <c r="G672" t="s">
        <v>2392</v>
      </c>
      <c r="H672" t="s">
        <v>1372</v>
      </c>
    </row>
    <row r="673" spans="1:8" x14ac:dyDescent="0.25">
      <c r="A673" t="s">
        <v>1080</v>
      </c>
      <c r="B673" t="s">
        <v>1110</v>
      </c>
      <c r="C673" t="s">
        <v>2358</v>
      </c>
      <c r="D673" t="s">
        <v>1170</v>
      </c>
      <c r="E673" t="s">
        <v>1182</v>
      </c>
      <c r="F673" t="s">
        <v>1540</v>
      </c>
      <c r="G673" t="s">
        <v>1517</v>
      </c>
      <c r="H673" t="s">
        <v>1373</v>
      </c>
    </row>
    <row r="674" spans="1:8" x14ac:dyDescent="0.25">
      <c r="A674" t="s">
        <v>1081</v>
      </c>
      <c r="B674" t="s">
        <v>1111</v>
      </c>
      <c r="C674" t="s">
        <v>3084</v>
      </c>
      <c r="D674" t="s">
        <v>1171</v>
      </c>
      <c r="E674" t="s">
        <v>1347</v>
      </c>
      <c r="F674" t="s">
        <v>1541</v>
      </c>
      <c r="G674" t="s">
        <v>1519</v>
      </c>
      <c r="H674" t="s">
        <v>3358</v>
      </c>
    </row>
    <row r="675" spans="1:8" x14ac:dyDescent="0.25">
      <c r="A675" t="s">
        <v>2825</v>
      </c>
      <c r="B675" t="s">
        <v>2833</v>
      </c>
      <c r="C675" t="s">
        <v>1027</v>
      </c>
      <c r="D675" t="s">
        <v>1174</v>
      </c>
      <c r="E675" t="s">
        <v>1287</v>
      </c>
      <c r="F675" t="s">
        <v>1542</v>
      </c>
      <c r="G675" t="s">
        <v>1520</v>
      </c>
      <c r="H675" t="s">
        <v>1384</v>
      </c>
    </row>
    <row r="676" spans="1:8" x14ac:dyDescent="0.25">
      <c r="A676" t="s">
        <v>1084</v>
      </c>
      <c r="B676" t="s">
        <v>2834</v>
      </c>
      <c r="C676" t="s">
        <v>1028</v>
      </c>
      <c r="D676" t="s">
        <v>1175</v>
      </c>
      <c r="E676" t="s">
        <v>1185</v>
      </c>
      <c r="F676" t="s">
        <v>1544</v>
      </c>
      <c r="G676" t="s">
        <v>1521</v>
      </c>
      <c r="H676" t="s">
        <v>1386</v>
      </c>
    </row>
    <row r="677" spans="1:8" x14ac:dyDescent="0.25">
      <c r="A677" t="s">
        <v>1088</v>
      </c>
      <c r="B677" t="s">
        <v>3111</v>
      </c>
      <c r="C677" t="s">
        <v>1030</v>
      </c>
      <c r="D677" t="s">
        <v>2847</v>
      </c>
      <c r="E677" t="s">
        <v>1187</v>
      </c>
      <c r="F677" t="s">
        <v>1545</v>
      </c>
      <c r="G677" t="s">
        <v>1522</v>
      </c>
      <c r="H677" t="s">
        <v>3352</v>
      </c>
    </row>
    <row r="678" spans="1:8" x14ac:dyDescent="0.25">
      <c r="A678" t="s">
        <v>1089</v>
      </c>
      <c r="B678" t="s">
        <v>3112</v>
      </c>
      <c r="C678" t="s">
        <v>1032</v>
      </c>
      <c r="D678" t="s">
        <v>1274</v>
      </c>
      <c r="E678" t="s">
        <v>1188</v>
      </c>
      <c r="F678" t="s">
        <v>1547</v>
      </c>
      <c r="G678" t="s">
        <v>1523</v>
      </c>
      <c r="H678" t="s">
        <v>3165</v>
      </c>
    </row>
    <row r="679" spans="1:8" x14ac:dyDescent="0.25">
      <c r="A679" t="s">
        <v>1094</v>
      </c>
      <c r="B679" t="s">
        <v>1125</v>
      </c>
      <c r="C679" t="s">
        <v>1033</v>
      </c>
      <c r="D679" t="s">
        <v>2848</v>
      </c>
      <c r="E679" t="s">
        <v>1196</v>
      </c>
      <c r="F679" t="s">
        <v>1548</v>
      </c>
      <c r="G679" t="s">
        <v>1524</v>
      </c>
      <c r="H679" t="s">
        <v>2375</v>
      </c>
    </row>
    <row r="680" spans="1:8" x14ac:dyDescent="0.25">
      <c r="A680" t="s">
        <v>1096</v>
      </c>
      <c r="B680" t="s">
        <v>1127</v>
      </c>
      <c r="C680" t="s">
        <v>1035</v>
      </c>
      <c r="D680" t="s">
        <v>1177</v>
      </c>
      <c r="E680" t="s">
        <v>1199</v>
      </c>
      <c r="F680" t="s">
        <v>1549</v>
      </c>
      <c r="G680" t="s">
        <v>1525</v>
      </c>
      <c r="H680" t="s">
        <v>2376</v>
      </c>
    </row>
    <row r="681" spans="1:8" x14ac:dyDescent="0.25">
      <c r="A681" t="s">
        <v>1101</v>
      </c>
      <c r="B681" t="s">
        <v>1264</v>
      </c>
      <c r="C681" t="s">
        <v>1091</v>
      </c>
      <c r="D681" t="s">
        <v>1176</v>
      </c>
      <c r="E681" t="s">
        <v>1190</v>
      </c>
      <c r="F681" t="s">
        <v>3130</v>
      </c>
      <c r="G681" t="s">
        <v>1527</v>
      </c>
      <c r="H681" t="s">
        <v>2873</v>
      </c>
    </row>
    <row r="682" spans="1:8" x14ac:dyDescent="0.25">
      <c r="A682" t="s">
        <v>1229</v>
      </c>
      <c r="B682" t="s">
        <v>1266</v>
      </c>
      <c r="C682" t="s">
        <v>1040</v>
      </c>
      <c r="D682" t="s">
        <v>1179</v>
      </c>
      <c r="E682" t="s">
        <v>1191</v>
      </c>
      <c r="F682" t="s">
        <v>1550</v>
      </c>
      <c r="G682" t="s">
        <v>3127</v>
      </c>
      <c r="H682" t="s">
        <v>3353</v>
      </c>
    </row>
    <row r="683" spans="1:8" x14ac:dyDescent="0.25">
      <c r="A683" t="s">
        <v>1103</v>
      </c>
      <c r="B683" t="s">
        <v>2836</v>
      </c>
      <c r="C683" t="s">
        <v>1042</v>
      </c>
      <c r="D683" t="s">
        <v>1180</v>
      </c>
      <c r="E683" t="s">
        <v>1194</v>
      </c>
      <c r="F683" t="s">
        <v>2888</v>
      </c>
      <c r="G683" t="s">
        <v>1528</v>
      </c>
      <c r="H683" t="s">
        <v>3354</v>
      </c>
    </row>
    <row r="684" spans="1:8" x14ac:dyDescent="0.25">
      <c r="A684" t="s">
        <v>2826</v>
      </c>
      <c r="B684" t="s">
        <v>1268</v>
      </c>
      <c r="C684" t="s">
        <v>1193</v>
      </c>
      <c r="D684" t="s">
        <v>1284</v>
      </c>
      <c r="E684" t="s">
        <v>1197</v>
      </c>
      <c r="F684" t="s">
        <v>1551</v>
      </c>
      <c r="G684" t="s">
        <v>3128</v>
      </c>
      <c r="H684" t="s">
        <v>2378</v>
      </c>
    </row>
    <row r="685" spans="1:8" x14ac:dyDescent="0.25">
      <c r="A685" t="s">
        <v>1105</v>
      </c>
      <c r="B685" t="s">
        <v>1270</v>
      </c>
      <c r="C685" t="s">
        <v>1045</v>
      </c>
      <c r="D685" t="s">
        <v>1186</v>
      </c>
      <c r="E685" t="s">
        <v>1200</v>
      </c>
      <c r="F685" t="s">
        <v>1552</v>
      </c>
      <c r="G685" t="s">
        <v>1529</v>
      </c>
      <c r="H685" t="s">
        <v>2379</v>
      </c>
    </row>
    <row r="686" spans="1:8" x14ac:dyDescent="0.25">
      <c r="A686" t="s">
        <v>1106</v>
      </c>
      <c r="B686" t="s">
        <v>1112</v>
      </c>
      <c r="C686" t="s">
        <v>1046</v>
      </c>
      <c r="D686" t="s">
        <v>1182</v>
      </c>
      <c r="E686" t="s">
        <v>1210</v>
      </c>
      <c r="F686" t="s">
        <v>1553</v>
      </c>
      <c r="G686" t="s">
        <v>3129</v>
      </c>
      <c r="H686" t="s">
        <v>1416</v>
      </c>
    </row>
    <row r="687" spans="1:8" x14ac:dyDescent="0.25">
      <c r="A687" t="s">
        <v>1108</v>
      </c>
      <c r="B687" t="s">
        <v>1113</v>
      </c>
      <c r="C687" t="s">
        <v>1262</v>
      </c>
      <c r="D687" t="s">
        <v>1347</v>
      </c>
      <c r="E687" t="s">
        <v>1202</v>
      </c>
      <c r="F687" t="s">
        <v>1554</v>
      </c>
      <c r="G687" t="s">
        <v>1530</v>
      </c>
      <c r="H687" t="s">
        <v>2874</v>
      </c>
    </row>
    <row r="688" spans="1:8" x14ac:dyDescent="0.25">
      <c r="A688" t="s">
        <v>2827</v>
      </c>
      <c r="B688" t="s">
        <v>1114</v>
      </c>
      <c r="C688" t="s">
        <v>1249</v>
      </c>
      <c r="D688" t="s">
        <v>1287</v>
      </c>
      <c r="E688" t="s">
        <v>2849</v>
      </c>
      <c r="F688" t="s">
        <v>1584</v>
      </c>
      <c r="G688" t="s">
        <v>1532</v>
      </c>
      <c r="H688" t="s">
        <v>2875</v>
      </c>
    </row>
    <row r="689" spans="1:8" x14ac:dyDescent="0.25">
      <c r="A689" t="s">
        <v>2828</v>
      </c>
      <c r="B689" t="s">
        <v>1119</v>
      </c>
      <c r="C689" t="s">
        <v>2817</v>
      </c>
      <c r="D689" t="s">
        <v>1185</v>
      </c>
      <c r="E689" t="s">
        <v>2850</v>
      </c>
      <c r="F689" t="s">
        <v>1556</v>
      </c>
      <c r="G689" t="s">
        <v>1533</v>
      </c>
      <c r="H689" t="s">
        <v>2876</v>
      </c>
    </row>
    <row r="690" spans="1:8" x14ac:dyDescent="0.25">
      <c r="A690" t="s">
        <v>2829</v>
      </c>
      <c r="B690" t="s">
        <v>1120</v>
      </c>
      <c r="C690" t="s">
        <v>1048</v>
      </c>
      <c r="D690" t="s">
        <v>1187</v>
      </c>
      <c r="E690" t="s">
        <v>1213</v>
      </c>
      <c r="F690" t="s">
        <v>2891</v>
      </c>
      <c r="G690" t="s">
        <v>1534</v>
      </c>
      <c r="H690" t="s">
        <v>3355</v>
      </c>
    </row>
    <row r="691" spans="1:8" x14ac:dyDescent="0.25">
      <c r="A691" t="s">
        <v>2830</v>
      </c>
      <c r="B691" t="s">
        <v>2837</v>
      </c>
      <c r="C691" t="s">
        <v>1051</v>
      </c>
      <c r="D691" t="s">
        <v>1188</v>
      </c>
      <c r="E691" t="s">
        <v>1215</v>
      </c>
      <c r="F691" t="s">
        <v>1557</v>
      </c>
      <c r="G691" t="s">
        <v>1536</v>
      </c>
      <c r="H691" t="s">
        <v>3170</v>
      </c>
    </row>
    <row r="692" spans="1:8" x14ac:dyDescent="0.25">
      <c r="A692" t="s">
        <v>2831</v>
      </c>
      <c r="B692" t="s">
        <v>2838</v>
      </c>
      <c r="C692" t="s">
        <v>2818</v>
      </c>
      <c r="D692" t="s">
        <v>1196</v>
      </c>
      <c r="E692" t="s">
        <v>1205</v>
      </c>
      <c r="F692" t="s">
        <v>1561</v>
      </c>
      <c r="G692" t="s">
        <v>1537</v>
      </c>
      <c r="H692" t="s">
        <v>2382</v>
      </c>
    </row>
    <row r="693" spans="1:8" x14ac:dyDescent="0.25">
      <c r="A693" t="s">
        <v>2832</v>
      </c>
      <c r="B693" t="s">
        <v>1222</v>
      </c>
      <c r="C693" t="s">
        <v>1052</v>
      </c>
      <c r="D693" t="s">
        <v>1199</v>
      </c>
      <c r="E693" t="s">
        <v>1206</v>
      </c>
      <c r="F693" t="s">
        <v>1562</v>
      </c>
      <c r="G693" t="s">
        <v>1538</v>
      </c>
      <c r="H693" t="s">
        <v>1418</v>
      </c>
    </row>
    <row r="694" spans="1:8" x14ac:dyDescent="0.25">
      <c r="A694" t="s">
        <v>1109</v>
      </c>
      <c r="B694" t="s">
        <v>1280</v>
      </c>
      <c r="C694" t="s">
        <v>3106</v>
      </c>
      <c r="D694" t="s">
        <v>1190</v>
      </c>
      <c r="E694" t="s">
        <v>1207</v>
      </c>
      <c r="F694" t="s">
        <v>1563</v>
      </c>
      <c r="G694" t="s">
        <v>1539</v>
      </c>
      <c r="H694" t="s">
        <v>1422</v>
      </c>
    </row>
    <row r="695" spans="1:8" x14ac:dyDescent="0.25">
      <c r="A695" t="s">
        <v>1110</v>
      </c>
      <c r="B695" t="s">
        <v>1224</v>
      </c>
      <c r="C695" t="s">
        <v>2819</v>
      </c>
      <c r="D695" t="s">
        <v>1191</v>
      </c>
      <c r="E695" t="s">
        <v>2851</v>
      </c>
      <c r="F695" t="s">
        <v>1605</v>
      </c>
      <c r="G695" t="s">
        <v>1540</v>
      </c>
      <c r="H695" t="s">
        <v>1425</v>
      </c>
    </row>
    <row r="696" spans="1:8" x14ac:dyDescent="0.25">
      <c r="A696" t="s">
        <v>1111</v>
      </c>
      <c r="B696" t="s">
        <v>1121</v>
      </c>
      <c r="C696" t="s">
        <v>2820</v>
      </c>
      <c r="D696" t="s">
        <v>1194</v>
      </c>
      <c r="E696" t="s">
        <v>2852</v>
      </c>
      <c r="F696" t="s">
        <v>2401</v>
      </c>
      <c r="G696" t="s">
        <v>1541</v>
      </c>
      <c r="H696" t="s">
        <v>1429</v>
      </c>
    </row>
    <row r="697" spans="1:8" x14ac:dyDescent="0.25">
      <c r="A697" t="s">
        <v>2833</v>
      </c>
      <c r="B697" t="s">
        <v>1124</v>
      </c>
      <c r="C697" t="s">
        <v>2821</v>
      </c>
      <c r="D697" t="s">
        <v>1197</v>
      </c>
      <c r="E697" t="s">
        <v>2853</v>
      </c>
      <c r="F697" t="s">
        <v>2402</v>
      </c>
      <c r="G697" t="s">
        <v>1542</v>
      </c>
      <c r="H697" t="s">
        <v>1446</v>
      </c>
    </row>
    <row r="698" spans="1:8" x14ac:dyDescent="0.25">
      <c r="A698" t="s">
        <v>2834</v>
      </c>
      <c r="B698" t="s">
        <v>1126</v>
      </c>
      <c r="C698" t="s">
        <v>1056</v>
      </c>
      <c r="D698" t="s">
        <v>1200</v>
      </c>
      <c r="E698" t="s">
        <v>1208</v>
      </c>
      <c r="F698" t="s">
        <v>1566</v>
      </c>
      <c r="G698" t="s">
        <v>1544</v>
      </c>
      <c r="H698" t="s">
        <v>1451</v>
      </c>
    </row>
    <row r="699" spans="1:8" x14ac:dyDescent="0.25">
      <c r="A699" t="s">
        <v>2835</v>
      </c>
      <c r="B699" t="s">
        <v>1128</v>
      </c>
      <c r="C699" t="s">
        <v>1107</v>
      </c>
      <c r="D699" t="s">
        <v>1210</v>
      </c>
      <c r="E699" t="s">
        <v>1211</v>
      </c>
      <c r="F699" t="s">
        <v>1568</v>
      </c>
      <c r="G699" t="s">
        <v>1545</v>
      </c>
      <c r="H699" t="s">
        <v>1462</v>
      </c>
    </row>
    <row r="700" spans="1:8" x14ac:dyDescent="0.25">
      <c r="A700" t="s">
        <v>1125</v>
      </c>
      <c r="B700" t="s">
        <v>1129</v>
      </c>
      <c r="C700" t="s">
        <v>1255</v>
      </c>
      <c r="D700" t="s">
        <v>1202</v>
      </c>
      <c r="E700" t="s">
        <v>1212</v>
      </c>
      <c r="F700" t="s">
        <v>2892</v>
      </c>
      <c r="G700" t="s">
        <v>1547</v>
      </c>
      <c r="H700" t="s">
        <v>1431</v>
      </c>
    </row>
    <row r="701" spans="1:8" x14ac:dyDescent="0.25">
      <c r="A701" t="s">
        <v>1127</v>
      </c>
      <c r="B701" t="s">
        <v>1292</v>
      </c>
      <c r="C701" t="s">
        <v>1060</v>
      </c>
      <c r="D701" t="s">
        <v>2849</v>
      </c>
      <c r="E701" t="s">
        <v>2854</v>
      </c>
      <c r="F701" t="s">
        <v>1570</v>
      </c>
      <c r="G701" t="s">
        <v>1548</v>
      </c>
      <c r="H701" t="s">
        <v>1434</v>
      </c>
    </row>
    <row r="702" spans="1:8" x14ac:dyDescent="0.25">
      <c r="A702" t="s">
        <v>1264</v>
      </c>
      <c r="B702" t="s">
        <v>2839</v>
      </c>
      <c r="C702" t="s">
        <v>1085</v>
      </c>
      <c r="D702" t="s">
        <v>2850</v>
      </c>
      <c r="E702" t="s">
        <v>1225</v>
      </c>
      <c r="F702" t="s">
        <v>1571</v>
      </c>
      <c r="G702" t="s">
        <v>1549</v>
      </c>
      <c r="H702" t="s">
        <v>1437</v>
      </c>
    </row>
    <row r="703" spans="1:8" x14ac:dyDescent="0.25">
      <c r="A703" t="s">
        <v>1266</v>
      </c>
      <c r="B703" t="s">
        <v>1294</v>
      </c>
      <c r="C703" t="s">
        <v>1090</v>
      </c>
      <c r="D703" t="s">
        <v>1213</v>
      </c>
      <c r="E703" t="s">
        <v>1227</v>
      </c>
      <c r="F703" t="s">
        <v>2405</v>
      </c>
      <c r="G703" t="s">
        <v>2398</v>
      </c>
      <c r="H703" t="s">
        <v>1440</v>
      </c>
    </row>
    <row r="704" spans="1:8" x14ac:dyDescent="0.25">
      <c r="A704" t="s">
        <v>2836</v>
      </c>
      <c r="B704" t="s">
        <v>1130</v>
      </c>
      <c r="C704" t="s">
        <v>1209</v>
      </c>
      <c r="D704" t="s">
        <v>1206</v>
      </c>
      <c r="E704" t="s">
        <v>1230</v>
      </c>
      <c r="F704" t="s">
        <v>1572</v>
      </c>
      <c r="G704" t="s">
        <v>3130</v>
      </c>
      <c r="H704" t="s">
        <v>1442</v>
      </c>
    </row>
    <row r="705" spans="1:8" x14ac:dyDescent="0.25">
      <c r="A705" t="s">
        <v>1268</v>
      </c>
      <c r="B705" t="s">
        <v>1131</v>
      </c>
      <c r="C705" t="s">
        <v>2822</v>
      </c>
      <c r="D705" t="s">
        <v>1207</v>
      </c>
      <c r="E705" t="s">
        <v>1214</v>
      </c>
      <c r="F705" t="s">
        <v>1574</v>
      </c>
      <c r="G705" t="s">
        <v>1550</v>
      </c>
      <c r="H705" t="s">
        <v>1453</v>
      </c>
    </row>
    <row r="706" spans="1:8" x14ac:dyDescent="0.25">
      <c r="A706" t="s">
        <v>1270</v>
      </c>
      <c r="B706" t="s">
        <v>1133</v>
      </c>
      <c r="C706" t="s">
        <v>2823</v>
      </c>
      <c r="D706" t="s">
        <v>2851</v>
      </c>
      <c r="E706" t="s">
        <v>1216</v>
      </c>
      <c r="F706" t="s">
        <v>1576</v>
      </c>
      <c r="G706" t="s">
        <v>2888</v>
      </c>
      <c r="H706" t="s">
        <v>1463</v>
      </c>
    </row>
    <row r="707" spans="1:8" x14ac:dyDescent="0.25">
      <c r="A707" t="s">
        <v>1112</v>
      </c>
      <c r="B707" t="s">
        <v>1135</v>
      </c>
      <c r="C707" t="s">
        <v>1074</v>
      </c>
      <c r="D707" t="s">
        <v>2852</v>
      </c>
      <c r="E707" t="s">
        <v>1234</v>
      </c>
      <c r="F707" t="s">
        <v>1577</v>
      </c>
      <c r="G707" t="s">
        <v>1551</v>
      </c>
      <c r="H707" t="s">
        <v>1459</v>
      </c>
    </row>
    <row r="708" spans="1:8" x14ac:dyDescent="0.25">
      <c r="A708" t="s">
        <v>1113</v>
      </c>
      <c r="B708" t="s">
        <v>1137</v>
      </c>
      <c r="C708" t="s">
        <v>2824</v>
      </c>
      <c r="D708" t="s">
        <v>2853</v>
      </c>
      <c r="E708" t="s">
        <v>1236</v>
      </c>
      <c r="F708" t="s">
        <v>1578</v>
      </c>
      <c r="G708" t="s">
        <v>1552</v>
      </c>
      <c r="H708" t="s">
        <v>1443</v>
      </c>
    </row>
    <row r="709" spans="1:8" x14ac:dyDescent="0.25">
      <c r="A709" t="s">
        <v>1114</v>
      </c>
      <c r="B709" t="s">
        <v>1138</v>
      </c>
      <c r="C709" t="s">
        <v>1117</v>
      </c>
      <c r="D709" t="s">
        <v>1208</v>
      </c>
      <c r="E709" t="s">
        <v>1355</v>
      </c>
      <c r="F709" t="s">
        <v>1579</v>
      </c>
      <c r="G709" t="s">
        <v>1553</v>
      </c>
      <c r="H709" t="s">
        <v>1444</v>
      </c>
    </row>
    <row r="710" spans="1:8" x14ac:dyDescent="0.25">
      <c r="A710" t="s">
        <v>1115</v>
      </c>
      <c r="B710" t="s">
        <v>1271</v>
      </c>
      <c r="C710" t="s">
        <v>2359</v>
      </c>
      <c r="D710" t="s">
        <v>1211</v>
      </c>
      <c r="E710" t="s">
        <v>1323</v>
      </c>
      <c r="F710" t="s">
        <v>1580</v>
      </c>
      <c r="G710" t="s">
        <v>1554</v>
      </c>
      <c r="H710" t="s">
        <v>1445</v>
      </c>
    </row>
    <row r="711" spans="1:8" x14ac:dyDescent="0.25">
      <c r="A711" t="s">
        <v>1116</v>
      </c>
      <c r="B711" t="s">
        <v>1310</v>
      </c>
      <c r="C711" t="s">
        <v>2360</v>
      </c>
      <c r="D711" t="s">
        <v>1212</v>
      </c>
      <c r="E711" t="s">
        <v>1383</v>
      </c>
      <c r="F711" t="s">
        <v>2406</v>
      </c>
      <c r="G711" t="s">
        <v>1584</v>
      </c>
      <c r="H711" t="s">
        <v>1447</v>
      </c>
    </row>
    <row r="712" spans="1:8" x14ac:dyDescent="0.25">
      <c r="A712" t="s">
        <v>1119</v>
      </c>
      <c r="B712" t="s">
        <v>1312</v>
      </c>
      <c r="C712" t="s">
        <v>1075</v>
      </c>
      <c r="D712" t="s">
        <v>2854</v>
      </c>
      <c r="E712" t="s">
        <v>1217</v>
      </c>
      <c r="F712" t="s">
        <v>3301</v>
      </c>
      <c r="G712" t="s">
        <v>1556</v>
      </c>
      <c r="H712" t="s">
        <v>1469</v>
      </c>
    </row>
    <row r="713" spans="1:8" x14ac:dyDescent="0.25">
      <c r="A713" t="s">
        <v>1120</v>
      </c>
      <c r="B713" t="s">
        <v>1140</v>
      </c>
      <c r="C713" t="s">
        <v>2361</v>
      </c>
      <c r="D713" t="s">
        <v>1225</v>
      </c>
      <c r="E713" t="s">
        <v>3238</v>
      </c>
      <c r="F713" t="s">
        <v>3319</v>
      </c>
      <c r="G713" t="s">
        <v>1557</v>
      </c>
      <c r="H713" t="s">
        <v>1474</v>
      </c>
    </row>
    <row r="714" spans="1:8" x14ac:dyDescent="0.25">
      <c r="A714" t="s">
        <v>2837</v>
      </c>
      <c r="B714" t="s">
        <v>1142</v>
      </c>
      <c r="C714" t="s">
        <v>2362</v>
      </c>
      <c r="D714" t="s">
        <v>1227</v>
      </c>
      <c r="E714" t="s">
        <v>1218</v>
      </c>
      <c r="F714" t="s">
        <v>1581</v>
      </c>
      <c r="G714" t="s">
        <v>1561</v>
      </c>
      <c r="H714" t="s">
        <v>1478</v>
      </c>
    </row>
    <row r="715" spans="1:8" x14ac:dyDescent="0.25">
      <c r="A715" t="s">
        <v>2838</v>
      </c>
      <c r="B715" t="s">
        <v>1143</v>
      </c>
      <c r="C715" t="s">
        <v>1078</v>
      </c>
      <c r="D715" t="s">
        <v>1214</v>
      </c>
      <c r="E715" t="s">
        <v>1220</v>
      </c>
      <c r="F715" t="s">
        <v>1582</v>
      </c>
      <c r="G715" t="s">
        <v>1562</v>
      </c>
      <c r="H715" t="s">
        <v>1448</v>
      </c>
    </row>
    <row r="716" spans="1:8" x14ac:dyDescent="0.25">
      <c r="A716" t="s">
        <v>1222</v>
      </c>
      <c r="B716" t="s">
        <v>1146</v>
      </c>
      <c r="C716" t="s">
        <v>1079</v>
      </c>
      <c r="D716" t="s">
        <v>1216</v>
      </c>
      <c r="E716" t="s">
        <v>1221</v>
      </c>
      <c r="F716" t="s">
        <v>1583</v>
      </c>
      <c r="G716" t="s">
        <v>1563</v>
      </c>
      <c r="H716" t="s">
        <v>1449</v>
      </c>
    </row>
    <row r="717" spans="1:8" x14ac:dyDescent="0.25">
      <c r="A717" t="s">
        <v>1280</v>
      </c>
      <c r="B717" t="s">
        <v>1148</v>
      </c>
      <c r="C717" t="s">
        <v>1080</v>
      </c>
      <c r="D717" t="s">
        <v>1234</v>
      </c>
      <c r="E717" t="s">
        <v>1226</v>
      </c>
      <c r="F717" t="s">
        <v>3320</v>
      </c>
      <c r="G717" t="s">
        <v>1605</v>
      </c>
      <c r="H717" t="s">
        <v>1452</v>
      </c>
    </row>
    <row r="718" spans="1:8" x14ac:dyDescent="0.25">
      <c r="A718" t="s">
        <v>1224</v>
      </c>
      <c r="B718" t="s">
        <v>1281</v>
      </c>
      <c r="C718" t="s">
        <v>1081</v>
      </c>
      <c r="D718" t="s">
        <v>1236</v>
      </c>
      <c r="E718" t="s">
        <v>3229</v>
      </c>
      <c r="F718" t="s">
        <v>2893</v>
      </c>
      <c r="G718" t="s">
        <v>2402</v>
      </c>
      <c r="H718" t="s">
        <v>2878</v>
      </c>
    </row>
    <row r="719" spans="1:8" x14ac:dyDescent="0.25">
      <c r="A719" t="s">
        <v>1121</v>
      </c>
      <c r="B719" t="s">
        <v>1322</v>
      </c>
      <c r="C719" t="s">
        <v>2825</v>
      </c>
      <c r="D719" t="s">
        <v>1355</v>
      </c>
      <c r="E719" t="s">
        <v>3274</v>
      </c>
      <c r="F719" t="s">
        <v>2895</v>
      </c>
      <c r="G719" t="s">
        <v>1566</v>
      </c>
      <c r="H719" t="s">
        <v>2879</v>
      </c>
    </row>
    <row r="720" spans="1:8" x14ac:dyDescent="0.25">
      <c r="A720" t="s">
        <v>1124</v>
      </c>
      <c r="B720" t="s">
        <v>2840</v>
      </c>
      <c r="C720" t="s">
        <v>1084</v>
      </c>
      <c r="D720" t="s">
        <v>1323</v>
      </c>
      <c r="E720" t="s">
        <v>3291</v>
      </c>
      <c r="F720" t="s">
        <v>2897</v>
      </c>
      <c r="G720" t="s">
        <v>1568</v>
      </c>
      <c r="H720" t="s">
        <v>1480</v>
      </c>
    </row>
    <row r="721" spans="1:8" x14ac:dyDescent="0.25">
      <c r="A721" t="s">
        <v>1126</v>
      </c>
      <c r="B721" t="s">
        <v>1167</v>
      </c>
      <c r="C721" t="s">
        <v>1088</v>
      </c>
      <c r="D721" t="s">
        <v>1217</v>
      </c>
      <c r="E721" t="s">
        <v>1247</v>
      </c>
      <c r="F721" t="s">
        <v>2898</v>
      </c>
      <c r="G721" t="s">
        <v>2892</v>
      </c>
      <c r="H721" t="s">
        <v>1455</v>
      </c>
    </row>
    <row r="722" spans="1:8" x14ac:dyDescent="0.25">
      <c r="A722" t="s">
        <v>1128</v>
      </c>
      <c r="B722" t="s">
        <v>1149</v>
      </c>
      <c r="C722" t="s">
        <v>1089</v>
      </c>
      <c r="D722" t="s">
        <v>3238</v>
      </c>
      <c r="E722" t="s">
        <v>1231</v>
      </c>
      <c r="F722" t="s">
        <v>1585</v>
      </c>
      <c r="G722" t="s">
        <v>1570</v>
      </c>
      <c r="H722" t="s">
        <v>1457</v>
      </c>
    </row>
    <row r="723" spans="1:8" x14ac:dyDescent="0.25">
      <c r="A723" t="s">
        <v>1129</v>
      </c>
      <c r="B723" t="s">
        <v>1151</v>
      </c>
      <c r="C723" t="s">
        <v>1094</v>
      </c>
      <c r="D723" t="s">
        <v>1218</v>
      </c>
      <c r="E723" t="s">
        <v>1232</v>
      </c>
      <c r="F723" t="s">
        <v>1588</v>
      </c>
      <c r="G723" t="s">
        <v>1571</v>
      </c>
      <c r="H723" t="s">
        <v>1458</v>
      </c>
    </row>
    <row r="724" spans="1:8" x14ac:dyDescent="0.25">
      <c r="A724" t="s">
        <v>1292</v>
      </c>
      <c r="B724" t="s">
        <v>1158</v>
      </c>
      <c r="C724" t="s">
        <v>1096</v>
      </c>
      <c r="D724" t="s">
        <v>1220</v>
      </c>
      <c r="E724" t="s">
        <v>3115</v>
      </c>
      <c r="F724" t="s">
        <v>2899</v>
      </c>
      <c r="G724" t="s">
        <v>2405</v>
      </c>
      <c r="H724" t="s">
        <v>1460</v>
      </c>
    </row>
    <row r="725" spans="1:8" x14ac:dyDescent="0.25">
      <c r="A725" t="s">
        <v>2839</v>
      </c>
      <c r="B725" t="s">
        <v>2841</v>
      </c>
      <c r="C725" t="s">
        <v>1101</v>
      </c>
      <c r="D725" t="s">
        <v>1221</v>
      </c>
      <c r="E725" t="s">
        <v>3292</v>
      </c>
      <c r="F725" t="s">
        <v>3131</v>
      </c>
      <c r="G725" t="s">
        <v>1572</v>
      </c>
      <c r="H725" t="s">
        <v>1461</v>
      </c>
    </row>
    <row r="726" spans="1:8" x14ac:dyDescent="0.25">
      <c r="A726" t="s">
        <v>1294</v>
      </c>
      <c r="B726" t="s">
        <v>2842</v>
      </c>
      <c r="C726" t="s">
        <v>1229</v>
      </c>
      <c r="D726" t="s">
        <v>3229</v>
      </c>
      <c r="E726" t="s">
        <v>3293</v>
      </c>
      <c r="F726" t="s">
        <v>1590</v>
      </c>
      <c r="G726" t="s">
        <v>1576</v>
      </c>
      <c r="H726" t="s">
        <v>1503</v>
      </c>
    </row>
    <row r="727" spans="1:8" x14ac:dyDescent="0.25">
      <c r="A727" t="s">
        <v>1130</v>
      </c>
      <c r="B727" t="s">
        <v>1335</v>
      </c>
      <c r="C727" t="s">
        <v>1103</v>
      </c>
      <c r="D727" t="s">
        <v>1231</v>
      </c>
      <c r="E727" t="s">
        <v>2858</v>
      </c>
      <c r="F727" t="s">
        <v>2411</v>
      </c>
      <c r="G727" t="s">
        <v>1577</v>
      </c>
      <c r="H727" t="s">
        <v>1508</v>
      </c>
    </row>
    <row r="728" spans="1:8" x14ac:dyDescent="0.25">
      <c r="A728" t="s">
        <v>1131</v>
      </c>
      <c r="B728" t="s">
        <v>2843</v>
      </c>
      <c r="C728" t="s">
        <v>2826</v>
      </c>
      <c r="D728" t="s">
        <v>1232</v>
      </c>
      <c r="E728" t="s">
        <v>3208</v>
      </c>
      <c r="F728" t="s">
        <v>2412</v>
      </c>
      <c r="G728" t="s">
        <v>1580</v>
      </c>
      <c r="H728" t="s">
        <v>1510</v>
      </c>
    </row>
    <row r="729" spans="1:8" x14ac:dyDescent="0.25">
      <c r="A729" t="s">
        <v>1133</v>
      </c>
      <c r="B729" t="s">
        <v>2844</v>
      </c>
      <c r="C729" t="s">
        <v>1105</v>
      </c>
      <c r="D729" t="s">
        <v>3114</v>
      </c>
      <c r="E729" t="s">
        <v>1336</v>
      </c>
      <c r="F729" t="s">
        <v>1591</v>
      </c>
      <c r="G729" t="s">
        <v>3231</v>
      </c>
      <c r="H729" t="s">
        <v>1467</v>
      </c>
    </row>
    <row r="730" spans="1:8" x14ac:dyDescent="0.25">
      <c r="A730" t="s">
        <v>1135</v>
      </c>
      <c r="B730" t="s">
        <v>1160</v>
      </c>
      <c r="C730" t="s">
        <v>1106</v>
      </c>
      <c r="D730" t="s">
        <v>3239</v>
      </c>
      <c r="E730" t="s">
        <v>3294</v>
      </c>
      <c r="F730" t="s">
        <v>2413</v>
      </c>
      <c r="G730" t="s">
        <v>3301</v>
      </c>
      <c r="H730" t="s">
        <v>1470</v>
      </c>
    </row>
    <row r="731" spans="1:8" x14ac:dyDescent="0.25">
      <c r="A731" t="s">
        <v>1137</v>
      </c>
      <c r="B731" t="s">
        <v>1168</v>
      </c>
      <c r="C731" t="s">
        <v>1108</v>
      </c>
      <c r="D731" t="s">
        <v>3115</v>
      </c>
      <c r="E731" t="s">
        <v>1252</v>
      </c>
      <c r="F731" t="s">
        <v>1596</v>
      </c>
      <c r="G731" t="s">
        <v>3319</v>
      </c>
      <c r="H731" t="s">
        <v>1472</v>
      </c>
    </row>
    <row r="732" spans="1:8" x14ac:dyDescent="0.25">
      <c r="A732" t="s">
        <v>1138</v>
      </c>
      <c r="B732" t="s">
        <v>1169</v>
      </c>
      <c r="C732" t="s">
        <v>2827</v>
      </c>
      <c r="D732" t="s">
        <v>2858</v>
      </c>
      <c r="E732" t="s">
        <v>1237</v>
      </c>
      <c r="F732" t="s">
        <v>1597</v>
      </c>
      <c r="G732" t="s">
        <v>1581</v>
      </c>
      <c r="H732" t="s">
        <v>1473</v>
      </c>
    </row>
    <row r="733" spans="1:8" x14ac:dyDescent="0.25">
      <c r="A733" t="s">
        <v>1271</v>
      </c>
      <c r="B733" t="s">
        <v>1303</v>
      </c>
      <c r="C733" t="s">
        <v>2828</v>
      </c>
      <c r="D733" t="s">
        <v>3240</v>
      </c>
      <c r="E733" t="s">
        <v>1238</v>
      </c>
      <c r="F733" t="s">
        <v>1660</v>
      </c>
      <c r="G733" t="s">
        <v>1582</v>
      </c>
      <c r="H733" t="s">
        <v>1475</v>
      </c>
    </row>
    <row r="734" spans="1:8" x14ac:dyDescent="0.25">
      <c r="A734" t="s">
        <v>1310</v>
      </c>
      <c r="B734" t="s">
        <v>1305</v>
      </c>
      <c r="C734" t="s">
        <v>2829</v>
      </c>
      <c r="D734" t="s">
        <v>3208</v>
      </c>
      <c r="E734" t="s">
        <v>3117</v>
      </c>
      <c r="F734" t="s">
        <v>3312</v>
      </c>
      <c r="G734" t="s">
        <v>1583</v>
      </c>
      <c r="H734" t="s">
        <v>1479</v>
      </c>
    </row>
    <row r="735" spans="1:8" x14ac:dyDescent="0.25">
      <c r="A735" t="s">
        <v>1312</v>
      </c>
      <c r="B735" t="s">
        <v>2845</v>
      </c>
      <c r="C735" t="s">
        <v>3203</v>
      </c>
      <c r="D735" t="s">
        <v>1370</v>
      </c>
      <c r="E735" t="s">
        <v>3295</v>
      </c>
      <c r="F735" t="s">
        <v>2901</v>
      </c>
      <c r="G735" t="s">
        <v>1595</v>
      </c>
      <c r="H735" t="s">
        <v>1482</v>
      </c>
    </row>
    <row r="736" spans="1:8" x14ac:dyDescent="0.25">
      <c r="A736" t="s">
        <v>1140</v>
      </c>
      <c r="B736" t="s">
        <v>1170</v>
      </c>
      <c r="C736" t="s">
        <v>2830</v>
      </c>
      <c r="D736" t="s">
        <v>1332</v>
      </c>
      <c r="E736" t="s">
        <v>3296</v>
      </c>
      <c r="F736" t="s">
        <v>3321</v>
      </c>
      <c r="G736" t="s">
        <v>3320</v>
      </c>
      <c r="H736" t="s">
        <v>1483</v>
      </c>
    </row>
    <row r="737" spans="1:8" x14ac:dyDescent="0.25">
      <c r="A737" t="s">
        <v>1142</v>
      </c>
      <c r="B737" t="s">
        <v>1171</v>
      </c>
      <c r="C737" t="s">
        <v>2831</v>
      </c>
      <c r="D737" t="s">
        <v>1336</v>
      </c>
      <c r="E737" t="s">
        <v>2861</v>
      </c>
      <c r="F737" t="s">
        <v>3322</v>
      </c>
      <c r="G737" t="s">
        <v>2893</v>
      </c>
      <c r="H737" t="s">
        <v>1485</v>
      </c>
    </row>
    <row r="738" spans="1:8" x14ac:dyDescent="0.25">
      <c r="A738" t="s">
        <v>1143</v>
      </c>
      <c r="B738" t="s">
        <v>1175</v>
      </c>
      <c r="C738" t="s">
        <v>2832</v>
      </c>
      <c r="D738" t="s">
        <v>1237</v>
      </c>
      <c r="E738" t="s">
        <v>3209</v>
      </c>
      <c r="F738" t="s">
        <v>1666</v>
      </c>
      <c r="G738" t="s">
        <v>2895</v>
      </c>
      <c r="H738" t="s">
        <v>1486</v>
      </c>
    </row>
    <row r="739" spans="1:8" x14ac:dyDescent="0.25">
      <c r="A739" t="s">
        <v>1146</v>
      </c>
      <c r="B739" t="s">
        <v>2846</v>
      </c>
      <c r="C739" t="s">
        <v>3204</v>
      </c>
      <c r="D739" t="s">
        <v>1238</v>
      </c>
      <c r="E739" t="s">
        <v>1261</v>
      </c>
      <c r="F739" t="s">
        <v>3323</v>
      </c>
      <c r="G739" t="s">
        <v>2896</v>
      </c>
      <c r="H739" t="s">
        <v>1488</v>
      </c>
    </row>
    <row r="740" spans="1:8" x14ac:dyDescent="0.25">
      <c r="A740" t="s">
        <v>1148</v>
      </c>
      <c r="B740" t="s">
        <v>2847</v>
      </c>
      <c r="C740" t="s">
        <v>3205</v>
      </c>
      <c r="D740" t="s">
        <v>3116</v>
      </c>
      <c r="E740" t="s">
        <v>1341</v>
      </c>
      <c r="F740" t="s">
        <v>1600</v>
      </c>
      <c r="G740" t="s">
        <v>2897</v>
      </c>
      <c r="H740" t="s">
        <v>1490</v>
      </c>
    </row>
    <row r="741" spans="1:8" x14ac:dyDescent="0.25">
      <c r="A741" t="s">
        <v>1281</v>
      </c>
      <c r="B741" t="s">
        <v>1274</v>
      </c>
      <c r="C741" t="s">
        <v>3206</v>
      </c>
      <c r="D741" t="s">
        <v>3241</v>
      </c>
      <c r="E741" t="s">
        <v>1239</v>
      </c>
      <c r="F741" t="s">
        <v>1601</v>
      </c>
      <c r="G741" t="s">
        <v>1620</v>
      </c>
      <c r="H741" t="s">
        <v>1492</v>
      </c>
    </row>
    <row r="742" spans="1:8" x14ac:dyDescent="0.25">
      <c r="A742" t="s">
        <v>1320</v>
      </c>
      <c r="B742" t="s">
        <v>2848</v>
      </c>
      <c r="C742" t="s">
        <v>3110</v>
      </c>
      <c r="D742" t="s">
        <v>3117</v>
      </c>
      <c r="E742" t="s">
        <v>3243</v>
      </c>
      <c r="F742" t="s">
        <v>1602</v>
      </c>
      <c r="G742" t="s">
        <v>2898</v>
      </c>
      <c r="H742" t="s">
        <v>1494</v>
      </c>
    </row>
    <row r="743" spans="1:8" x14ac:dyDescent="0.25">
      <c r="A743" t="s">
        <v>1322</v>
      </c>
      <c r="B743" t="s">
        <v>1177</v>
      </c>
      <c r="C743" t="s">
        <v>1109</v>
      </c>
      <c r="D743" t="s">
        <v>2861</v>
      </c>
      <c r="E743" t="s">
        <v>3244</v>
      </c>
      <c r="F743" t="s">
        <v>1603</v>
      </c>
      <c r="G743" t="s">
        <v>1585</v>
      </c>
      <c r="H743" t="s">
        <v>1497</v>
      </c>
    </row>
    <row r="744" spans="1:8" x14ac:dyDescent="0.25">
      <c r="A744" t="s">
        <v>2840</v>
      </c>
      <c r="B744" t="s">
        <v>1176</v>
      </c>
      <c r="C744" t="s">
        <v>1110</v>
      </c>
      <c r="D744" t="s">
        <v>3242</v>
      </c>
      <c r="E744" t="s">
        <v>3245</v>
      </c>
      <c r="F744" t="s">
        <v>1606</v>
      </c>
      <c r="G744" t="s">
        <v>1588</v>
      </c>
      <c r="H744" t="s">
        <v>1498</v>
      </c>
    </row>
    <row r="745" spans="1:8" x14ac:dyDescent="0.25">
      <c r="A745" t="s">
        <v>1167</v>
      </c>
      <c r="B745" t="s">
        <v>1180</v>
      </c>
      <c r="C745" t="s">
        <v>1111</v>
      </c>
      <c r="D745" t="s">
        <v>3209</v>
      </c>
      <c r="E745" t="s">
        <v>3246</v>
      </c>
      <c r="F745" t="s">
        <v>1607</v>
      </c>
      <c r="G745" t="s">
        <v>2899</v>
      </c>
      <c r="H745" t="s">
        <v>1499</v>
      </c>
    </row>
    <row r="746" spans="1:8" x14ac:dyDescent="0.25">
      <c r="A746" t="s">
        <v>1149</v>
      </c>
      <c r="B746" t="s">
        <v>1284</v>
      </c>
      <c r="C746" t="s">
        <v>1127</v>
      </c>
      <c r="D746" t="s">
        <v>1261</v>
      </c>
      <c r="E746" t="s">
        <v>3247</v>
      </c>
      <c r="F746" t="s">
        <v>3275</v>
      </c>
      <c r="G746" t="s">
        <v>3261</v>
      </c>
      <c r="H746" t="s">
        <v>1500</v>
      </c>
    </row>
    <row r="747" spans="1:8" x14ac:dyDescent="0.25">
      <c r="A747" t="s">
        <v>1151</v>
      </c>
      <c r="B747" t="s">
        <v>1186</v>
      </c>
      <c r="C747" t="s">
        <v>1264</v>
      </c>
      <c r="D747" t="s">
        <v>1341</v>
      </c>
      <c r="E747" t="s">
        <v>1259</v>
      </c>
      <c r="F747" t="s">
        <v>2415</v>
      </c>
      <c r="G747" t="s">
        <v>3131</v>
      </c>
      <c r="H747" t="s">
        <v>1501</v>
      </c>
    </row>
    <row r="748" spans="1:8" x14ac:dyDescent="0.25">
      <c r="A748" t="s">
        <v>1155</v>
      </c>
      <c r="B748" t="s">
        <v>1182</v>
      </c>
      <c r="C748" t="s">
        <v>1266</v>
      </c>
      <c r="D748" t="s">
        <v>1239</v>
      </c>
      <c r="E748" t="s">
        <v>1240</v>
      </c>
      <c r="F748" t="s">
        <v>3133</v>
      </c>
      <c r="G748" t="s">
        <v>2409</v>
      </c>
      <c r="H748" t="s">
        <v>1502</v>
      </c>
    </row>
    <row r="749" spans="1:8" x14ac:dyDescent="0.25">
      <c r="A749" t="s">
        <v>1158</v>
      </c>
      <c r="B749" t="s">
        <v>1347</v>
      </c>
      <c r="C749" t="s">
        <v>2836</v>
      </c>
      <c r="D749" t="s">
        <v>3243</v>
      </c>
      <c r="E749" t="s">
        <v>1241</v>
      </c>
      <c r="F749" t="s">
        <v>1608</v>
      </c>
      <c r="G749" t="s">
        <v>1590</v>
      </c>
      <c r="H749" t="s">
        <v>1504</v>
      </c>
    </row>
    <row r="750" spans="1:8" x14ac:dyDescent="0.25">
      <c r="A750" t="s">
        <v>2841</v>
      </c>
      <c r="B750" t="s">
        <v>1287</v>
      </c>
      <c r="C750" t="s">
        <v>1268</v>
      </c>
      <c r="D750" t="s">
        <v>3244</v>
      </c>
      <c r="E750" t="s">
        <v>3118</v>
      </c>
      <c r="F750" t="s">
        <v>2912</v>
      </c>
      <c r="G750" t="s">
        <v>2411</v>
      </c>
      <c r="H750" t="s">
        <v>1507</v>
      </c>
    </row>
    <row r="751" spans="1:8" x14ac:dyDescent="0.25">
      <c r="A751" t="s">
        <v>2842</v>
      </c>
      <c r="B751" t="s">
        <v>1185</v>
      </c>
      <c r="C751" t="s">
        <v>1270</v>
      </c>
      <c r="D751" t="s">
        <v>3245</v>
      </c>
      <c r="E751" t="s">
        <v>3119</v>
      </c>
      <c r="F751" t="s">
        <v>1609</v>
      </c>
      <c r="G751" t="s">
        <v>2412</v>
      </c>
      <c r="H751" t="s">
        <v>1509</v>
      </c>
    </row>
    <row r="752" spans="1:8" x14ac:dyDescent="0.25">
      <c r="A752" t="s">
        <v>1335</v>
      </c>
      <c r="B752" t="s">
        <v>1187</v>
      </c>
      <c r="C752" t="s">
        <v>1112</v>
      </c>
      <c r="D752" t="s">
        <v>3246</v>
      </c>
      <c r="E752" t="s">
        <v>1242</v>
      </c>
      <c r="F752" t="s">
        <v>1611</v>
      </c>
      <c r="G752" t="s">
        <v>1591</v>
      </c>
      <c r="H752" t="s">
        <v>1511</v>
      </c>
    </row>
    <row r="753" spans="1:8" x14ac:dyDescent="0.25">
      <c r="A753" t="s">
        <v>2843</v>
      </c>
      <c r="B753" t="s">
        <v>1188</v>
      </c>
      <c r="C753" t="s">
        <v>1113</v>
      </c>
      <c r="D753" t="s">
        <v>3247</v>
      </c>
      <c r="E753" t="s">
        <v>1273</v>
      </c>
      <c r="F753" t="s">
        <v>1612</v>
      </c>
      <c r="G753" t="s">
        <v>3338</v>
      </c>
      <c r="H753" t="s">
        <v>2883</v>
      </c>
    </row>
    <row r="754" spans="1:8" x14ac:dyDescent="0.25">
      <c r="A754" t="s">
        <v>2844</v>
      </c>
      <c r="B754" t="s">
        <v>1190</v>
      </c>
      <c r="C754" t="s">
        <v>1114</v>
      </c>
      <c r="D754" t="s">
        <v>1259</v>
      </c>
      <c r="E754" t="s">
        <v>1378</v>
      </c>
      <c r="F754" t="s">
        <v>1613</v>
      </c>
      <c r="G754" t="s">
        <v>2413</v>
      </c>
      <c r="H754" t="s">
        <v>2884</v>
      </c>
    </row>
    <row r="755" spans="1:8" x14ac:dyDescent="0.25">
      <c r="A755" t="s">
        <v>1160</v>
      </c>
      <c r="B755" t="s">
        <v>1191</v>
      </c>
      <c r="C755" t="s">
        <v>1115</v>
      </c>
      <c r="D755" t="s">
        <v>1240</v>
      </c>
      <c r="E755" t="s">
        <v>2862</v>
      </c>
      <c r="F755" t="s">
        <v>1614</v>
      </c>
      <c r="G755" t="s">
        <v>1596</v>
      </c>
      <c r="H755" t="s">
        <v>1512</v>
      </c>
    </row>
    <row r="756" spans="1:8" x14ac:dyDescent="0.25">
      <c r="A756" t="s">
        <v>1161</v>
      </c>
      <c r="B756" t="s">
        <v>1194</v>
      </c>
      <c r="C756" t="s">
        <v>1116</v>
      </c>
      <c r="D756" t="s">
        <v>1241</v>
      </c>
      <c r="E756" t="s">
        <v>3297</v>
      </c>
      <c r="F756" t="s">
        <v>1616</v>
      </c>
      <c r="G756" t="s">
        <v>1597</v>
      </c>
      <c r="H756" t="s">
        <v>1513</v>
      </c>
    </row>
    <row r="757" spans="1:8" x14ac:dyDescent="0.25">
      <c r="A757" t="s">
        <v>1168</v>
      </c>
      <c r="B757" t="s">
        <v>1197</v>
      </c>
      <c r="C757" t="s">
        <v>1119</v>
      </c>
      <c r="D757" t="s">
        <v>3118</v>
      </c>
      <c r="E757" t="s">
        <v>2864</v>
      </c>
      <c r="F757" t="s">
        <v>1617</v>
      </c>
      <c r="G757" t="s">
        <v>3312</v>
      </c>
      <c r="H757" t="s">
        <v>2885</v>
      </c>
    </row>
    <row r="758" spans="1:8" x14ac:dyDescent="0.25">
      <c r="A758" t="s">
        <v>1169</v>
      </c>
      <c r="B758" t="s">
        <v>1200</v>
      </c>
      <c r="C758" t="s">
        <v>1120</v>
      </c>
      <c r="D758" t="s">
        <v>3248</v>
      </c>
      <c r="E758" t="s">
        <v>3253</v>
      </c>
      <c r="F758" t="s">
        <v>1618</v>
      </c>
      <c r="G758" t="s">
        <v>3321</v>
      </c>
      <c r="H758" t="s">
        <v>2886</v>
      </c>
    </row>
    <row r="759" spans="1:8" x14ac:dyDescent="0.25">
      <c r="A759" t="s">
        <v>1303</v>
      </c>
      <c r="B759" t="s">
        <v>1210</v>
      </c>
      <c r="C759" t="s">
        <v>2837</v>
      </c>
      <c r="D759" t="s">
        <v>3119</v>
      </c>
      <c r="E759" t="s">
        <v>3254</v>
      </c>
      <c r="F759" t="s">
        <v>1619</v>
      </c>
      <c r="G759" t="s">
        <v>3322</v>
      </c>
      <c r="H759" t="s">
        <v>2887</v>
      </c>
    </row>
    <row r="760" spans="1:8" x14ac:dyDescent="0.25">
      <c r="A760" t="s">
        <v>1305</v>
      </c>
      <c r="B760" t="s">
        <v>1202</v>
      </c>
      <c r="C760" t="s">
        <v>1222</v>
      </c>
      <c r="D760" t="s">
        <v>1242</v>
      </c>
      <c r="E760" t="s">
        <v>3256</v>
      </c>
      <c r="F760" t="s">
        <v>1621</v>
      </c>
      <c r="G760" t="s">
        <v>3323</v>
      </c>
      <c r="H760" t="s">
        <v>1543</v>
      </c>
    </row>
    <row r="761" spans="1:8" x14ac:dyDescent="0.25">
      <c r="A761" t="s">
        <v>2845</v>
      </c>
      <c r="B761" t="s">
        <v>2849</v>
      </c>
      <c r="C761" t="s">
        <v>1280</v>
      </c>
      <c r="D761" t="s">
        <v>1273</v>
      </c>
      <c r="E761" t="s">
        <v>2871</v>
      </c>
      <c r="F761" t="s">
        <v>2917</v>
      </c>
      <c r="G761" t="s">
        <v>1602</v>
      </c>
      <c r="H761" t="s">
        <v>1514</v>
      </c>
    </row>
    <row r="762" spans="1:8" x14ac:dyDescent="0.25">
      <c r="A762" t="s">
        <v>1170</v>
      </c>
      <c r="B762" t="s">
        <v>2850</v>
      </c>
      <c r="C762" t="s">
        <v>1224</v>
      </c>
      <c r="D762" t="s">
        <v>1378</v>
      </c>
      <c r="E762" t="s">
        <v>3211</v>
      </c>
      <c r="F762" t="s">
        <v>2416</v>
      </c>
      <c r="G762" t="s">
        <v>1603</v>
      </c>
      <c r="H762" t="s">
        <v>1515</v>
      </c>
    </row>
    <row r="763" spans="1:8" x14ac:dyDescent="0.25">
      <c r="A763" t="s">
        <v>1171</v>
      </c>
      <c r="B763" t="s">
        <v>1213</v>
      </c>
      <c r="C763" t="s">
        <v>1121</v>
      </c>
      <c r="D763" t="s">
        <v>1391</v>
      </c>
      <c r="E763" t="s">
        <v>2375</v>
      </c>
      <c r="F763" t="s">
        <v>2918</v>
      </c>
      <c r="G763" t="s">
        <v>1606</v>
      </c>
      <c r="H763" t="s">
        <v>3085</v>
      </c>
    </row>
    <row r="764" spans="1:8" x14ac:dyDescent="0.25">
      <c r="A764" t="s">
        <v>1173</v>
      </c>
      <c r="B764" t="s">
        <v>1207</v>
      </c>
      <c r="C764" t="s">
        <v>1123</v>
      </c>
      <c r="D764" t="s">
        <v>2862</v>
      </c>
      <c r="E764" t="s">
        <v>2376</v>
      </c>
      <c r="F764" t="s">
        <v>2919</v>
      </c>
      <c r="G764" t="s">
        <v>1607</v>
      </c>
      <c r="H764" t="s">
        <v>2391</v>
      </c>
    </row>
    <row r="765" spans="1:8" x14ac:dyDescent="0.25">
      <c r="A765" t="s">
        <v>1174</v>
      </c>
      <c r="B765" t="s">
        <v>2851</v>
      </c>
      <c r="C765" t="s">
        <v>1124</v>
      </c>
      <c r="D765" t="s">
        <v>2865</v>
      </c>
      <c r="E765" t="s">
        <v>2873</v>
      </c>
      <c r="F765" t="s">
        <v>2920</v>
      </c>
      <c r="G765" t="s">
        <v>2907</v>
      </c>
      <c r="H765" t="s">
        <v>2392</v>
      </c>
    </row>
    <row r="766" spans="1:8" x14ac:dyDescent="0.25">
      <c r="A766" t="s">
        <v>1175</v>
      </c>
      <c r="B766" t="s">
        <v>2852</v>
      </c>
      <c r="C766" t="s">
        <v>1126</v>
      </c>
      <c r="D766" t="s">
        <v>2867</v>
      </c>
      <c r="E766" t="s">
        <v>2378</v>
      </c>
      <c r="F766" t="s">
        <v>2921</v>
      </c>
      <c r="G766" t="s">
        <v>3133</v>
      </c>
      <c r="H766" t="s">
        <v>1517</v>
      </c>
    </row>
    <row r="767" spans="1:8" x14ac:dyDescent="0.25">
      <c r="A767" t="s">
        <v>2846</v>
      </c>
      <c r="B767" t="s">
        <v>2853</v>
      </c>
      <c r="C767" t="s">
        <v>1128</v>
      </c>
      <c r="D767" t="s">
        <v>3249</v>
      </c>
      <c r="E767" t="s">
        <v>1416</v>
      </c>
      <c r="F767" t="s">
        <v>2923</v>
      </c>
      <c r="G767" t="s">
        <v>3134</v>
      </c>
      <c r="H767" t="s">
        <v>1519</v>
      </c>
    </row>
    <row r="768" spans="1:8" x14ac:dyDescent="0.25">
      <c r="A768" t="s">
        <v>2847</v>
      </c>
      <c r="B768" t="s">
        <v>1211</v>
      </c>
      <c r="C768" t="s">
        <v>1129</v>
      </c>
      <c r="D768" t="s">
        <v>3250</v>
      </c>
      <c r="E768" t="s">
        <v>2874</v>
      </c>
      <c r="F768" t="s">
        <v>2924</v>
      </c>
      <c r="G768" t="s">
        <v>1608</v>
      </c>
      <c r="H768" t="s">
        <v>1520</v>
      </c>
    </row>
    <row r="769" spans="1:8" x14ac:dyDescent="0.25">
      <c r="A769" t="s">
        <v>1274</v>
      </c>
      <c r="B769" t="s">
        <v>1212</v>
      </c>
      <c r="C769" t="s">
        <v>1292</v>
      </c>
      <c r="D769" t="s">
        <v>3251</v>
      </c>
      <c r="E769" t="s">
        <v>2875</v>
      </c>
      <c r="F769" t="s">
        <v>1622</v>
      </c>
      <c r="G769" t="s">
        <v>2912</v>
      </c>
      <c r="H769" t="s">
        <v>1521</v>
      </c>
    </row>
    <row r="770" spans="1:8" x14ac:dyDescent="0.25">
      <c r="A770" t="s">
        <v>2848</v>
      </c>
      <c r="B770" t="s">
        <v>2854</v>
      </c>
      <c r="C770" t="s">
        <v>2839</v>
      </c>
      <c r="D770" t="s">
        <v>3252</v>
      </c>
      <c r="E770" t="s">
        <v>2876</v>
      </c>
      <c r="F770" t="s">
        <v>1624</v>
      </c>
      <c r="G770" t="s">
        <v>1609</v>
      </c>
      <c r="H770" t="s">
        <v>1522</v>
      </c>
    </row>
    <row r="771" spans="1:8" x14ac:dyDescent="0.25">
      <c r="A771" t="s">
        <v>1177</v>
      </c>
      <c r="B771" t="s">
        <v>1225</v>
      </c>
      <c r="C771" t="s">
        <v>1294</v>
      </c>
      <c r="D771" t="s">
        <v>3253</v>
      </c>
      <c r="E771" t="s">
        <v>1435</v>
      </c>
      <c r="F771" t="s">
        <v>2925</v>
      </c>
      <c r="G771" t="s">
        <v>1611</v>
      </c>
      <c r="H771" t="s">
        <v>1523</v>
      </c>
    </row>
    <row r="772" spans="1:8" x14ac:dyDescent="0.25">
      <c r="A772" t="s">
        <v>1176</v>
      </c>
      <c r="B772" t="s">
        <v>1234</v>
      </c>
      <c r="C772" t="s">
        <v>1130</v>
      </c>
      <c r="D772" t="s">
        <v>2869</v>
      </c>
      <c r="E772" t="s">
        <v>1438</v>
      </c>
      <c r="F772" t="s">
        <v>2926</v>
      </c>
      <c r="G772" t="s">
        <v>1612</v>
      </c>
      <c r="H772" t="s">
        <v>1524</v>
      </c>
    </row>
    <row r="773" spans="1:8" x14ac:dyDescent="0.25">
      <c r="A773" t="s">
        <v>1179</v>
      </c>
      <c r="B773" t="s">
        <v>1236</v>
      </c>
      <c r="C773" t="s">
        <v>1131</v>
      </c>
      <c r="D773" t="s">
        <v>3254</v>
      </c>
      <c r="E773" t="s">
        <v>2382</v>
      </c>
      <c r="F773" t="s">
        <v>2927</v>
      </c>
      <c r="G773" t="s">
        <v>1613</v>
      </c>
      <c r="H773" t="s">
        <v>1525</v>
      </c>
    </row>
    <row r="774" spans="1:8" x14ac:dyDescent="0.25">
      <c r="A774" t="s">
        <v>1180</v>
      </c>
      <c r="B774" t="s">
        <v>1355</v>
      </c>
      <c r="C774" t="s">
        <v>1133</v>
      </c>
      <c r="D774" t="s">
        <v>3255</v>
      </c>
      <c r="E774" t="s">
        <v>1418</v>
      </c>
      <c r="F774" t="s">
        <v>2930</v>
      </c>
      <c r="G774" t="s">
        <v>1614</v>
      </c>
      <c r="H774" t="s">
        <v>1527</v>
      </c>
    </row>
    <row r="775" spans="1:8" x14ac:dyDescent="0.25">
      <c r="A775" t="s">
        <v>1284</v>
      </c>
      <c r="B775" t="s">
        <v>1323</v>
      </c>
      <c r="C775" t="s">
        <v>1135</v>
      </c>
      <c r="D775" t="s">
        <v>3256</v>
      </c>
      <c r="E775" t="s">
        <v>1422</v>
      </c>
      <c r="F775" t="s">
        <v>1625</v>
      </c>
      <c r="G775" t="s">
        <v>1616</v>
      </c>
      <c r="H775" t="s">
        <v>3127</v>
      </c>
    </row>
    <row r="776" spans="1:8" x14ac:dyDescent="0.25">
      <c r="A776" t="s">
        <v>1186</v>
      </c>
      <c r="B776" t="s">
        <v>1383</v>
      </c>
      <c r="C776" t="s">
        <v>1137</v>
      </c>
      <c r="D776" t="s">
        <v>2871</v>
      </c>
      <c r="E776" t="s">
        <v>1425</v>
      </c>
      <c r="F776" t="s">
        <v>1626</v>
      </c>
      <c r="G776" t="s">
        <v>1617</v>
      </c>
      <c r="H776" t="s">
        <v>1528</v>
      </c>
    </row>
    <row r="777" spans="1:8" x14ac:dyDescent="0.25">
      <c r="A777" t="s">
        <v>1182</v>
      </c>
      <c r="B777" t="s">
        <v>1217</v>
      </c>
      <c r="C777" t="s">
        <v>1138</v>
      </c>
      <c r="D777" t="s">
        <v>2872</v>
      </c>
      <c r="E777" t="s">
        <v>1429</v>
      </c>
      <c r="F777" t="s">
        <v>1627</v>
      </c>
      <c r="G777" t="s">
        <v>1618</v>
      </c>
      <c r="H777" t="s">
        <v>3128</v>
      </c>
    </row>
    <row r="778" spans="1:8" x14ac:dyDescent="0.25">
      <c r="A778" t="s">
        <v>1347</v>
      </c>
      <c r="B778" t="s">
        <v>2856</v>
      </c>
      <c r="C778" t="s">
        <v>1271</v>
      </c>
      <c r="D778" t="s">
        <v>1316</v>
      </c>
      <c r="E778" t="s">
        <v>1446</v>
      </c>
      <c r="F778" t="s">
        <v>1630</v>
      </c>
      <c r="G778" t="s">
        <v>1619</v>
      </c>
      <c r="H778" t="s">
        <v>1529</v>
      </c>
    </row>
    <row r="779" spans="1:8" x14ac:dyDescent="0.25">
      <c r="A779" t="s">
        <v>1287</v>
      </c>
      <c r="B779" t="s">
        <v>1361</v>
      </c>
      <c r="C779" t="s">
        <v>1310</v>
      </c>
      <c r="D779" t="s">
        <v>1321</v>
      </c>
      <c r="E779" t="s">
        <v>1462</v>
      </c>
      <c r="F779" t="s">
        <v>1631</v>
      </c>
      <c r="G779" t="s">
        <v>1621</v>
      </c>
      <c r="H779" t="s">
        <v>3129</v>
      </c>
    </row>
    <row r="780" spans="1:8" x14ac:dyDescent="0.25">
      <c r="A780" t="s">
        <v>1185</v>
      </c>
      <c r="B780" t="s">
        <v>1218</v>
      </c>
      <c r="C780" t="s">
        <v>1312</v>
      </c>
      <c r="D780" t="s">
        <v>1331</v>
      </c>
      <c r="E780" t="s">
        <v>1431</v>
      </c>
      <c r="F780" t="s">
        <v>1632</v>
      </c>
      <c r="G780" t="s">
        <v>2917</v>
      </c>
      <c r="H780" t="s">
        <v>1530</v>
      </c>
    </row>
    <row r="781" spans="1:8" x14ac:dyDescent="0.25">
      <c r="A781" t="s">
        <v>1187</v>
      </c>
      <c r="B781" t="s">
        <v>2857</v>
      </c>
      <c r="C781" t="s">
        <v>1140</v>
      </c>
      <c r="D781" t="s">
        <v>2369</v>
      </c>
      <c r="E781" t="s">
        <v>1443</v>
      </c>
      <c r="F781" t="s">
        <v>1633</v>
      </c>
      <c r="G781" t="s">
        <v>2416</v>
      </c>
      <c r="H781" t="s">
        <v>1532</v>
      </c>
    </row>
    <row r="782" spans="1:8" x14ac:dyDescent="0.25">
      <c r="A782" t="s">
        <v>1188</v>
      </c>
      <c r="B782" t="s">
        <v>1220</v>
      </c>
      <c r="C782" t="s">
        <v>1142</v>
      </c>
      <c r="D782" t="s">
        <v>2370</v>
      </c>
      <c r="E782" t="s">
        <v>1444</v>
      </c>
      <c r="F782" t="s">
        <v>1635</v>
      </c>
      <c r="G782" t="s">
        <v>2919</v>
      </c>
      <c r="H782" t="s">
        <v>1533</v>
      </c>
    </row>
    <row r="783" spans="1:8" x14ac:dyDescent="0.25">
      <c r="A783" t="s">
        <v>1189</v>
      </c>
      <c r="B783" t="s">
        <v>1221</v>
      </c>
      <c r="C783" t="s">
        <v>1143</v>
      </c>
      <c r="D783" t="s">
        <v>1377</v>
      </c>
      <c r="E783" t="s">
        <v>1445</v>
      </c>
      <c r="F783" t="s">
        <v>1664</v>
      </c>
      <c r="G783" t="s">
        <v>2920</v>
      </c>
      <c r="H783" t="s">
        <v>1534</v>
      </c>
    </row>
    <row r="784" spans="1:8" x14ac:dyDescent="0.25">
      <c r="A784" t="s">
        <v>1199</v>
      </c>
      <c r="B784" t="s">
        <v>3113</v>
      </c>
      <c r="C784" t="s">
        <v>1146</v>
      </c>
      <c r="D784" t="s">
        <v>1379</v>
      </c>
      <c r="E784" t="s">
        <v>1447</v>
      </c>
      <c r="F784" t="s">
        <v>3324</v>
      </c>
      <c r="G784" t="s">
        <v>2921</v>
      </c>
      <c r="H784" t="s">
        <v>1536</v>
      </c>
    </row>
    <row r="785" spans="1:8" x14ac:dyDescent="0.25">
      <c r="A785" t="s">
        <v>1190</v>
      </c>
      <c r="B785" t="s">
        <v>2363</v>
      </c>
      <c r="C785" t="s">
        <v>1148</v>
      </c>
      <c r="D785" t="s">
        <v>1381</v>
      </c>
      <c r="E785" t="s">
        <v>1469</v>
      </c>
      <c r="F785" t="s">
        <v>3302</v>
      </c>
      <c r="G785" t="s">
        <v>2923</v>
      </c>
      <c r="H785" t="s">
        <v>1537</v>
      </c>
    </row>
    <row r="786" spans="1:8" x14ac:dyDescent="0.25">
      <c r="A786" t="s">
        <v>1191</v>
      </c>
      <c r="B786" t="s">
        <v>1231</v>
      </c>
      <c r="C786" t="s">
        <v>1281</v>
      </c>
      <c r="D786" t="s">
        <v>1382</v>
      </c>
      <c r="E786" t="s">
        <v>1474</v>
      </c>
      <c r="F786" t="s">
        <v>1639</v>
      </c>
      <c r="G786" t="s">
        <v>2924</v>
      </c>
      <c r="H786" t="s">
        <v>1538</v>
      </c>
    </row>
    <row r="787" spans="1:8" x14ac:dyDescent="0.25">
      <c r="A787" t="s">
        <v>1194</v>
      </c>
      <c r="B787" t="s">
        <v>1232</v>
      </c>
      <c r="C787" t="s">
        <v>1322</v>
      </c>
      <c r="D787" t="s">
        <v>1392</v>
      </c>
      <c r="E787" t="s">
        <v>1478</v>
      </c>
      <c r="F787" t="s">
        <v>1641</v>
      </c>
      <c r="G787" t="s">
        <v>2925</v>
      </c>
      <c r="H787" t="s">
        <v>1539</v>
      </c>
    </row>
    <row r="788" spans="1:8" x14ac:dyDescent="0.25">
      <c r="A788" t="s">
        <v>1197</v>
      </c>
      <c r="B788" t="s">
        <v>3114</v>
      </c>
      <c r="C788" t="s">
        <v>2840</v>
      </c>
      <c r="D788" t="s">
        <v>2372</v>
      </c>
      <c r="E788" t="s">
        <v>1466</v>
      </c>
      <c r="F788" t="s">
        <v>1643</v>
      </c>
      <c r="G788" t="s">
        <v>2926</v>
      </c>
      <c r="H788" t="s">
        <v>1540</v>
      </c>
    </row>
    <row r="789" spans="1:8" x14ac:dyDescent="0.25">
      <c r="A789" t="s">
        <v>1200</v>
      </c>
      <c r="B789" t="s">
        <v>3115</v>
      </c>
      <c r="C789" t="s">
        <v>1167</v>
      </c>
      <c r="D789" t="s">
        <v>2374</v>
      </c>
      <c r="E789" t="s">
        <v>2878</v>
      </c>
      <c r="F789" t="s">
        <v>1645</v>
      </c>
      <c r="G789" t="s">
        <v>2927</v>
      </c>
      <c r="H789" t="s">
        <v>1541</v>
      </c>
    </row>
    <row r="790" spans="1:8" x14ac:dyDescent="0.25">
      <c r="A790" t="s">
        <v>1210</v>
      </c>
      <c r="B790" t="s">
        <v>2858</v>
      </c>
      <c r="C790" t="s">
        <v>1149</v>
      </c>
      <c r="D790" t="s">
        <v>3166</v>
      </c>
      <c r="E790" t="s">
        <v>1487</v>
      </c>
      <c r="F790" t="s">
        <v>1647</v>
      </c>
      <c r="G790" t="s">
        <v>2930</v>
      </c>
      <c r="H790" t="s">
        <v>1542</v>
      </c>
    </row>
    <row r="791" spans="1:8" x14ac:dyDescent="0.25">
      <c r="A791" t="s">
        <v>1202</v>
      </c>
      <c r="B791" t="s">
        <v>1336</v>
      </c>
      <c r="C791" t="s">
        <v>1151</v>
      </c>
      <c r="D791" t="s">
        <v>2873</v>
      </c>
      <c r="E791" t="s">
        <v>3257</v>
      </c>
      <c r="F791" t="s">
        <v>1651</v>
      </c>
      <c r="G791" t="s">
        <v>1625</v>
      </c>
      <c r="H791" t="s">
        <v>1544</v>
      </c>
    </row>
    <row r="792" spans="1:8" x14ac:dyDescent="0.25">
      <c r="A792" t="s">
        <v>2849</v>
      </c>
      <c r="B792" t="s">
        <v>2364</v>
      </c>
      <c r="C792" t="s">
        <v>1153</v>
      </c>
      <c r="D792" t="s">
        <v>2378</v>
      </c>
      <c r="E792" t="s">
        <v>2879</v>
      </c>
      <c r="F792" t="s">
        <v>1654</v>
      </c>
      <c r="G792" t="s">
        <v>1627</v>
      </c>
      <c r="H792" t="s">
        <v>1545</v>
      </c>
    </row>
    <row r="793" spans="1:8" x14ac:dyDescent="0.25">
      <c r="A793" t="s">
        <v>2850</v>
      </c>
      <c r="B793" t="s">
        <v>1237</v>
      </c>
      <c r="C793" t="s">
        <v>1155</v>
      </c>
      <c r="D793" t="s">
        <v>2379</v>
      </c>
      <c r="E793" t="s">
        <v>1455</v>
      </c>
      <c r="F793" t="s">
        <v>1655</v>
      </c>
      <c r="G793" t="s">
        <v>1630</v>
      </c>
      <c r="H793" t="s">
        <v>1547</v>
      </c>
    </row>
    <row r="794" spans="1:8" x14ac:dyDescent="0.25">
      <c r="A794" t="s">
        <v>1213</v>
      </c>
      <c r="B794" t="s">
        <v>1238</v>
      </c>
      <c r="C794" t="s">
        <v>1158</v>
      </c>
      <c r="D794" t="s">
        <v>2381</v>
      </c>
      <c r="E794" t="s">
        <v>1457</v>
      </c>
      <c r="F794" t="s">
        <v>1659</v>
      </c>
      <c r="G794" t="s">
        <v>1631</v>
      </c>
      <c r="H794" t="s">
        <v>1548</v>
      </c>
    </row>
    <row r="795" spans="1:8" x14ac:dyDescent="0.25">
      <c r="A795" t="s">
        <v>1215</v>
      </c>
      <c r="B795" t="s">
        <v>3116</v>
      </c>
      <c r="C795" t="s">
        <v>2841</v>
      </c>
      <c r="D795" t="s">
        <v>3168</v>
      </c>
      <c r="E795" t="s">
        <v>1458</v>
      </c>
      <c r="F795" t="s">
        <v>1661</v>
      </c>
      <c r="G795" t="s">
        <v>1632</v>
      </c>
      <c r="H795" t="s">
        <v>1549</v>
      </c>
    </row>
    <row r="796" spans="1:8" x14ac:dyDescent="0.25">
      <c r="A796" t="s">
        <v>1207</v>
      </c>
      <c r="B796" t="s">
        <v>3117</v>
      </c>
      <c r="C796" t="s">
        <v>2842</v>
      </c>
      <c r="D796" t="s">
        <v>1416</v>
      </c>
      <c r="E796" t="s">
        <v>1460</v>
      </c>
      <c r="F796" t="s">
        <v>1662</v>
      </c>
      <c r="G796" t="s">
        <v>1633</v>
      </c>
      <c r="H796" t="s">
        <v>3130</v>
      </c>
    </row>
    <row r="797" spans="1:8" x14ac:dyDescent="0.25">
      <c r="A797" t="s">
        <v>2851</v>
      </c>
      <c r="B797" t="s">
        <v>2861</v>
      </c>
      <c r="C797" t="s">
        <v>1335</v>
      </c>
      <c r="D797" t="s">
        <v>3126</v>
      </c>
      <c r="E797" t="s">
        <v>1461</v>
      </c>
      <c r="F797" t="s">
        <v>1681</v>
      </c>
      <c r="G797" t="s">
        <v>3347</v>
      </c>
      <c r="H797" t="s">
        <v>1550</v>
      </c>
    </row>
    <row r="798" spans="1:8" x14ac:dyDescent="0.25">
      <c r="A798" t="s">
        <v>2852</v>
      </c>
      <c r="B798" t="s">
        <v>1341</v>
      </c>
      <c r="C798" t="s">
        <v>2843</v>
      </c>
      <c r="D798" t="s">
        <v>2874</v>
      </c>
      <c r="E798" t="s">
        <v>1465</v>
      </c>
      <c r="F798" t="s">
        <v>1663</v>
      </c>
      <c r="G798" t="s">
        <v>1635</v>
      </c>
      <c r="H798" t="s">
        <v>2888</v>
      </c>
    </row>
    <row r="799" spans="1:8" x14ac:dyDescent="0.25">
      <c r="A799" t="s">
        <v>2853</v>
      </c>
      <c r="B799" t="s">
        <v>1239</v>
      </c>
      <c r="C799" t="s">
        <v>2844</v>
      </c>
      <c r="D799" t="s">
        <v>2875</v>
      </c>
      <c r="E799" t="s">
        <v>1503</v>
      </c>
      <c r="F799" t="s">
        <v>1684</v>
      </c>
      <c r="G799" t="s">
        <v>3302</v>
      </c>
      <c r="H799" t="s">
        <v>1551</v>
      </c>
    </row>
    <row r="800" spans="1:8" x14ac:dyDescent="0.25">
      <c r="A800" t="s">
        <v>1211</v>
      </c>
      <c r="B800" t="s">
        <v>2365</v>
      </c>
      <c r="C800" t="s">
        <v>1160</v>
      </c>
      <c r="D800" t="s">
        <v>2876</v>
      </c>
      <c r="E800" t="s">
        <v>2880</v>
      </c>
      <c r="F800" t="s">
        <v>2418</v>
      </c>
      <c r="G800" t="s">
        <v>1639</v>
      </c>
      <c r="H800" t="s">
        <v>1552</v>
      </c>
    </row>
    <row r="801" spans="1:8" x14ac:dyDescent="0.25">
      <c r="A801" t="s">
        <v>1212</v>
      </c>
      <c r="B801" t="s">
        <v>1259</v>
      </c>
      <c r="C801" t="s">
        <v>1161</v>
      </c>
      <c r="D801" t="s">
        <v>1432</v>
      </c>
      <c r="E801" t="s">
        <v>1467</v>
      </c>
      <c r="F801" t="s">
        <v>2419</v>
      </c>
      <c r="G801" t="s">
        <v>1641</v>
      </c>
      <c r="H801" t="s">
        <v>1553</v>
      </c>
    </row>
    <row r="802" spans="1:8" x14ac:dyDescent="0.25">
      <c r="A802" t="s">
        <v>2854</v>
      </c>
      <c r="B802" t="s">
        <v>1240</v>
      </c>
      <c r="C802" t="s">
        <v>1164</v>
      </c>
      <c r="D802" t="s">
        <v>1435</v>
      </c>
      <c r="E802" t="s">
        <v>1470</v>
      </c>
      <c r="F802" t="s">
        <v>2938</v>
      </c>
      <c r="G802" t="s">
        <v>1643</v>
      </c>
      <c r="H802" t="s">
        <v>1554</v>
      </c>
    </row>
    <row r="803" spans="1:8" x14ac:dyDescent="0.25">
      <c r="A803" t="s">
        <v>1225</v>
      </c>
      <c r="B803" t="s">
        <v>1241</v>
      </c>
      <c r="C803" t="s">
        <v>1166</v>
      </c>
      <c r="D803" t="s">
        <v>1438</v>
      </c>
      <c r="E803" t="s">
        <v>1471</v>
      </c>
      <c r="F803" t="s">
        <v>2939</v>
      </c>
      <c r="G803" t="s">
        <v>1645</v>
      </c>
      <c r="H803" t="s">
        <v>1584</v>
      </c>
    </row>
    <row r="804" spans="1:8" x14ac:dyDescent="0.25">
      <c r="A804" t="s">
        <v>1216</v>
      </c>
      <c r="B804" t="s">
        <v>2366</v>
      </c>
      <c r="C804" t="s">
        <v>1168</v>
      </c>
      <c r="D804" t="s">
        <v>3170</v>
      </c>
      <c r="E804" t="s">
        <v>1472</v>
      </c>
      <c r="F804" t="s">
        <v>3276</v>
      </c>
      <c r="G804" t="s">
        <v>1647</v>
      </c>
      <c r="H804" t="s">
        <v>1592</v>
      </c>
    </row>
    <row r="805" spans="1:8" x14ac:dyDescent="0.25">
      <c r="A805" t="s">
        <v>1234</v>
      </c>
      <c r="B805" t="s">
        <v>2367</v>
      </c>
      <c r="C805" t="s">
        <v>1169</v>
      </c>
      <c r="D805" t="s">
        <v>2384</v>
      </c>
      <c r="E805" t="s">
        <v>1473</v>
      </c>
      <c r="F805" t="s">
        <v>3174</v>
      </c>
      <c r="G805" t="s">
        <v>1651</v>
      </c>
      <c r="H805" t="s">
        <v>1556</v>
      </c>
    </row>
    <row r="806" spans="1:8" x14ac:dyDescent="0.25">
      <c r="A806" t="s">
        <v>1236</v>
      </c>
      <c r="B806" t="s">
        <v>3118</v>
      </c>
      <c r="C806" t="s">
        <v>1303</v>
      </c>
      <c r="D806" t="s">
        <v>1418</v>
      </c>
      <c r="E806" t="s">
        <v>1475</v>
      </c>
      <c r="F806" t="s">
        <v>2943</v>
      </c>
      <c r="G806" t="s">
        <v>1659</v>
      </c>
      <c r="H806" t="s">
        <v>2891</v>
      </c>
    </row>
    <row r="807" spans="1:8" x14ac:dyDescent="0.25">
      <c r="A807" t="s">
        <v>1355</v>
      </c>
      <c r="B807" t="s">
        <v>3119</v>
      </c>
      <c r="C807" t="s">
        <v>1305</v>
      </c>
      <c r="D807" t="s">
        <v>1422</v>
      </c>
      <c r="E807" t="s">
        <v>1479</v>
      </c>
      <c r="F807" t="s">
        <v>2944</v>
      </c>
      <c r="G807" t="s">
        <v>1661</v>
      </c>
      <c r="H807" t="s">
        <v>1557</v>
      </c>
    </row>
    <row r="808" spans="1:8" x14ac:dyDescent="0.25">
      <c r="A808" t="s">
        <v>1323</v>
      </c>
      <c r="B808" t="s">
        <v>1391</v>
      </c>
      <c r="C808" t="s">
        <v>2845</v>
      </c>
      <c r="D808" t="s">
        <v>1425</v>
      </c>
      <c r="E808" t="s">
        <v>1482</v>
      </c>
      <c r="F808" t="s">
        <v>3313</v>
      </c>
      <c r="G808" t="s">
        <v>1662</v>
      </c>
      <c r="H808" t="s">
        <v>1561</v>
      </c>
    </row>
    <row r="809" spans="1:8" x14ac:dyDescent="0.25">
      <c r="A809" t="s">
        <v>1383</v>
      </c>
      <c r="B809" t="s">
        <v>2865</v>
      </c>
      <c r="C809" t="s">
        <v>1170</v>
      </c>
      <c r="D809" t="s">
        <v>1429</v>
      </c>
      <c r="E809" t="s">
        <v>1483</v>
      </c>
      <c r="F809" t="s">
        <v>2425</v>
      </c>
      <c r="G809" t="s">
        <v>1681</v>
      </c>
      <c r="H809" t="s">
        <v>1598</v>
      </c>
    </row>
    <row r="810" spans="1:8" x14ac:dyDescent="0.25">
      <c r="A810" t="s">
        <v>1217</v>
      </c>
      <c r="B810" t="s">
        <v>3120</v>
      </c>
      <c r="C810" t="s">
        <v>1171</v>
      </c>
      <c r="D810" t="s">
        <v>1446</v>
      </c>
      <c r="E810" t="s">
        <v>1485</v>
      </c>
      <c r="F810" t="s">
        <v>3090</v>
      </c>
      <c r="G810" t="s">
        <v>1663</v>
      </c>
      <c r="H810" t="s">
        <v>1562</v>
      </c>
    </row>
    <row r="811" spans="1:8" x14ac:dyDescent="0.25">
      <c r="A811" t="s">
        <v>2855</v>
      </c>
      <c r="B811" t="s">
        <v>3121</v>
      </c>
      <c r="C811" t="s">
        <v>1174</v>
      </c>
      <c r="D811" t="s">
        <v>1442</v>
      </c>
      <c r="E811" t="s">
        <v>1486</v>
      </c>
      <c r="F811" t="s">
        <v>3277</v>
      </c>
      <c r="G811" t="s">
        <v>1684</v>
      </c>
      <c r="H811" t="s">
        <v>1563</v>
      </c>
    </row>
    <row r="812" spans="1:8" x14ac:dyDescent="0.25">
      <c r="A812" t="s">
        <v>1359</v>
      </c>
      <c r="B812" t="s">
        <v>3122</v>
      </c>
      <c r="C812" t="s">
        <v>1175</v>
      </c>
      <c r="D812" t="s">
        <v>1453</v>
      </c>
      <c r="E812" t="s">
        <v>1488</v>
      </c>
      <c r="F812" t="s">
        <v>3091</v>
      </c>
      <c r="G812" t="s">
        <v>2418</v>
      </c>
      <c r="H812" t="s">
        <v>3372</v>
      </c>
    </row>
    <row r="813" spans="1:8" x14ac:dyDescent="0.25">
      <c r="A813" t="s">
        <v>2856</v>
      </c>
      <c r="B813" t="s">
        <v>2868</v>
      </c>
      <c r="C813" t="s">
        <v>2846</v>
      </c>
      <c r="D813" t="s">
        <v>1463</v>
      </c>
      <c r="E813" t="s">
        <v>1490</v>
      </c>
      <c r="F813" t="s">
        <v>1667</v>
      </c>
      <c r="G813" t="s">
        <v>2419</v>
      </c>
      <c r="H813" t="s">
        <v>1610</v>
      </c>
    </row>
    <row r="814" spans="1:8" x14ac:dyDescent="0.25">
      <c r="A814" t="s">
        <v>1361</v>
      </c>
      <c r="B814" t="s">
        <v>3123</v>
      </c>
      <c r="C814" t="s">
        <v>2847</v>
      </c>
      <c r="D814" t="s">
        <v>1477</v>
      </c>
      <c r="E814" t="s">
        <v>1492</v>
      </c>
      <c r="F814" t="s">
        <v>1668</v>
      </c>
      <c r="G814" t="s">
        <v>3262</v>
      </c>
      <c r="H814" t="s">
        <v>1605</v>
      </c>
    </row>
    <row r="815" spans="1:8" x14ac:dyDescent="0.25">
      <c r="A815" t="s">
        <v>1218</v>
      </c>
      <c r="B815" t="s">
        <v>2870</v>
      </c>
      <c r="C815" t="s">
        <v>1274</v>
      </c>
      <c r="D815" t="s">
        <v>1481</v>
      </c>
      <c r="E815" t="s">
        <v>1494</v>
      </c>
      <c r="F815" t="s">
        <v>1669</v>
      </c>
      <c r="G815" t="s">
        <v>2938</v>
      </c>
      <c r="H815" t="s">
        <v>2402</v>
      </c>
    </row>
    <row r="816" spans="1:8" x14ac:dyDescent="0.25">
      <c r="A816" t="s">
        <v>2857</v>
      </c>
      <c r="B816" t="s">
        <v>3124</v>
      </c>
      <c r="C816" t="s">
        <v>2848</v>
      </c>
      <c r="D816" t="s">
        <v>1444</v>
      </c>
      <c r="E816" t="s">
        <v>1497</v>
      </c>
      <c r="F816" t="s">
        <v>1670</v>
      </c>
      <c r="G816" t="s">
        <v>2939</v>
      </c>
      <c r="H816" t="s">
        <v>1566</v>
      </c>
    </row>
    <row r="817" spans="1:8" x14ac:dyDescent="0.25">
      <c r="A817" t="s">
        <v>1221</v>
      </c>
      <c r="B817" t="s">
        <v>1309</v>
      </c>
      <c r="C817" t="s">
        <v>1177</v>
      </c>
      <c r="D817" t="s">
        <v>1445</v>
      </c>
      <c r="E817" t="s">
        <v>1498</v>
      </c>
      <c r="F817" t="s">
        <v>1671</v>
      </c>
      <c r="G817" t="s">
        <v>3276</v>
      </c>
      <c r="H817" t="s">
        <v>1568</v>
      </c>
    </row>
    <row r="818" spans="1:8" x14ac:dyDescent="0.25">
      <c r="A818" t="s">
        <v>2363</v>
      </c>
      <c r="B818" t="s">
        <v>1311</v>
      </c>
      <c r="C818" t="s">
        <v>1176</v>
      </c>
      <c r="D818" t="s">
        <v>1447</v>
      </c>
      <c r="E818" t="s">
        <v>1499</v>
      </c>
      <c r="F818" t="s">
        <v>1672</v>
      </c>
      <c r="G818" t="s">
        <v>3174</v>
      </c>
      <c r="H818" t="s">
        <v>1570</v>
      </c>
    </row>
    <row r="819" spans="1:8" x14ac:dyDescent="0.25">
      <c r="A819" t="s">
        <v>1247</v>
      </c>
      <c r="B819" t="s">
        <v>1316</v>
      </c>
      <c r="C819" t="s">
        <v>1180</v>
      </c>
      <c r="D819" t="s">
        <v>1469</v>
      </c>
      <c r="E819" t="s">
        <v>1500</v>
      </c>
      <c r="F819" t="s">
        <v>1673</v>
      </c>
      <c r="G819" t="s">
        <v>3090</v>
      </c>
      <c r="H819" t="s">
        <v>1571</v>
      </c>
    </row>
    <row r="820" spans="1:8" x14ac:dyDescent="0.25">
      <c r="A820" t="s">
        <v>1231</v>
      </c>
      <c r="B820" t="s">
        <v>1321</v>
      </c>
      <c r="C820" t="s">
        <v>1284</v>
      </c>
      <c r="D820" t="s">
        <v>1474</v>
      </c>
      <c r="E820" t="s">
        <v>1501</v>
      </c>
      <c r="F820" t="s">
        <v>1674</v>
      </c>
      <c r="G820" t="s">
        <v>3277</v>
      </c>
      <c r="H820" t="s">
        <v>2405</v>
      </c>
    </row>
    <row r="821" spans="1:8" x14ac:dyDescent="0.25">
      <c r="A821" t="s">
        <v>1232</v>
      </c>
      <c r="B821" t="s">
        <v>1380</v>
      </c>
      <c r="C821" t="s">
        <v>1186</v>
      </c>
      <c r="D821" t="s">
        <v>1478</v>
      </c>
      <c r="E821" t="s">
        <v>1502</v>
      </c>
      <c r="F821" t="s">
        <v>1675</v>
      </c>
      <c r="G821" t="s">
        <v>3091</v>
      </c>
      <c r="H821" t="s">
        <v>1572</v>
      </c>
    </row>
    <row r="822" spans="1:8" x14ac:dyDescent="0.25">
      <c r="A822" t="s">
        <v>2858</v>
      </c>
      <c r="B822" t="s">
        <v>1338</v>
      </c>
      <c r="C822" t="s">
        <v>1182</v>
      </c>
      <c r="D822" t="s">
        <v>1452</v>
      </c>
      <c r="E822" t="s">
        <v>1504</v>
      </c>
      <c r="F822" t="s">
        <v>1676</v>
      </c>
      <c r="G822" t="s">
        <v>1667</v>
      </c>
      <c r="H822" t="s">
        <v>1574</v>
      </c>
    </row>
    <row r="823" spans="1:8" x14ac:dyDescent="0.25">
      <c r="A823" t="s">
        <v>1332</v>
      </c>
      <c r="B823" t="s">
        <v>1329</v>
      </c>
      <c r="C823" t="s">
        <v>1347</v>
      </c>
      <c r="D823" t="s">
        <v>1466</v>
      </c>
      <c r="E823" t="s">
        <v>1507</v>
      </c>
      <c r="F823" t="s">
        <v>1720</v>
      </c>
      <c r="G823" t="s">
        <v>1668</v>
      </c>
      <c r="H823" t="s">
        <v>1576</v>
      </c>
    </row>
    <row r="824" spans="1:8" x14ac:dyDescent="0.25">
      <c r="A824" t="s">
        <v>1336</v>
      </c>
      <c r="B824" t="s">
        <v>1330</v>
      </c>
      <c r="C824" t="s">
        <v>1287</v>
      </c>
      <c r="D824" t="s">
        <v>2878</v>
      </c>
      <c r="E824" t="s">
        <v>1509</v>
      </c>
      <c r="F824" t="s">
        <v>1677</v>
      </c>
      <c r="G824" t="s">
        <v>1669</v>
      </c>
      <c r="H824" t="s">
        <v>1577</v>
      </c>
    </row>
    <row r="825" spans="1:8" x14ac:dyDescent="0.25">
      <c r="A825" t="s">
        <v>1339</v>
      </c>
      <c r="B825" t="s">
        <v>1331</v>
      </c>
      <c r="C825" t="s">
        <v>1185</v>
      </c>
      <c r="D825" t="s">
        <v>1468</v>
      </c>
      <c r="E825" t="s">
        <v>1511</v>
      </c>
      <c r="F825" t="s">
        <v>1678</v>
      </c>
      <c r="G825" t="s">
        <v>1670</v>
      </c>
      <c r="H825" t="s">
        <v>1580</v>
      </c>
    </row>
    <row r="826" spans="1:8" x14ac:dyDescent="0.25">
      <c r="A826" t="s">
        <v>2859</v>
      </c>
      <c r="B826" t="s">
        <v>1365</v>
      </c>
      <c r="C826" t="s">
        <v>1187</v>
      </c>
      <c r="D826" t="s">
        <v>1487</v>
      </c>
      <c r="E826" t="s">
        <v>3230</v>
      </c>
      <c r="F826" t="s">
        <v>1698</v>
      </c>
      <c r="G826" t="s">
        <v>1671</v>
      </c>
      <c r="H826" t="s">
        <v>3231</v>
      </c>
    </row>
    <row r="827" spans="1:8" x14ac:dyDescent="0.25">
      <c r="A827" t="s">
        <v>2860</v>
      </c>
      <c r="B827" t="s">
        <v>1366</v>
      </c>
      <c r="C827" t="s">
        <v>1188</v>
      </c>
      <c r="D827" t="s">
        <v>3257</v>
      </c>
      <c r="E827" t="s">
        <v>2883</v>
      </c>
      <c r="F827" t="s">
        <v>1679</v>
      </c>
      <c r="G827" t="s">
        <v>1672</v>
      </c>
      <c r="H827" t="s">
        <v>3301</v>
      </c>
    </row>
    <row r="828" spans="1:8" x14ac:dyDescent="0.25">
      <c r="A828" t="s">
        <v>2364</v>
      </c>
      <c r="B828" t="s">
        <v>1368</v>
      </c>
      <c r="C828" t="s">
        <v>1196</v>
      </c>
      <c r="D828" t="s">
        <v>2879</v>
      </c>
      <c r="E828" t="s">
        <v>2884</v>
      </c>
      <c r="F828" t="s">
        <v>1680</v>
      </c>
      <c r="G828" t="s">
        <v>1673</v>
      </c>
      <c r="H828" t="s">
        <v>3319</v>
      </c>
    </row>
    <row r="829" spans="1:8" x14ac:dyDescent="0.25">
      <c r="A829" t="s">
        <v>1252</v>
      </c>
      <c r="B829" t="s">
        <v>1374</v>
      </c>
      <c r="C829" t="s">
        <v>1199</v>
      </c>
      <c r="D829" t="s">
        <v>1496</v>
      </c>
      <c r="E829" t="s">
        <v>2389</v>
      </c>
      <c r="F829" t="s">
        <v>1682</v>
      </c>
      <c r="G829" t="s">
        <v>1674</v>
      </c>
      <c r="H829" t="s">
        <v>1581</v>
      </c>
    </row>
    <row r="830" spans="1:8" x14ac:dyDescent="0.25">
      <c r="A830" t="s">
        <v>1237</v>
      </c>
      <c r="B830" t="s">
        <v>1375</v>
      </c>
      <c r="C830" t="s">
        <v>1190</v>
      </c>
      <c r="D830" t="s">
        <v>1476</v>
      </c>
      <c r="E830" t="s">
        <v>1512</v>
      </c>
      <c r="F830" t="s">
        <v>1683</v>
      </c>
      <c r="G830" t="s">
        <v>1675</v>
      </c>
      <c r="H830" t="s">
        <v>1582</v>
      </c>
    </row>
    <row r="831" spans="1:8" x14ac:dyDescent="0.25">
      <c r="A831" t="s">
        <v>1238</v>
      </c>
      <c r="B831" t="s">
        <v>2368</v>
      </c>
      <c r="C831" t="s">
        <v>1191</v>
      </c>
      <c r="D831" t="s">
        <v>1480</v>
      </c>
      <c r="E831" t="s">
        <v>1513</v>
      </c>
      <c r="F831" t="s">
        <v>1685</v>
      </c>
      <c r="G831" t="s">
        <v>1676</v>
      </c>
      <c r="H831" t="s">
        <v>1583</v>
      </c>
    </row>
    <row r="832" spans="1:8" x14ac:dyDescent="0.25">
      <c r="A832" t="s">
        <v>2861</v>
      </c>
      <c r="B832" t="s">
        <v>2369</v>
      </c>
      <c r="C832" t="s">
        <v>1194</v>
      </c>
      <c r="D832" t="s">
        <v>1455</v>
      </c>
      <c r="E832" t="s">
        <v>2885</v>
      </c>
      <c r="F832" t="s">
        <v>1686</v>
      </c>
      <c r="G832" t="s">
        <v>1720</v>
      </c>
      <c r="H832" t="s">
        <v>1595</v>
      </c>
    </row>
    <row r="833" spans="1:8" x14ac:dyDescent="0.25">
      <c r="A833" t="s">
        <v>1341</v>
      </c>
      <c r="B833" t="s">
        <v>2370</v>
      </c>
      <c r="C833" t="s">
        <v>1197</v>
      </c>
      <c r="D833" t="s">
        <v>1457</v>
      </c>
      <c r="E833" t="s">
        <v>2886</v>
      </c>
      <c r="F833" t="s">
        <v>1687</v>
      </c>
      <c r="G833" t="s">
        <v>1677</v>
      </c>
      <c r="H833" t="s">
        <v>3320</v>
      </c>
    </row>
    <row r="834" spans="1:8" x14ac:dyDescent="0.25">
      <c r="A834" t="s">
        <v>1239</v>
      </c>
      <c r="B834" t="s">
        <v>1376</v>
      </c>
      <c r="C834" t="s">
        <v>1200</v>
      </c>
      <c r="D834" t="s">
        <v>1458</v>
      </c>
      <c r="E834" t="s">
        <v>2887</v>
      </c>
      <c r="F834" t="s">
        <v>2429</v>
      </c>
      <c r="G834" t="s">
        <v>1678</v>
      </c>
      <c r="H834" t="s">
        <v>2893</v>
      </c>
    </row>
    <row r="835" spans="1:8" x14ac:dyDescent="0.25">
      <c r="A835" t="s">
        <v>2365</v>
      </c>
      <c r="B835" t="s">
        <v>1377</v>
      </c>
      <c r="C835" t="s">
        <v>1210</v>
      </c>
      <c r="D835" t="s">
        <v>1460</v>
      </c>
      <c r="E835" t="s">
        <v>1543</v>
      </c>
      <c r="F835" t="s">
        <v>1688</v>
      </c>
      <c r="G835" t="s">
        <v>1698</v>
      </c>
      <c r="H835" t="s">
        <v>2897</v>
      </c>
    </row>
    <row r="836" spans="1:8" x14ac:dyDescent="0.25">
      <c r="A836" t="s">
        <v>1259</v>
      </c>
      <c r="B836" t="s">
        <v>1379</v>
      </c>
      <c r="C836" t="s">
        <v>1202</v>
      </c>
      <c r="D836" t="s">
        <v>1461</v>
      </c>
      <c r="E836" t="s">
        <v>1514</v>
      </c>
      <c r="F836" t="s">
        <v>1689</v>
      </c>
      <c r="G836" t="s">
        <v>1679</v>
      </c>
      <c r="H836" t="s">
        <v>1620</v>
      </c>
    </row>
    <row r="837" spans="1:8" x14ac:dyDescent="0.25">
      <c r="A837" t="s">
        <v>1240</v>
      </c>
      <c r="B837" t="s">
        <v>1381</v>
      </c>
      <c r="C837" t="s">
        <v>2849</v>
      </c>
      <c r="D837" t="s">
        <v>1464</v>
      </c>
      <c r="E837" t="s">
        <v>1515</v>
      </c>
      <c r="F837" t="s">
        <v>1690</v>
      </c>
      <c r="G837" t="s">
        <v>1680</v>
      </c>
      <c r="H837" t="s">
        <v>2898</v>
      </c>
    </row>
    <row r="838" spans="1:8" x14ac:dyDescent="0.25">
      <c r="A838" t="s">
        <v>1241</v>
      </c>
      <c r="B838" t="s">
        <v>1382</v>
      </c>
      <c r="C838" t="s">
        <v>2850</v>
      </c>
      <c r="D838" t="s">
        <v>1465</v>
      </c>
      <c r="E838" t="s">
        <v>3085</v>
      </c>
      <c r="F838" t="s">
        <v>1691</v>
      </c>
      <c r="G838" t="s">
        <v>1682</v>
      </c>
      <c r="H838" t="s">
        <v>1585</v>
      </c>
    </row>
    <row r="839" spans="1:8" x14ac:dyDescent="0.25">
      <c r="A839" t="s">
        <v>2366</v>
      </c>
      <c r="B839" t="s">
        <v>1387</v>
      </c>
      <c r="C839" t="s">
        <v>1213</v>
      </c>
      <c r="D839" t="s">
        <v>1503</v>
      </c>
      <c r="E839" t="s">
        <v>2391</v>
      </c>
      <c r="F839" t="s">
        <v>2430</v>
      </c>
      <c r="G839" t="s">
        <v>1683</v>
      </c>
      <c r="H839" t="s">
        <v>1588</v>
      </c>
    </row>
    <row r="840" spans="1:8" x14ac:dyDescent="0.25">
      <c r="A840" t="s">
        <v>2367</v>
      </c>
      <c r="B840" t="s">
        <v>1388</v>
      </c>
      <c r="C840" t="s">
        <v>1215</v>
      </c>
      <c r="D840" t="s">
        <v>2385</v>
      </c>
      <c r="E840" t="s">
        <v>2392</v>
      </c>
      <c r="F840" t="s">
        <v>1692</v>
      </c>
      <c r="G840" t="s">
        <v>1685</v>
      </c>
      <c r="H840" t="s">
        <v>2899</v>
      </c>
    </row>
    <row r="841" spans="1:8" x14ac:dyDescent="0.25">
      <c r="A841" t="s">
        <v>1242</v>
      </c>
      <c r="B841" t="s">
        <v>1389</v>
      </c>
      <c r="C841" t="s">
        <v>2851</v>
      </c>
      <c r="D841" t="s">
        <v>2386</v>
      </c>
      <c r="E841" t="s">
        <v>3212</v>
      </c>
      <c r="F841" t="s">
        <v>1693</v>
      </c>
      <c r="G841" t="s">
        <v>1686</v>
      </c>
      <c r="H841" t="s">
        <v>3261</v>
      </c>
    </row>
    <row r="842" spans="1:8" x14ac:dyDescent="0.25">
      <c r="A842" t="s">
        <v>1273</v>
      </c>
      <c r="B842" t="s">
        <v>1390</v>
      </c>
      <c r="C842" t="s">
        <v>2852</v>
      </c>
      <c r="D842" t="s">
        <v>1467</v>
      </c>
      <c r="E842" t="s">
        <v>1516</v>
      </c>
      <c r="F842" t="s">
        <v>1694</v>
      </c>
      <c r="G842" t="s">
        <v>1687</v>
      </c>
      <c r="H842" t="s">
        <v>3131</v>
      </c>
    </row>
    <row r="843" spans="1:8" x14ac:dyDescent="0.25">
      <c r="A843" t="s">
        <v>1378</v>
      </c>
      <c r="B843" t="s">
        <v>1392</v>
      </c>
      <c r="C843" t="s">
        <v>2853</v>
      </c>
      <c r="D843" t="s">
        <v>1470</v>
      </c>
      <c r="E843" t="s">
        <v>1517</v>
      </c>
      <c r="F843" t="s">
        <v>1696</v>
      </c>
      <c r="G843" t="s">
        <v>2429</v>
      </c>
      <c r="H843" t="s">
        <v>2409</v>
      </c>
    </row>
    <row r="844" spans="1:8" x14ac:dyDescent="0.25">
      <c r="A844" t="s">
        <v>1391</v>
      </c>
      <c r="B844" t="s">
        <v>1423</v>
      </c>
      <c r="C844" t="s">
        <v>1208</v>
      </c>
      <c r="D844" t="s">
        <v>1471</v>
      </c>
      <c r="E844" t="s">
        <v>1518</v>
      </c>
      <c r="F844" t="s">
        <v>1697</v>
      </c>
      <c r="G844" t="s">
        <v>1688</v>
      </c>
      <c r="H844" t="s">
        <v>1590</v>
      </c>
    </row>
    <row r="845" spans="1:8" x14ac:dyDescent="0.25">
      <c r="A845" t="s">
        <v>2862</v>
      </c>
      <c r="B845" t="s">
        <v>1456</v>
      </c>
      <c r="C845" t="s">
        <v>1211</v>
      </c>
      <c r="D845" t="s">
        <v>1472</v>
      </c>
      <c r="E845" t="s">
        <v>1519</v>
      </c>
      <c r="F845" t="s">
        <v>1699</v>
      </c>
      <c r="G845" t="s">
        <v>1689</v>
      </c>
      <c r="H845" t="s">
        <v>2411</v>
      </c>
    </row>
    <row r="846" spans="1:8" x14ac:dyDescent="0.25">
      <c r="A846" t="s">
        <v>2863</v>
      </c>
      <c r="B846" t="s">
        <v>2372</v>
      </c>
      <c r="C846" t="s">
        <v>1212</v>
      </c>
      <c r="D846" t="s">
        <v>1473</v>
      </c>
      <c r="E846" t="s">
        <v>1520</v>
      </c>
      <c r="F846" t="s">
        <v>1700</v>
      </c>
      <c r="G846" t="s">
        <v>1690</v>
      </c>
      <c r="H846" t="s">
        <v>2412</v>
      </c>
    </row>
    <row r="847" spans="1:8" x14ac:dyDescent="0.25">
      <c r="A847" t="s">
        <v>2864</v>
      </c>
      <c r="B847" t="s">
        <v>2374</v>
      </c>
      <c r="C847" t="s">
        <v>2854</v>
      </c>
      <c r="D847" t="s">
        <v>1475</v>
      </c>
      <c r="E847" t="s">
        <v>1521</v>
      </c>
      <c r="F847" t="s">
        <v>1701</v>
      </c>
      <c r="G847" t="s">
        <v>1691</v>
      </c>
      <c r="H847" t="s">
        <v>1591</v>
      </c>
    </row>
    <row r="848" spans="1:8" x14ac:dyDescent="0.25">
      <c r="A848" t="s">
        <v>2865</v>
      </c>
      <c r="B848" t="s">
        <v>3125</v>
      </c>
      <c r="C848" t="s">
        <v>1225</v>
      </c>
      <c r="D848" t="s">
        <v>1479</v>
      </c>
      <c r="E848" t="s">
        <v>1522</v>
      </c>
      <c r="F848" t="s">
        <v>1702</v>
      </c>
      <c r="G848" t="s">
        <v>2430</v>
      </c>
      <c r="H848" t="s">
        <v>3338</v>
      </c>
    </row>
    <row r="849" spans="1:8" x14ac:dyDescent="0.25">
      <c r="A849" t="s">
        <v>2866</v>
      </c>
      <c r="B849" t="s">
        <v>2375</v>
      </c>
      <c r="C849" t="s">
        <v>1227</v>
      </c>
      <c r="D849" t="s">
        <v>1482</v>
      </c>
      <c r="E849" t="s">
        <v>1523</v>
      </c>
      <c r="F849" t="s">
        <v>2432</v>
      </c>
      <c r="G849" t="s">
        <v>1692</v>
      </c>
      <c r="H849" t="s">
        <v>2413</v>
      </c>
    </row>
    <row r="850" spans="1:8" x14ac:dyDescent="0.25">
      <c r="A850" t="s">
        <v>2867</v>
      </c>
      <c r="B850" t="s">
        <v>2376</v>
      </c>
      <c r="C850" t="s">
        <v>1234</v>
      </c>
      <c r="D850" t="s">
        <v>1483</v>
      </c>
      <c r="E850" t="s">
        <v>1524</v>
      </c>
      <c r="F850" t="s">
        <v>1703</v>
      </c>
      <c r="G850" t="s">
        <v>1693</v>
      </c>
      <c r="H850" t="s">
        <v>1594</v>
      </c>
    </row>
    <row r="851" spans="1:8" x14ac:dyDescent="0.25">
      <c r="A851" t="s">
        <v>1246</v>
      </c>
      <c r="B851" t="s">
        <v>2377</v>
      </c>
      <c r="C851" t="s">
        <v>1236</v>
      </c>
      <c r="D851" t="s">
        <v>1485</v>
      </c>
      <c r="E851" t="s">
        <v>1525</v>
      </c>
      <c r="F851" t="s">
        <v>2433</v>
      </c>
      <c r="G851" t="s">
        <v>1694</v>
      </c>
      <c r="H851" t="s">
        <v>1596</v>
      </c>
    </row>
    <row r="852" spans="1:8" x14ac:dyDescent="0.25">
      <c r="A852" t="s">
        <v>1248</v>
      </c>
      <c r="B852" t="s">
        <v>2873</v>
      </c>
      <c r="C852" t="s">
        <v>1355</v>
      </c>
      <c r="D852" t="s">
        <v>1486</v>
      </c>
      <c r="E852" t="s">
        <v>1527</v>
      </c>
      <c r="F852" t="s">
        <v>2434</v>
      </c>
      <c r="G852" t="s">
        <v>1696</v>
      </c>
      <c r="H852" t="s">
        <v>1597</v>
      </c>
    </row>
    <row r="853" spans="1:8" x14ac:dyDescent="0.25">
      <c r="A853" t="s">
        <v>1251</v>
      </c>
      <c r="B853" t="s">
        <v>2378</v>
      </c>
      <c r="C853" t="s">
        <v>1323</v>
      </c>
      <c r="D853" t="s">
        <v>1488</v>
      </c>
      <c r="E853" t="s">
        <v>3127</v>
      </c>
      <c r="F853" t="s">
        <v>1704</v>
      </c>
      <c r="G853" t="s">
        <v>1697</v>
      </c>
      <c r="H853" t="s">
        <v>3312</v>
      </c>
    </row>
    <row r="854" spans="1:8" x14ac:dyDescent="0.25">
      <c r="A854" t="s">
        <v>1254</v>
      </c>
      <c r="B854" t="s">
        <v>2379</v>
      </c>
      <c r="C854" t="s">
        <v>1383</v>
      </c>
      <c r="D854" t="s">
        <v>1490</v>
      </c>
      <c r="E854" t="s">
        <v>1528</v>
      </c>
      <c r="F854" t="s">
        <v>1705</v>
      </c>
      <c r="G854" t="s">
        <v>1699</v>
      </c>
      <c r="H854" t="s">
        <v>3321</v>
      </c>
    </row>
    <row r="855" spans="1:8" x14ac:dyDescent="0.25">
      <c r="A855" t="s">
        <v>1256</v>
      </c>
      <c r="B855" t="s">
        <v>1416</v>
      </c>
      <c r="C855" t="s">
        <v>1217</v>
      </c>
      <c r="D855" t="s">
        <v>1492</v>
      </c>
      <c r="E855" t="s">
        <v>3128</v>
      </c>
      <c r="F855" t="s">
        <v>1706</v>
      </c>
      <c r="G855" t="s">
        <v>1700</v>
      </c>
      <c r="H855" t="s">
        <v>3322</v>
      </c>
    </row>
    <row r="856" spans="1:8" x14ac:dyDescent="0.25">
      <c r="A856" t="s">
        <v>1265</v>
      </c>
      <c r="B856" t="s">
        <v>3126</v>
      </c>
      <c r="C856" t="s">
        <v>3207</v>
      </c>
      <c r="D856" t="s">
        <v>1494</v>
      </c>
      <c r="E856" t="s">
        <v>1529</v>
      </c>
      <c r="F856" t="s">
        <v>1707</v>
      </c>
      <c r="G856" t="s">
        <v>2431</v>
      </c>
      <c r="H856" t="s">
        <v>1599</v>
      </c>
    </row>
    <row r="857" spans="1:8" x14ac:dyDescent="0.25">
      <c r="A857" t="s">
        <v>1267</v>
      </c>
      <c r="B857" t="s">
        <v>2874</v>
      </c>
      <c r="C857" t="s">
        <v>1359</v>
      </c>
      <c r="D857" t="s">
        <v>1497</v>
      </c>
      <c r="E857" t="s">
        <v>3129</v>
      </c>
      <c r="F857" t="s">
        <v>2435</v>
      </c>
      <c r="G857" t="s">
        <v>1701</v>
      </c>
      <c r="H857" t="s">
        <v>1652</v>
      </c>
    </row>
    <row r="858" spans="1:8" x14ac:dyDescent="0.25">
      <c r="A858" t="s">
        <v>2868</v>
      </c>
      <c r="B858" t="s">
        <v>2875</v>
      </c>
      <c r="C858" t="s">
        <v>2856</v>
      </c>
      <c r="D858" t="s">
        <v>1498</v>
      </c>
      <c r="E858" t="s">
        <v>1530</v>
      </c>
      <c r="F858" t="s">
        <v>2436</v>
      </c>
      <c r="G858" t="s">
        <v>1702</v>
      </c>
      <c r="H858" t="s">
        <v>3323</v>
      </c>
    </row>
    <row r="859" spans="1:8" x14ac:dyDescent="0.25">
      <c r="A859" t="s">
        <v>2869</v>
      </c>
      <c r="B859" t="s">
        <v>2876</v>
      </c>
      <c r="C859" t="s">
        <v>1218</v>
      </c>
      <c r="D859" t="s">
        <v>1499</v>
      </c>
      <c r="E859" t="s">
        <v>3258</v>
      </c>
      <c r="F859" t="s">
        <v>2437</v>
      </c>
      <c r="G859" t="s">
        <v>2432</v>
      </c>
      <c r="H859" t="s">
        <v>1600</v>
      </c>
    </row>
    <row r="860" spans="1:8" x14ac:dyDescent="0.25">
      <c r="A860" t="s">
        <v>2870</v>
      </c>
      <c r="B860" t="s">
        <v>1432</v>
      </c>
      <c r="C860" t="s">
        <v>2857</v>
      </c>
      <c r="D860" t="s">
        <v>1500</v>
      </c>
      <c r="E860" t="s">
        <v>1532</v>
      </c>
      <c r="F860" t="s">
        <v>1708</v>
      </c>
      <c r="G860" t="s">
        <v>1703</v>
      </c>
      <c r="H860" t="s">
        <v>1601</v>
      </c>
    </row>
    <row r="861" spans="1:8" x14ac:dyDescent="0.25">
      <c r="A861" t="s">
        <v>2871</v>
      </c>
      <c r="B861" t="s">
        <v>2877</v>
      </c>
      <c r="C861" t="s">
        <v>1219</v>
      </c>
      <c r="D861" t="s">
        <v>1501</v>
      </c>
      <c r="E861" t="s">
        <v>1533</v>
      </c>
      <c r="F861" t="s">
        <v>1709</v>
      </c>
      <c r="G861" t="s">
        <v>2433</v>
      </c>
      <c r="H861" t="s">
        <v>1602</v>
      </c>
    </row>
    <row r="862" spans="1:8" x14ac:dyDescent="0.25">
      <c r="A862" t="s">
        <v>2872</v>
      </c>
      <c r="B862" t="s">
        <v>1435</v>
      </c>
      <c r="C862" t="s">
        <v>1220</v>
      </c>
      <c r="D862" t="s">
        <v>1502</v>
      </c>
      <c r="E862" t="s">
        <v>1534</v>
      </c>
      <c r="F862" t="s">
        <v>1710</v>
      </c>
      <c r="G862" t="s">
        <v>2434</v>
      </c>
      <c r="H862" t="s">
        <v>1603</v>
      </c>
    </row>
    <row r="863" spans="1:8" x14ac:dyDescent="0.25">
      <c r="A863" t="s">
        <v>1308</v>
      </c>
      <c r="B863" t="s">
        <v>1438</v>
      </c>
      <c r="C863" t="s">
        <v>1221</v>
      </c>
      <c r="D863" t="s">
        <v>1504</v>
      </c>
      <c r="E863" t="s">
        <v>1536</v>
      </c>
      <c r="F863" t="s">
        <v>1711</v>
      </c>
      <c r="G863" t="s">
        <v>1704</v>
      </c>
      <c r="H863" t="s">
        <v>1606</v>
      </c>
    </row>
    <row r="864" spans="1:8" x14ac:dyDescent="0.25">
      <c r="A864" t="s">
        <v>1309</v>
      </c>
      <c r="B864" t="s">
        <v>2382</v>
      </c>
      <c r="C864" t="s">
        <v>3113</v>
      </c>
      <c r="D864" t="s">
        <v>1507</v>
      </c>
      <c r="E864" t="s">
        <v>1537</v>
      </c>
      <c r="F864" t="s">
        <v>2438</v>
      </c>
      <c r="G864" t="s">
        <v>1705</v>
      </c>
      <c r="H864" t="s">
        <v>1607</v>
      </c>
    </row>
    <row r="865" spans="1:8" x14ac:dyDescent="0.25">
      <c r="A865" t="s">
        <v>1311</v>
      </c>
      <c r="B865" t="s">
        <v>2384</v>
      </c>
      <c r="C865" t="s">
        <v>2363</v>
      </c>
      <c r="D865" t="s">
        <v>1509</v>
      </c>
      <c r="E865" t="s">
        <v>1538</v>
      </c>
      <c r="F865" t="s">
        <v>1712</v>
      </c>
      <c r="G865" t="s">
        <v>1706</v>
      </c>
      <c r="H865" t="s">
        <v>3275</v>
      </c>
    </row>
    <row r="866" spans="1:8" x14ac:dyDescent="0.25">
      <c r="A866" t="s">
        <v>1314</v>
      </c>
      <c r="B866" t="s">
        <v>1418</v>
      </c>
      <c r="C866" t="s">
        <v>1231</v>
      </c>
      <c r="D866" t="s">
        <v>1511</v>
      </c>
      <c r="E866" t="s">
        <v>1539</v>
      </c>
      <c r="F866" t="s">
        <v>1713</v>
      </c>
      <c r="G866" t="s">
        <v>1707</v>
      </c>
      <c r="H866" t="s">
        <v>2415</v>
      </c>
    </row>
    <row r="867" spans="1:8" x14ac:dyDescent="0.25">
      <c r="A867" t="s">
        <v>1315</v>
      </c>
      <c r="B867" t="s">
        <v>1422</v>
      </c>
      <c r="C867" t="s">
        <v>3114</v>
      </c>
      <c r="D867" t="s">
        <v>3230</v>
      </c>
      <c r="E867" t="s">
        <v>1540</v>
      </c>
      <c r="F867" t="s">
        <v>1714</v>
      </c>
      <c r="G867" t="s">
        <v>2435</v>
      </c>
      <c r="H867" t="s">
        <v>2907</v>
      </c>
    </row>
    <row r="868" spans="1:8" x14ac:dyDescent="0.25">
      <c r="A868" t="s">
        <v>1316</v>
      </c>
      <c r="B868" t="s">
        <v>1425</v>
      </c>
      <c r="C868" t="s">
        <v>3115</v>
      </c>
      <c r="D868" t="s">
        <v>2882</v>
      </c>
      <c r="E868" t="s">
        <v>1541</v>
      </c>
      <c r="F868" t="s">
        <v>1715</v>
      </c>
      <c r="G868" t="s">
        <v>2436</v>
      </c>
      <c r="H868" t="s">
        <v>3133</v>
      </c>
    </row>
    <row r="869" spans="1:8" x14ac:dyDescent="0.25">
      <c r="A869" t="s">
        <v>1317</v>
      </c>
      <c r="B869" t="s">
        <v>1429</v>
      </c>
      <c r="C869" t="s">
        <v>3161</v>
      </c>
      <c r="D869" t="s">
        <v>2883</v>
      </c>
      <c r="E869" t="s">
        <v>1542</v>
      </c>
      <c r="F869" t="s">
        <v>1716</v>
      </c>
      <c r="G869" t="s">
        <v>2437</v>
      </c>
      <c r="H869" t="s">
        <v>3134</v>
      </c>
    </row>
    <row r="870" spans="1:8" x14ac:dyDescent="0.25">
      <c r="A870" t="s">
        <v>1321</v>
      </c>
      <c r="B870" t="s">
        <v>1446</v>
      </c>
      <c r="C870" t="s">
        <v>3208</v>
      </c>
      <c r="D870" t="s">
        <v>2884</v>
      </c>
      <c r="E870" t="s">
        <v>1544</v>
      </c>
      <c r="F870" t="s">
        <v>1717</v>
      </c>
      <c r="G870" t="s">
        <v>1708</v>
      </c>
      <c r="H870" t="s">
        <v>1608</v>
      </c>
    </row>
    <row r="871" spans="1:8" x14ac:dyDescent="0.25">
      <c r="A871" t="s">
        <v>1327</v>
      </c>
      <c r="B871" t="s">
        <v>1462</v>
      </c>
      <c r="C871" t="s">
        <v>3162</v>
      </c>
      <c r="D871" t="s">
        <v>2389</v>
      </c>
      <c r="E871" t="s">
        <v>1545</v>
      </c>
      <c r="F871" t="s">
        <v>1718</v>
      </c>
      <c r="G871" t="s">
        <v>1709</v>
      </c>
      <c r="H871" t="s">
        <v>2912</v>
      </c>
    </row>
    <row r="872" spans="1:8" x14ac:dyDescent="0.25">
      <c r="A872" t="s">
        <v>1328</v>
      </c>
      <c r="B872" t="s">
        <v>1431</v>
      </c>
      <c r="C872" t="s">
        <v>1370</v>
      </c>
      <c r="D872" t="s">
        <v>1512</v>
      </c>
      <c r="E872" t="s">
        <v>1547</v>
      </c>
      <c r="F872" t="s">
        <v>1719</v>
      </c>
      <c r="G872" t="s">
        <v>1710</v>
      </c>
      <c r="H872" t="s">
        <v>1609</v>
      </c>
    </row>
    <row r="873" spans="1:8" x14ac:dyDescent="0.25">
      <c r="A873" t="s">
        <v>1334</v>
      </c>
      <c r="B873" t="s">
        <v>1434</v>
      </c>
      <c r="C873" t="s">
        <v>1332</v>
      </c>
      <c r="D873" t="s">
        <v>1513</v>
      </c>
      <c r="E873" t="s">
        <v>1548</v>
      </c>
      <c r="F873" t="s">
        <v>1721</v>
      </c>
      <c r="G873" t="s">
        <v>1711</v>
      </c>
      <c r="H873" t="s">
        <v>1611</v>
      </c>
    </row>
    <row r="874" spans="1:8" x14ac:dyDescent="0.25">
      <c r="A874" t="s">
        <v>1380</v>
      </c>
      <c r="B874" t="s">
        <v>1453</v>
      </c>
      <c r="C874" t="s">
        <v>1336</v>
      </c>
      <c r="D874" t="s">
        <v>2885</v>
      </c>
      <c r="E874" t="s">
        <v>1549</v>
      </c>
      <c r="F874" t="s">
        <v>2440</v>
      </c>
      <c r="G874" t="s">
        <v>2438</v>
      </c>
      <c r="H874" t="s">
        <v>1612</v>
      </c>
    </row>
    <row r="875" spans="1:8" x14ac:dyDescent="0.25">
      <c r="A875" t="s">
        <v>1338</v>
      </c>
      <c r="B875" t="s">
        <v>1463</v>
      </c>
      <c r="C875" t="s">
        <v>2364</v>
      </c>
      <c r="D875" t="s">
        <v>2886</v>
      </c>
      <c r="E875" t="s">
        <v>3259</v>
      </c>
      <c r="F875" t="s">
        <v>2441</v>
      </c>
      <c r="G875" t="s">
        <v>1712</v>
      </c>
      <c r="H875" t="s">
        <v>1613</v>
      </c>
    </row>
    <row r="876" spans="1:8" x14ac:dyDescent="0.25">
      <c r="A876" t="s">
        <v>1329</v>
      </c>
      <c r="B876" t="s">
        <v>1459</v>
      </c>
      <c r="C876" t="s">
        <v>1237</v>
      </c>
      <c r="D876" t="s">
        <v>2887</v>
      </c>
      <c r="E876" t="s">
        <v>2398</v>
      </c>
      <c r="F876" t="s">
        <v>2443</v>
      </c>
      <c r="G876" t="s">
        <v>1713</v>
      </c>
      <c r="H876" t="s">
        <v>1614</v>
      </c>
    </row>
    <row r="877" spans="1:8" x14ac:dyDescent="0.25">
      <c r="A877" t="s">
        <v>1330</v>
      </c>
      <c r="B877" t="s">
        <v>1443</v>
      </c>
      <c r="C877" t="s">
        <v>3116</v>
      </c>
      <c r="D877" t="s">
        <v>1543</v>
      </c>
      <c r="E877" t="s">
        <v>3130</v>
      </c>
      <c r="F877" t="s">
        <v>1722</v>
      </c>
      <c r="G877" t="s">
        <v>1714</v>
      </c>
      <c r="H877" t="s">
        <v>1616</v>
      </c>
    </row>
    <row r="878" spans="1:8" x14ac:dyDescent="0.25">
      <c r="A878" t="s">
        <v>1331</v>
      </c>
      <c r="B878" t="s">
        <v>1481</v>
      </c>
      <c r="C878" t="s">
        <v>3117</v>
      </c>
      <c r="D878" t="s">
        <v>1514</v>
      </c>
      <c r="E878" t="s">
        <v>1550</v>
      </c>
      <c r="F878" t="s">
        <v>1723</v>
      </c>
      <c r="G878" t="s">
        <v>1715</v>
      </c>
      <c r="H878" t="s">
        <v>1617</v>
      </c>
    </row>
    <row r="879" spans="1:8" x14ac:dyDescent="0.25">
      <c r="A879" t="s">
        <v>1337</v>
      </c>
      <c r="B879" t="s">
        <v>1444</v>
      </c>
      <c r="C879" t="s">
        <v>3163</v>
      </c>
      <c r="D879" t="s">
        <v>1515</v>
      </c>
      <c r="E879" t="s">
        <v>2888</v>
      </c>
      <c r="F879" t="s">
        <v>1724</v>
      </c>
      <c r="G879" t="s">
        <v>1716</v>
      </c>
      <c r="H879" t="s">
        <v>1618</v>
      </c>
    </row>
    <row r="880" spans="1:8" x14ac:dyDescent="0.25">
      <c r="A880" t="s">
        <v>1342</v>
      </c>
      <c r="B880" t="s">
        <v>1445</v>
      </c>
      <c r="C880" t="s">
        <v>3209</v>
      </c>
      <c r="D880" t="s">
        <v>3085</v>
      </c>
      <c r="E880" t="s">
        <v>1551</v>
      </c>
      <c r="F880" t="s">
        <v>1725</v>
      </c>
      <c r="G880" t="s">
        <v>1717</v>
      </c>
      <c r="H880" t="s">
        <v>1619</v>
      </c>
    </row>
    <row r="881" spans="1:8" x14ac:dyDescent="0.25">
      <c r="A881" t="s">
        <v>1343</v>
      </c>
      <c r="B881" t="s">
        <v>1447</v>
      </c>
      <c r="C881" t="s">
        <v>1341</v>
      </c>
      <c r="D881" t="s">
        <v>2391</v>
      </c>
      <c r="E881" t="s">
        <v>1552</v>
      </c>
      <c r="F881" t="s">
        <v>2444</v>
      </c>
      <c r="G881" t="s">
        <v>1718</v>
      </c>
      <c r="H881" t="s">
        <v>1621</v>
      </c>
    </row>
    <row r="882" spans="1:8" x14ac:dyDescent="0.25">
      <c r="A882" t="s">
        <v>1344</v>
      </c>
      <c r="B882" t="s">
        <v>1469</v>
      </c>
      <c r="C882" t="s">
        <v>1239</v>
      </c>
      <c r="D882" t="s">
        <v>2392</v>
      </c>
      <c r="E882" t="s">
        <v>1553</v>
      </c>
      <c r="F882" t="s">
        <v>2445</v>
      </c>
      <c r="G882" t="s">
        <v>1719</v>
      </c>
      <c r="H882" t="s">
        <v>2416</v>
      </c>
    </row>
    <row r="883" spans="1:8" x14ac:dyDescent="0.25">
      <c r="A883" t="s">
        <v>1348</v>
      </c>
      <c r="B883" t="s">
        <v>1474</v>
      </c>
      <c r="C883" t="s">
        <v>1259</v>
      </c>
      <c r="D883" t="s">
        <v>3212</v>
      </c>
      <c r="E883" t="s">
        <v>1554</v>
      </c>
      <c r="F883" t="s">
        <v>2950</v>
      </c>
      <c r="G883" t="s">
        <v>1721</v>
      </c>
      <c r="H883" t="s">
        <v>2919</v>
      </c>
    </row>
    <row r="884" spans="1:8" x14ac:dyDescent="0.25">
      <c r="A884" t="s">
        <v>1349</v>
      </c>
      <c r="B884" t="s">
        <v>1478</v>
      </c>
      <c r="C884" t="s">
        <v>1240</v>
      </c>
      <c r="D884" t="s">
        <v>1516</v>
      </c>
      <c r="E884" t="s">
        <v>2889</v>
      </c>
      <c r="F884" t="s">
        <v>2951</v>
      </c>
      <c r="G884" t="s">
        <v>2440</v>
      </c>
      <c r="H884" t="s">
        <v>2920</v>
      </c>
    </row>
    <row r="885" spans="1:8" x14ac:dyDescent="0.25">
      <c r="A885" t="s">
        <v>1350</v>
      </c>
      <c r="B885" t="s">
        <v>1448</v>
      </c>
      <c r="C885" t="s">
        <v>1241</v>
      </c>
      <c r="D885" t="s">
        <v>1517</v>
      </c>
      <c r="E885" t="s">
        <v>2890</v>
      </c>
      <c r="F885" t="s">
        <v>2952</v>
      </c>
      <c r="G885" t="s">
        <v>2441</v>
      </c>
      <c r="H885" t="s">
        <v>2921</v>
      </c>
    </row>
    <row r="886" spans="1:8" x14ac:dyDescent="0.25">
      <c r="A886" t="s">
        <v>1351</v>
      </c>
      <c r="B886" t="s">
        <v>1466</v>
      </c>
      <c r="C886" t="s">
        <v>2366</v>
      </c>
      <c r="D886" t="s">
        <v>1518</v>
      </c>
      <c r="E886" t="s">
        <v>1555</v>
      </c>
      <c r="F886" t="s">
        <v>1726</v>
      </c>
      <c r="G886" t="s">
        <v>2443</v>
      </c>
      <c r="H886" t="s">
        <v>2923</v>
      </c>
    </row>
    <row r="887" spans="1:8" x14ac:dyDescent="0.25">
      <c r="A887" t="s">
        <v>1353</v>
      </c>
      <c r="B887" t="s">
        <v>2879</v>
      </c>
      <c r="C887" t="s">
        <v>2367</v>
      </c>
      <c r="D887" t="s">
        <v>1519</v>
      </c>
      <c r="E887" t="s">
        <v>3260</v>
      </c>
      <c r="F887" t="s">
        <v>1727</v>
      </c>
      <c r="G887" t="s">
        <v>1722</v>
      </c>
      <c r="H887" t="s">
        <v>2924</v>
      </c>
    </row>
    <row r="888" spans="1:8" x14ac:dyDescent="0.25">
      <c r="A888" t="s">
        <v>1356</v>
      </c>
      <c r="B888" t="s">
        <v>1496</v>
      </c>
      <c r="C888" t="s">
        <v>3119</v>
      </c>
      <c r="D888" t="s">
        <v>1520</v>
      </c>
      <c r="E888" t="s">
        <v>1592</v>
      </c>
      <c r="F888" t="s">
        <v>1728</v>
      </c>
      <c r="G888" t="s">
        <v>1723</v>
      </c>
      <c r="H888" t="s">
        <v>1622</v>
      </c>
    </row>
    <row r="889" spans="1:8" x14ac:dyDescent="0.25">
      <c r="A889" t="s">
        <v>1411</v>
      </c>
      <c r="B889" t="s">
        <v>1476</v>
      </c>
      <c r="C889" t="s">
        <v>2865</v>
      </c>
      <c r="D889" t="s">
        <v>1521</v>
      </c>
      <c r="E889" t="s">
        <v>1556</v>
      </c>
      <c r="F889" t="s">
        <v>1729</v>
      </c>
      <c r="G889" t="s">
        <v>1724</v>
      </c>
      <c r="H889" t="s">
        <v>1624</v>
      </c>
    </row>
    <row r="890" spans="1:8" x14ac:dyDescent="0.25">
      <c r="A890" t="s">
        <v>1365</v>
      </c>
      <c r="B890" t="s">
        <v>1480</v>
      </c>
      <c r="C890" t="s">
        <v>2866</v>
      </c>
      <c r="D890" t="s">
        <v>1522</v>
      </c>
      <c r="E890" t="s">
        <v>2891</v>
      </c>
      <c r="F890" t="s">
        <v>1730</v>
      </c>
      <c r="G890" t="s">
        <v>1725</v>
      </c>
      <c r="H890" t="s">
        <v>2925</v>
      </c>
    </row>
    <row r="891" spans="1:8" x14ac:dyDescent="0.25">
      <c r="A891" t="s">
        <v>1366</v>
      </c>
      <c r="B891" t="s">
        <v>1457</v>
      </c>
      <c r="C891" t="s">
        <v>1246</v>
      </c>
      <c r="D891" t="s">
        <v>1523</v>
      </c>
      <c r="E891" t="s">
        <v>1557</v>
      </c>
      <c r="F891" t="s">
        <v>1731</v>
      </c>
      <c r="G891" t="s">
        <v>2444</v>
      </c>
      <c r="H891" t="s">
        <v>2926</v>
      </c>
    </row>
    <row r="892" spans="1:8" x14ac:dyDescent="0.25">
      <c r="A892" t="s">
        <v>1368</v>
      </c>
      <c r="B892" t="s">
        <v>1458</v>
      </c>
      <c r="C892" t="s">
        <v>1248</v>
      </c>
      <c r="D892" t="s">
        <v>1524</v>
      </c>
      <c r="E892" t="s">
        <v>1561</v>
      </c>
      <c r="F892" t="s">
        <v>1732</v>
      </c>
      <c r="G892" t="s">
        <v>2445</v>
      </c>
      <c r="H892" t="s">
        <v>2929</v>
      </c>
    </row>
    <row r="893" spans="1:8" x14ac:dyDescent="0.25">
      <c r="A893" t="s">
        <v>1373</v>
      </c>
      <c r="B893" t="s">
        <v>1460</v>
      </c>
      <c r="C893" t="s">
        <v>1302</v>
      </c>
      <c r="D893" t="s">
        <v>1525</v>
      </c>
      <c r="E893" t="s">
        <v>1598</v>
      </c>
      <c r="F893" t="s">
        <v>1733</v>
      </c>
      <c r="G893" t="s">
        <v>1726</v>
      </c>
      <c r="H893" t="s">
        <v>2930</v>
      </c>
    </row>
    <row r="894" spans="1:8" x14ac:dyDescent="0.25">
      <c r="A894" t="s">
        <v>1374</v>
      </c>
      <c r="B894" t="s">
        <v>1461</v>
      </c>
      <c r="C894" t="s">
        <v>3164</v>
      </c>
      <c r="D894" t="s">
        <v>1527</v>
      </c>
      <c r="E894" t="s">
        <v>1562</v>
      </c>
      <c r="F894" t="s">
        <v>1734</v>
      </c>
      <c r="G894" t="s">
        <v>1727</v>
      </c>
      <c r="H894" t="s">
        <v>3136</v>
      </c>
    </row>
    <row r="895" spans="1:8" x14ac:dyDescent="0.25">
      <c r="A895" t="s">
        <v>1375</v>
      </c>
      <c r="B895" t="s">
        <v>1464</v>
      </c>
      <c r="C895" t="s">
        <v>2869</v>
      </c>
      <c r="D895" t="s">
        <v>3127</v>
      </c>
      <c r="E895" t="s">
        <v>1563</v>
      </c>
      <c r="F895" t="s">
        <v>1735</v>
      </c>
      <c r="G895" t="s">
        <v>1728</v>
      </c>
      <c r="H895" t="s">
        <v>1625</v>
      </c>
    </row>
    <row r="896" spans="1:8" x14ac:dyDescent="0.25">
      <c r="A896" t="s">
        <v>2368</v>
      </c>
      <c r="B896" t="s">
        <v>1465</v>
      </c>
      <c r="C896" t="s">
        <v>1309</v>
      </c>
      <c r="D896" t="s">
        <v>1528</v>
      </c>
      <c r="E896" t="s">
        <v>1610</v>
      </c>
      <c r="F896" t="s">
        <v>1736</v>
      </c>
      <c r="G896" t="s">
        <v>1729</v>
      </c>
      <c r="H896" t="s">
        <v>1626</v>
      </c>
    </row>
    <row r="897" spans="1:8" x14ac:dyDescent="0.25">
      <c r="A897" t="s">
        <v>2369</v>
      </c>
      <c r="B897" t="s">
        <v>1510</v>
      </c>
      <c r="C897" t="s">
        <v>1311</v>
      </c>
      <c r="D897" t="s">
        <v>3128</v>
      </c>
      <c r="E897" t="s">
        <v>1605</v>
      </c>
      <c r="F897" t="s">
        <v>1737</v>
      </c>
      <c r="G897" t="s">
        <v>1730</v>
      </c>
      <c r="H897" t="s">
        <v>1627</v>
      </c>
    </row>
    <row r="898" spans="1:8" x14ac:dyDescent="0.25">
      <c r="A898" t="s">
        <v>2370</v>
      </c>
      <c r="B898" t="s">
        <v>2385</v>
      </c>
      <c r="C898" t="s">
        <v>1315</v>
      </c>
      <c r="D898" t="s">
        <v>1529</v>
      </c>
      <c r="E898" t="s">
        <v>2401</v>
      </c>
      <c r="F898" t="s">
        <v>2953</v>
      </c>
      <c r="G898" t="s">
        <v>1731</v>
      </c>
      <c r="H898" t="s">
        <v>1628</v>
      </c>
    </row>
    <row r="899" spans="1:8" x14ac:dyDescent="0.25">
      <c r="A899" t="s">
        <v>1376</v>
      </c>
      <c r="B899" t="s">
        <v>2386</v>
      </c>
      <c r="C899" t="s">
        <v>1316</v>
      </c>
      <c r="D899" t="s">
        <v>3129</v>
      </c>
      <c r="E899" t="s">
        <v>2402</v>
      </c>
      <c r="F899" t="s">
        <v>2954</v>
      </c>
      <c r="G899" t="s">
        <v>1732</v>
      </c>
      <c r="H899" t="s">
        <v>1630</v>
      </c>
    </row>
    <row r="900" spans="1:8" x14ac:dyDescent="0.25">
      <c r="A900" t="s">
        <v>1377</v>
      </c>
      <c r="B900" t="s">
        <v>2880</v>
      </c>
      <c r="C900" t="s">
        <v>1321</v>
      </c>
      <c r="D900" t="s">
        <v>1530</v>
      </c>
      <c r="E900" t="s">
        <v>1566</v>
      </c>
      <c r="F900" t="s">
        <v>2955</v>
      </c>
      <c r="G900" t="s">
        <v>1733</v>
      </c>
      <c r="H900" t="s">
        <v>1631</v>
      </c>
    </row>
    <row r="901" spans="1:8" x14ac:dyDescent="0.25">
      <c r="A901" t="s">
        <v>1379</v>
      </c>
      <c r="B901" t="s">
        <v>1467</v>
      </c>
      <c r="C901" t="s">
        <v>1328</v>
      </c>
      <c r="D901" t="s">
        <v>3258</v>
      </c>
      <c r="E901" t="s">
        <v>1568</v>
      </c>
      <c r="F901" t="s">
        <v>1738</v>
      </c>
      <c r="G901" t="s">
        <v>1734</v>
      </c>
      <c r="H901" t="s">
        <v>1632</v>
      </c>
    </row>
    <row r="902" spans="1:8" x14ac:dyDescent="0.25">
      <c r="A902" t="s">
        <v>1381</v>
      </c>
      <c r="B902" t="s">
        <v>1470</v>
      </c>
      <c r="C902" t="s">
        <v>1380</v>
      </c>
      <c r="D902" t="s">
        <v>1532</v>
      </c>
      <c r="E902" t="s">
        <v>2892</v>
      </c>
      <c r="F902" t="s">
        <v>1739</v>
      </c>
      <c r="G902" t="s">
        <v>1735</v>
      </c>
      <c r="H902" t="s">
        <v>1633</v>
      </c>
    </row>
    <row r="903" spans="1:8" x14ac:dyDescent="0.25">
      <c r="A903" t="s">
        <v>1382</v>
      </c>
      <c r="B903" t="s">
        <v>1471</v>
      </c>
      <c r="C903" t="s">
        <v>1338</v>
      </c>
      <c r="D903" t="s">
        <v>1533</v>
      </c>
      <c r="E903" t="s">
        <v>1570</v>
      </c>
      <c r="F903" t="s">
        <v>1740</v>
      </c>
      <c r="G903" t="s">
        <v>1736</v>
      </c>
      <c r="H903" t="s">
        <v>3347</v>
      </c>
    </row>
    <row r="904" spans="1:8" x14ac:dyDescent="0.25">
      <c r="A904" t="s">
        <v>1385</v>
      </c>
      <c r="B904" t="s">
        <v>1472</v>
      </c>
      <c r="C904" t="s">
        <v>1329</v>
      </c>
      <c r="D904" t="s">
        <v>1534</v>
      </c>
      <c r="E904" t="s">
        <v>1571</v>
      </c>
      <c r="F904" t="s">
        <v>1742</v>
      </c>
      <c r="G904" t="s">
        <v>1737</v>
      </c>
      <c r="H904" t="s">
        <v>1635</v>
      </c>
    </row>
    <row r="905" spans="1:8" x14ac:dyDescent="0.25">
      <c r="A905" t="s">
        <v>1386</v>
      </c>
      <c r="B905" t="s">
        <v>1473</v>
      </c>
      <c r="C905" t="s">
        <v>1330</v>
      </c>
      <c r="D905" t="s">
        <v>1536</v>
      </c>
      <c r="E905" t="s">
        <v>1572</v>
      </c>
      <c r="F905" t="s">
        <v>1743</v>
      </c>
      <c r="G905" t="s">
        <v>2953</v>
      </c>
      <c r="H905" t="s">
        <v>3302</v>
      </c>
    </row>
    <row r="906" spans="1:8" x14ac:dyDescent="0.25">
      <c r="A906" t="s">
        <v>1387</v>
      </c>
      <c r="B906" t="s">
        <v>1475</v>
      </c>
      <c r="C906" t="s">
        <v>1331</v>
      </c>
      <c r="D906" t="s">
        <v>1537</v>
      </c>
      <c r="E906" t="s">
        <v>1574</v>
      </c>
      <c r="F906" t="s">
        <v>2960</v>
      </c>
      <c r="G906" t="s">
        <v>2954</v>
      </c>
      <c r="H906" t="s">
        <v>1639</v>
      </c>
    </row>
    <row r="907" spans="1:8" x14ac:dyDescent="0.25">
      <c r="A907" t="s">
        <v>1388</v>
      </c>
      <c r="B907" t="s">
        <v>1479</v>
      </c>
      <c r="C907" t="s">
        <v>1342</v>
      </c>
      <c r="D907" t="s">
        <v>1538</v>
      </c>
      <c r="E907" t="s">
        <v>1576</v>
      </c>
      <c r="F907" t="s">
        <v>2447</v>
      </c>
      <c r="G907" t="s">
        <v>2955</v>
      </c>
      <c r="H907" t="s">
        <v>1641</v>
      </c>
    </row>
    <row r="908" spans="1:8" x14ac:dyDescent="0.25">
      <c r="A908" t="s">
        <v>1389</v>
      </c>
      <c r="B908" t="s">
        <v>1482</v>
      </c>
      <c r="C908" t="s">
        <v>1344</v>
      </c>
      <c r="D908" t="s">
        <v>1539</v>
      </c>
      <c r="E908" t="s">
        <v>1577</v>
      </c>
      <c r="F908" t="s">
        <v>1744</v>
      </c>
      <c r="G908" t="s">
        <v>1738</v>
      </c>
      <c r="H908" t="s">
        <v>1643</v>
      </c>
    </row>
    <row r="909" spans="1:8" x14ac:dyDescent="0.25">
      <c r="A909" t="s">
        <v>1390</v>
      </c>
      <c r="B909" t="s">
        <v>1483</v>
      </c>
      <c r="C909" t="s">
        <v>1350</v>
      </c>
      <c r="D909" t="s">
        <v>1540</v>
      </c>
      <c r="E909" t="s">
        <v>1580</v>
      </c>
      <c r="F909" t="s">
        <v>1745</v>
      </c>
      <c r="G909" t="s">
        <v>1739</v>
      </c>
      <c r="H909" t="s">
        <v>1647</v>
      </c>
    </row>
    <row r="910" spans="1:8" x14ac:dyDescent="0.25">
      <c r="A910" t="s">
        <v>1392</v>
      </c>
      <c r="B910" t="s">
        <v>1485</v>
      </c>
      <c r="C910" t="s">
        <v>1351</v>
      </c>
      <c r="D910" t="s">
        <v>1541</v>
      </c>
      <c r="E910" t="s">
        <v>2406</v>
      </c>
      <c r="F910" t="s">
        <v>2961</v>
      </c>
      <c r="G910" t="s">
        <v>1740</v>
      </c>
      <c r="H910" t="s">
        <v>1651</v>
      </c>
    </row>
    <row r="911" spans="1:8" x14ac:dyDescent="0.25">
      <c r="A911" t="s">
        <v>1402</v>
      </c>
      <c r="B911" t="s">
        <v>1486</v>
      </c>
      <c r="C911" t="s">
        <v>1354</v>
      </c>
      <c r="D911" t="s">
        <v>1542</v>
      </c>
      <c r="E911" t="s">
        <v>3231</v>
      </c>
      <c r="F911" t="s">
        <v>2448</v>
      </c>
      <c r="G911" t="s">
        <v>2447</v>
      </c>
      <c r="H911" t="s">
        <v>2932</v>
      </c>
    </row>
    <row r="912" spans="1:8" x14ac:dyDescent="0.25">
      <c r="A912" t="s">
        <v>1423</v>
      </c>
      <c r="B912" t="s">
        <v>1488</v>
      </c>
      <c r="C912" t="s">
        <v>1356</v>
      </c>
      <c r="D912" t="s">
        <v>1544</v>
      </c>
      <c r="E912" t="s">
        <v>3301</v>
      </c>
      <c r="F912" t="s">
        <v>2962</v>
      </c>
      <c r="G912" t="s">
        <v>1744</v>
      </c>
      <c r="H912" t="s">
        <v>1655</v>
      </c>
    </row>
    <row r="913" spans="1:8" x14ac:dyDescent="0.25">
      <c r="A913" t="s">
        <v>1404</v>
      </c>
      <c r="B913" t="s">
        <v>1490</v>
      </c>
      <c r="C913" t="s">
        <v>1365</v>
      </c>
      <c r="D913" t="s">
        <v>1545</v>
      </c>
      <c r="E913" t="s">
        <v>1581</v>
      </c>
      <c r="F913" t="s">
        <v>2963</v>
      </c>
      <c r="G913" t="s">
        <v>1745</v>
      </c>
      <c r="H913" t="s">
        <v>1659</v>
      </c>
    </row>
    <row r="914" spans="1:8" x14ac:dyDescent="0.25">
      <c r="A914" t="s">
        <v>1456</v>
      </c>
      <c r="B914" t="s">
        <v>1492</v>
      </c>
      <c r="C914" t="s">
        <v>1366</v>
      </c>
      <c r="D914" t="s">
        <v>1547</v>
      </c>
      <c r="E914" t="s">
        <v>1582</v>
      </c>
      <c r="F914" t="s">
        <v>2964</v>
      </c>
      <c r="G914" t="s">
        <v>2448</v>
      </c>
      <c r="H914" t="s">
        <v>1661</v>
      </c>
    </row>
    <row r="915" spans="1:8" x14ac:dyDescent="0.25">
      <c r="A915" t="s">
        <v>2371</v>
      </c>
      <c r="B915" t="s">
        <v>1494</v>
      </c>
      <c r="C915" t="s">
        <v>1368</v>
      </c>
      <c r="D915" t="s">
        <v>1548</v>
      </c>
      <c r="E915" t="s">
        <v>1583</v>
      </c>
      <c r="F915" t="s">
        <v>2965</v>
      </c>
      <c r="G915" t="s">
        <v>2962</v>
      </c>
      <c r="H915" t="s">
        <v>1662</v>
      </c>
    </row>
    <row r="916" spans="1:8" x14ac:dyDescent="0.25">
      <c r="A916" t="s">
        <v>2372</v>
      </c>
      <c r="B916" t="s">
        <v>1497</v>
      </c>
      <c r="C916" t="s">
        <v>1373</v>
      </c>
      <c r="D916" t="s">
        <v>1549</v>
      </c>
      <c r="E916" t="s">
        <v>1595</v>
      </c>
      <c r="F916" t="s">
        <v>1746</v>
      </c>
      <c r="G916" t="s">
        <v>2964</v>
      </c>
      <c r="H916" t="s">
        <v>1681</v>
      </c>
    </row>
    <row r="917" spans="1:8" x14ac:dyDescent="0.25">
      <c r="A917" t="s">
        <v>2373</v>
      </c>
      <c r="B917" t="s">
        <v>1498</v>
      </c>
      <c r="C917" t="s">
        <v>1374</v>
      </c>
      <c r="D917" t="s">
        <v>3259</v>
      </c>
      <c r="E917" t="s">
        <v>2893</v>
      </c>
      <c r="F917" t="s">
        <v>2967</v>
      </c>
      <c r="G917" t="s">
        <v>1746</v>
      </c>
      <c r="H917" t="s">
        <v>2417</v>
      </c>
    </row>
    <row r="918" spans="1:8" x14ac:dyDescent="0.25">
      <c r="A918" t="s">
        <v>2374</v>
      </c>
      <c r="B918" t="s">
        <v>1499</v>
      </c>
      <c r="C918" t="s">
        <v>1375</v>
      </c>
      <c r="D918" t="s">
        <v>2398</v>
      </c>
      <c r="E918" t="s">
        <v>2894</v>
      </c>
      <c r="F918" t="s">
        <v>1747</v>
      </c>
      <c r="G918" t="s">
        <v>2967</v>
      </c>
      <c r="H918" t="s">
        <v>1663</v>
      </c>
    </row>
    <row r="919" spans="1:8" x14ac:dyDescent="0.25">
      <c r="A919" t="s">
        <v>2375</v>
      </c>
      <c r="B919" t="s">
        <v>1500</v>
      </c>
      <c r="C919" t="s">
        <v>2368</v>
      </c>
      <c r="D919" t="s">
        <v>3130</v>
      </c>
      <c r="E919" t="s">
        <v>2895</v>
      </c>
      <c r="F919" t="s">
        <v>1748</v>
      </c>
      <c r="G919" t="s">
        <v>1747</v>
      </c>
      <c r="H919" t="s">
        <v>1684</v>
      </c>
    </row>
    <row r="920" spans="1:8" x14ac:dyDescent="0.25">
      <c r="A920" t="s">
        <v>2376</v>
      </c>
      <c r="B920" t="s">
        <v>1501</v>
      </c>
      <c r="C920" t="s">
        <v>2369</v>
      </c>
      <c r="D920" t="s">
        <v>1550</v>
      </c>
      <c r="E920" t="s">
        <v>2897</v>
      </c>
      <c r="F920" t="s">
        <v>2453</v>
      </c>
      <c r="G920" t="s">
        <v>1748</v>
      </c>
      <c r="H920" t="s">
        <v>2418</v>
      </c>
    </row>
    <row r="921" spans="1:8" x14ac:dyDescent="0.25">
      <c r="A921" t="s">
        <v>2377</v>
      </c>
      <c r="B921" t="s">
        <v>1502</v>
      </c>
      <c r="C921" t="s">
        <v>2370</v>
      </c>
      <c r="D921" t="s">
        <v>2888</v>
      </c>
      <c r="E921" t="s">
        <v>1620</v>
      </c>
      <c r="F921" t="s">
        <v>2454</v>
      </c>
      <c r="G921" t="s">
        <v>2453</v>
      </c>
      <c r="H921" t="s">
        <v>2419</v>
      </c>
    </row>
    <row r="922" spans="1:8" x14ac:dyDescent="0.25">
      <c r="A922" t="s">
        <v>2873</v>
      </c>
      <c r="B922" t="s">
        <v>1504</v>
      </c>
      <c r="C922" t="s">
        <v>1376</v>
      </c>
      <c r="D922" t="s">
        <v>1551</v>
      </c>
      <c r="E922" t="s">
        <v>2898</v>
      </c>
      <c r="F922" t="s">
        <v>3325</v>
      </c>
      <c r="G922" t="s">
        <v>2454</v>
      </c>
      <c r="H922" t="s">
        <v>2420</v>
      </c>
    </row>
    <row r="923" spans="1:8" x14ac:dyDescent="0.25">
      <c r="A923" t="s">
        <v>2378</v>
      </c>
      <c r="B923" t="s">
        <v>1507</v>
      </c>
      <c r="C923" t="s">
        <v>1377</v>
      </c>
      <c r="D923" t="s">
        <v>2399</v>
      </c>
      <c r="E923" t="s">
        <v>1585</v>
      </c>
      <c r="F923" t="s">
        <v>1751</v>
      </c>
      <c r="G923" t="s">
        <v>3325</v>
      </c>
      <c r="H923" t="s">
        <v>2938</v>
      </c>
    </row>
    <row r="924" spans="1:8" x14ac:dyDescent="0.25">
      <c r="A924" t="s">
        <v>2379</v>
      </c>
      <c r="B924" t="s">
        <v>1509</v>
      </c>
      <c r="C924" t="s">
        <v>1379</v>
      </c>
      <c r="D924" t="s">
        <v>1552</v>
      </c>
      <c r="E924" t="s">
        <v>1586</v>
      </c>
      <c r="F924" t="s">
        <v>1752</v>
      </c>
      <c r="G924" t="s">
        <v>1751</v>
      </c>
      <c r="H924" t="s">
        <v>3370</v>
      </c>
    </row>
    <row r="925" spans="1:8" x14ac:dyDescent="0.25">
      <c r="A925" t="s">
        <v>2380</v>
      </c>
      <c r="B925" t="s">
        <v>1511</v>
      </c>
      <c r="C925" t="s">
        <v>1381</v>
      </c>
      <c r="D925" t="s">
        <v>1553</v>
      </c>
      <c r="E925" t="s">
        <v>1588</v>
      </c>
      <c r="F925" t="s">
        <v>1753</v>
      </c>
      <c r="G925" t="s">
        <v>1752</v>
      </c>
      <c r="H925" t="s">
        <v>3356</v>
      </c>
    </row>
    <row r="926" spans="1:8" x14ac:dyDescent="0.25">
      <c r="A926" t="s">
        <v>2381</v>
      </c>
      <c r="B926" t="s">
        <v>2882</v>
      </c>
      <c r="C926" t="s">
        <v>1382</v>
      </c>
      <c r="D926" t="s">
        <v>1554</v>
      </c>
      <c r="E926" t="s">
        <v>2899</v>
      </c>
      <c r="F926" t="s">
        <v>1754</v>
      </c>
      <c r="G926" t="s">
        <v>1753</v>
      </c>
      <c r="H926" t="s">
        <v>2939</v>
      </c>
    </row>
    <row r="927" spans="1:8" x14ac:dyDescent="0.25">
      <c r="A927" t="s">
        <v>1416</v>
      </c>
      <c r="B927" t="s">
        <v>2883</v>
      </c>
      <c r="C927" t="s">
        <v>1386</v>
      </c>
      <c r="D927" t="s">
        <v>1555</v>
      </c>
      <c r="E927" t="s">
        <v>3261</v>
      </c>
      <c r="F927" t="s">
        <v>1755</v>
      </c>
      <c r="G927" t="s">
        <v>1754</v>
      </c>
      <c r="H927" t="s">
        <v>3276</v>
      </c>
    </row>
    <row r="928" spans="1:8" x14ac:dyDescent="0.25">
      <c r="A928" t="s">
        <v>2874</v>
      </c>
      <c r="B928" t="s">
        <v>2884</v>
      </c>
      <c r="C928" t="s">
        <v>1387</v>
      </c>
      <c r="D928" t="s">
        <v>3260</v>
      </c>
      <c r="E928" t="s">
        <v>3131</v>
      </c>
      <c r="F928" t="s">
        <v>1756</v>
      </c>
      <c r="G928" t="s">
        <v>1755</v>
      </c>
      <c r="H928" t="s">
        <v>3174</v>
      </c>
    </row>
    <row r="929" spans="1:8" x14ac:dyDescent="0.25">
      <c r="A929" t="s">
        <v>2875</v>
      </c>
      <c r="B929" t="s">
        <v>2389</v>
      </c>
      <c r="C929" t="s">
        <v>1388</v>
      </c>
      <c r="D929" t="s">
        <v>1592</v>
      </c>
      <c r="E929" t="s">
        <v>1590</v>
      </c>
      <c r="F929" t="s">
        <v>1757</v>
      </c>
      <c r="G929" t="s">
        <v>1756</v>
      </c>
      <c r="H929" t="s">
        <v>2943</v>
      </c>
    </row>
    <row r="930" spans="1:8" x14ac:dyDescent="0.25">
      <c r="A930" t="s">
        <v>2876</v>
      </c>
      <c r="B930" t="s">
        <v>1512</v>
      </c>
      <c r="C930" t="s">
        <v>1389</v>
      </c>
      <c r="D930" t="s">
        <v>1556</v>
      </c>
      <c r="E930" t="s">
        <v>2411</v>
      </c>
      <c r="F930" t="s">
        <v>1758</v>
      </c>
      <c r="G930" t="s">
        <v>1757</v>
      </c>
      <c r="H930" t="s">
        <v>2944</v>
      </c>
    </row>
    <row r="931" spans="1:8" x14ac:dyDescent="0.25">
      <c r="A931" t="s">
        <v>1432</v>
      </c>
      <c r="B931" t="s">
        <v>1513</v>
      </c>
      <c r="C931" t="s">
        <v>1390</v>
      </c>
      <c r="D931" t="s">
        <v>2891</v>
      </c>
      <c r="E931" t="s">
        <v>2412</v>
      </c>
      <c r="F931" t="s">
        <v>1801</v>
      </c>
      <c r="G931" t="s">
        <v>1758</v>
      </c>
      <c r="H931" t="s">
        <v>3373</v>
      </c>
    </row>
    <row r="932" spans="1:8" x14ac:dyDescent="0.25">
      <c r="A932" t="s">
        <v>2877</v>
      </c>
      <c r="B932" t="s">
        <v>2885</v>
      </c>
      <c r="C932" t="s">
        <v>1392</v>
      </c>
      <c r="D932" t="s">
        <v>1557</v>
      </c>
      <c r="E932" t="s">
        <v>1591</v>
      </c>
      <c r="F932" t="s">
        <v>2456</v>
      </c>
      <c r="G932" t="s">
        <v>2456</v>
      </c>
      <c r="H932" t="s">
        <v>3264</v>
      </c>
    </row>
    <row r="933" spans="1:8" x14ac:dyDescent="0.25">
      <c r="A933" t="s">
        <v>1435</v>
      </c>
      <c r="B933" t="s">
        <v>2886</v>
      </c>
      <c r="C933" t="s">
        <v>1402</v>
      </c>
      <c r="D933" t="s">
        <v>1561</v>
      </c>
      <c r="E933" t="s">
        <v>3173</v>
      </c>
      <c r="F933" t="s">
        <v>1759</v>
      </c>
      <c r="G933" t="s">
        <v>1759</v>
      </c>
      <c r="H933" t="s">
        <v>3090</v>
      </c>
    </row>
    <row r="934" spans="1:8" x14ac:dyDescent="0.25">
      <c r="A934" t="s">
        <v>1438</v>
      </c>
      <c r="B934" t="s">
        <v>2887</v>
      </c>
      <c r="C934" t="s">
        <v>1423</v>
      </c>
      <c r="D934" t="s">
        <v>1598</v>
      </c>
      <c r="E934" t="s">
        <v>1593</v>
      </c>
      <c r="F934" t="s">
        <v>1760</v>
      </c>
      <c r="G934" t="s">
        <v>1760</v>
      </c>
      <c r="H934" t="s">
        <v>3277</v>
      </c>
    </row>
    <row r="935" spans="1:8" x14ac:dyDescent="0.25">
      <c r="A935" t="s">
        <v>2382</v>
      </c>
      <c r="B935" t="s">
        <v>1543</v>
      </c>
      <c r="C935" t="s">
        <v>1417</v>
      </c>
      <c r="D935" t="s">
        <v>1562</v>
      </c>
      <c r="E935" t="s">
        <v>2413</v>
      </c>
      <c r="F935" t="s">
        <v>1761</v>
      </c>
      <c r="G935" t="s">
        <v>1761</v>
      </c>
      <c r="H935" t="s">
        <v>1667</v>
      </c>
    </row>
    <row r="936" spans="1:8" x14ac:dyDescent="0.25">
      <c r="A936" t="s">
        <v>2383</v>
      </c>
      <c r="B936" t="s">
        <v>2390</v>
      </c>
      <c r="C936" t="s">
        <v>1456</v>
      </c>
      <c r="D936" t="s">
        <v>1563</v>
      </c>
      <c r="E936" t="s">
        <v>1594</v>
      </c>
      <c r="F936" t="s">
        <v>2970</v>
      </c>
      <c r="G936" t="s">
        <v>2970</v>
      </c>
      <c r="H936" t="s">
        <v>1668</v>
      </c>
    </row>
    <row r="937" spans="1:8" x14ac:dyDescent="0.25">
      <c r="A937" t="s">
        <v>2384</v>
      </c>
      <c r="B937" t="s">
        <v>1514</v>
      </c>
      <c r="C937" t="s">
        <v>2371</v>
      </c>
      <c r="D937" t="s">
        <v>1610</v>
      </c>
      <c r="E937" t="s">
        <v>1596</v>
      </c>
      <c r="F937" t="s">
        <v>2457</v>
      </c>
      <c r="G937" t="s">
        <v>2457</v>
      </c>
      <c r="H937" t="s">
        <v>1669</v>
      </c>
    </row>
    <row r="938" spans="1:8" x14ac:dyDescent="0.25">
      <c r="A938" t="s">
        <v>1418</v>
      </c>
      <c r="B938" t="s">
        <v>1515</v>
      </c>
      <c r="C938" t="s">
        <v>2372</v>
      </c>
      <c r="D938" t="s">
        <v>1605</v>
      </c>
      <c r="E938" t="s">
        <v>1597</v>
      </c>
      <c r="F938" t="s">
        <v>2971</v>
      </c>
      <c r="G938" t="s">
        <v>2971</v>
      </c>
      <c r="H938" t="s">
        <v>1670</v>
      </c>
    </row>
    <row r="939" spans="1:8" x14ac:dyDescent="0.25">
      <c r="A939" t="s">
        <v>1422</v>
      </c>
      <c r="B939" t="s">
        <v>3085</v>
      </c>
      <c r="C939" t="s">
        <v>2374</v>
      </c>
      <c r="D939" t="s">
        <v>2401</v>
      </c>
      <c r="E939" t="s">
        <v>1599</v>
      </c>
      <c r="F939" t="s">
        <v>1762</v>
      </c>
      <c r="G939" t="s">
        <v>1762</v>
      </c>
      <c r="H939" t="s">
        <v>1671</v>
      </c>
    </row>
    <row r="940" spans="1:8" x14ac:dyDescent="0.25">
      <c r="A940" t="s">
        <v>1425</v>
      </c>
      <c r="B940" t="s">
        <v>2391</v>
      </c>
      <c r="C940" t="s">
        <v>3125</v>
      </c>
      <c r="D940" t="s">
        <v>2402</v>
      </c>
      <c r="E940" t="s">
        <v>1652</v>
      </c>
      <c r="F940" t="s">
        <v>1763</v>
      </c>
      <c r="G940" t="s">
        <v>1763</v>
      </c>
      <c r="H940" t="s">
        <v>1672</v>
      </c>
    </row>
    <row r="941" spans="1:8" x14ac:dyDescent="0.25">
      <c r="A941" t="s">
        <v>1429</v>
      </c>
      <c r="B941" t="s">
        <v>2392</v>
      </c>
      <c r="C941" t="s">
        <v>3210</v>
      </c>
      <c r="D941" t="s">
        <v>1566</v>
      </c>
      <c r="E941" t="s">
        <v>1600</v>
      </c>
      <c r="F941" t="s">
        <v>1764</v>
      </c>
      <c r="G941" t="s">
        <v>1764</v>
      </c>
      <c r="H941" t="s">
        <v>1673</v>
      </c>
    </row>
    <row r="942" spans="1:8" x14ac:dyDescent="0.25">
      <c r="A942" t="s">
        <v>1446</v>
      </c>
      <c r="B942" t="s">
        <v>1516</v>
      </c>
      <c r="C942" t="s">
        <v>3211</v>
      </c>
      <c r="D942" t="s">
        <v>1568</v>
      </c>
      <c r="E942" t="s">
        <v>1601</v>
      </c>
      <c r="F942" t="s">
        <v>1765</v>
      </c>
      <c r="G942" t="s">
        <v>1765</v>
      </c>
      <c r="H942" t="s">
        <v>1674</v>
      </c>
    </row>
    <row r="943" spans="1:8" x14ac:dyDescent="0.25">
      <c r="A943" t="s">
        <v>1462</v>
      </c>
      <c r="B943" t="s">
        <v>1546</v>
      </c>
      <c r="C943" t="s">
        <v>3165</v>
      </c>
      <c r="D943" t="s">
        <v>2892</v>
      </c>
      <c r="E943" t="s">
        <v>1602</v>
      </c>
      <c r="F943" t="s">
        <v>1766</v>
      </c>
      <c r="G943" t="s">
        <v>1770</v>
      </c>
      <c r="H943" t="s">
        <v>2426</v>
      </c>
    </row>
    <row r="944" spans="1:8" x14ac:dyDescent="0.25">
      <c r="A944" t="s">
        <v>1431</v>
      </c>
      <c r="B944" t="s">
        <v>2393</v>
      </c>
      <c r="C944" t="s">
        <v>3166</v>
      </c>
      <c r="D944" t="s">
        <v>1570</v>
      </c>
      <c r="E944" t="s">
        <v>1603</v>
      </c>
      <c r="F944" t="s">
        <v>1773</v>
      </c>
      <c r="G944" t="s">
        <v>1766</v>
      </c>
      <c r="H944" t="s">
        <v>1675</v>
      </c>
    </row>
    <row r="945" spans="1:8" x14ac:dyDescent="0.25">
      <c r="A945" t="s">
        <v>1434</v>
      </c>
      <c r="B945" t="s">
        <v>1517</v>
      </c>
      <c r="C945" t="s">
        <v>2375</v>
      </c>
      <c r="D945" t="s">
        <v>2404</v>
      </c>
      <c r="E945" t="s">
        <v>1606</v>
      </c>
      <c r="F945" t="s">
        <v>1767</v>
      </c>
      <c r="G945" t="s">
        <v>1773</v>
      </c>
      <c r="H945" t="s">
        <v>1676</v>
      </c>
    </row>
    <row r="946" spans="1:8" x14ac:dyDescent="0.25">
      <c r="A946" t="s">
        <v>1453</v>
      </c>
      <c r="B946" t="s">
        <v>2394</v>
      </c>
      <c r="C946" t="s">
        <v>2376</v>
      </c>
      <c r="D946" t="s">
        <v>1571</v>
      </c>
      <c r="E946" t="s">
        <v>1607</v>
      </c>
      <c r="F946" t="s">
        <v>1768</v>
      </c>
      <c r="G946" t="s">
        <v>1767</v>
      </c>
      <c r="H946" t="s">
        <v>1720</v>
      </c>
    </row>
    <row r="947" spans="1:8" x14ac:dyDescent="0.25">
      <c r="A947" t="s">
        <v>1463</v>
      </c>
      <c r="B947" t="s">
        <v>1518</v>
      </c>
      <c r="C947" t="s">
        <v>2377</v>
      </c>
      <c r="D947" t="s">
        <v>1572</v>
      </c>
      <c r="E947" t="s">
        <v>3275</v>
      </c>
      <c r="F947" t="s">
        <v>1769</v>
      </c>
      <c r="G947" t="s">
        <v>1768</v>
      </c>
      <c r="H947" t="s">
        <v>1677</v>
      </c>
    </row>
    <row r="948" spans="1:8" x14ac:dyDescent="0.25">
      <c r="A948" t="s">
        <v>1459</v>
      </c>
      <c r="B948" t="s">
        <v>1519</v>
      </c>
      <c r="C948" t="s">
        <v>3167</v>
      </c>
      <c r="D948" t="s">
        <v>1574</v>
      </c>
      <c r="E948" t="s">
        <v>2415</v>
      </c>
      <c r="F948" t="s">
        <v>2459</v>
      </c>
      <c r="G948" t="s">
        <v>1769</v>
      </c>
      <c r="H948" t="s">
        <v>1678</v>
      </c>
    </row>
    <row r="949" spans="1:8" x14ac:dyDescent="0.25">
      <c r="A949" t="s">
        <v>1443</v>
      </c>
      <c r="B949" t="s">
        <v>1520</v>
      </c>
      <c r="C949" t="s">
        <v>2873</v>
      </c>
      <c r="D949" t="s">
        <v>1576</v>
      </c>
      <c r="E949" t="s">
        <v>2906</v>
      </c>
      <c r="F949" t="s">
        <v>1775</v>
      </c>
      <c r="G949" t="s">
        <v>2459</v>
      </c>
      <c r="H949" t="s">
        <v>1698</v>
      </c>
    </row>
    <row r="950" spans="1:8" x14ac:dyDescent="0.25">
      <c r="A950" t="s">
        <v>1481</v>
      </c>
      <c r="B950" t="s">
        <v>1521</v>
      </c>
      <c r="C950" t="s">
        <v>2378</v>
      </c>
      <c r="D950" t="s">
        <v>1577</v>
      </c>
      <c r="E950" t="s">
        <v>2907</v>
      </c>
      <c r="F950" t="s">
        <v>1776</v>
      </c>
      <c r="G950" t="s">
        <v>1775</v>
      </c>
      <c r="H950" t="s">
        <v>1679</v>
      </c>
    </row>
    <row r="951" spans="1:8" x14ac:dyDescent="0.25">
      <c r="A951" t="s">
        <v>1444</v>
      </c>
      <c r="B951" t="s">
        <v>1522</v>
      </c>
      <c r="C951" t="s">
        <v>2379</v>
      </c>
      <c r="D951" t="s">
        <v>1580</v>
      </c>
      <c r="E951" t="s">
        <v>3133</v>
      </c>
      <c r="F951" t="s">
        <v>1777</v>
      </c>
      <c r="G951" t="s">
        <v>1776</v>
      </c>
      <c r="H951" t="s">
        <v>1680</v>
      </c>
    </row>
    <row r="952" spans="1:8" x14ac:dyDescent="0.25">
      <c r="A952" t="s">
        <v>1445</v>
      </c>
      <c r="B952" t="s">
        <v>1523</v>
      </c>
      <c r="C952" t="s">
        <v>2381</v>
      </c>
      <c r="D952" t="s">
        <v>2406</v>
      </c>
      <c r="E952" t="s">
        <v>3134</v>
      </c>
      <c r="F952" t="s">
        <v>1781</v>
      </c>
      <c r="G952" t="s">
        <v>1777</v>
      </c>
      <c r="H952" t="s">
        <v>1682</v>
      </c>
    </row>
    <row r="953" spans="1:8" x14ac:dyDescent="0.25">
      <c r="A953" t="s">
        <v>1447</v>
      </c>
      <c r="B953" t="s">
        <v>1524</v>
      </c>
      <c r="C953" t="s">
        <v>3168</v>
      </c>
      <c r="D953" t="s">
        <v>3231</v>
      </c>
      <c r="E953" t="s">
        <v>1608</v>
      </c>
      <c r="F953" t="s">
        <v>1803</v>
      </c>
      <c r="G953" t="s">
        <v>1781</v>
      </c>
      <c r="H953" t="s">
        <v>1683</v>
      </c>
    </row>
    <row r="954" spans="1:8" x14ac:dyDescent="0.25">
      <c r="A954" t="s">
        <v>1469</v>
      </c>
      <c r="B954" t="s">
        <v>1525</v>
      </c>
      <c r="C954" t="s">
        <v>3169</v>
      </c>
      <c r="D954" t="s">
        <v>1581</v>
      </c>
      <c r="E954" t="s">
        <v>2912</v>
      </c>
      <c r="F954" t="s">
        <v>1783</v>
      </c>
      <c r="G954" t="s">
        <v>1803</v>
      </c>
      <c r="H954" t="s">
        <v>1685</v>
      </c>
    </row>
    <row r="955" spans="1:8" x14ac:dyDescent="0.25">
      <c r="A955" t="s">
        <v>1474</v>
      </c>
      <c r="B955" t="s">
        <v>1527</v>
      </c>
      <c r="C955" t="s">
        <v>1416</v>
      </c>
      <c r="D955" t="s">
        <v>1582</v>
      </c>
      <c r="E955" t="s">
        <v>1609</v>
      </c>
      <c r="F955" t="s">
        <v>1786</v>
      </c>
      <c r="G955" t="s">
        <v>1783</v>
      </c>
      <c r="H955" t="s">
        <v>1686</v>
      </c>
    </row>
    <row r="956" spans="1:8" x14ac:dyDescent="0.25">
      <c r="A956" t="s">
        <v>1478</v>
      </c>
      <c r="B956" t="s">
        <v>3127</v>
      </c>
      <c r="C956" t="s">
        <v>3126</v>
      </c>
      <c r="D956" t="s">
        <v>1583</v>
      </c>
      <c r="E956" t="s">
        <v>1611</v>
      </c>
      <c r="F956" t="s">
        <v>1778</v>
      </c>
      <c r="G956" t="s">
        <v>1786</v>
      </c>
      <c r="H956" t="s">
        <v>1687</v>
      </c>
    </row>
    <row r="957" spans="1:8" x14ac:dyDescent="0.25">
      <c r="A957" t="s">
        <v>1448</v>
      </c>
      <c r="B957" t="s">
        <v>1528</v>
      </c>
      <c r="C957" t="s">
        <v>2874</v>
      </c>
      <c r="D957" t="s">
        <v>2893</v>
      </c>
      <c r="E957" t="s">
        <v>1612</v>
      </c>
      <c r="F957" t="s">
        <v>1780</v>
      </c>
      <c r="G957" t="s">
        <v>1778</v>
      </c>
      <c r="H957" t="s">
        <v>2429</v>
      </c>
    </row>
    <row r="958" spans="1:8" x14ac:dyDescent="0.25">
      <c r="A958" t="s">
        <v>1449</v>
      </c>
      <c r="B958" t="s">
        <v>3128</v>
      </c>
      <c r="C958" t="s">
        <v>2875</v>
      </c>
      <c r="D958" t="s">
        <v>2894</v>
      </c>
      <c r="E958" t="s">
        <v>1613</v>
      </c>
      <c r="F958" t="s">
        <v>1809</v>
      </c>
      <c r="G958" t="s">
        <v>1780</v>
      </c>
      <c r="H958" t="s">
        <v>1688</v>
      </c>
    </row>
    <row r="959" spans="1:8" x14ac:dyDescent="0.25">
      <c r="A959" t="s">
        <v>1466</v>
      </c>
      <c r="B959" t="s">
        <v>1529</v>
      </c>
      <c r="C959" t="s">
        <v>2876</v>
      </c>
      <c r="D959" t="s">
        <v>2895</v>
      </c>
      <c r="E959" t="s">
        <v>1614</v>
      </c>
      <c r="F959" t="s">
        <v>1790</v>
      </c>
      <c r="G959" t="s">
        <v>1809</v>
      </c>
      <c r="H959" t="s">
        <v>1689</v>
      </c>
    </row>
    <row r="960" spans="1:8" x14ac:dyDescent="0.25">
      <c r="A960" t="s">
        <v>2878</v>
      </c>
      <c r="B960" t="s">
        <v>3129</v>
      </c>
      <c r="C960" t="s">
        <v>1432</v>
      </c>
      <c r="D960" t="s">
        <v>2897</v>
      </c>
      <c r="E960" t="s">
        <v>1616</v>
      </c>
      <c r="F960" t="s">
        <v>1793</v>
      </c>
      <c r="G960" t="s">
        <v>1790</v>
      </c>
      <c r="H960" t="s">
        <v>1690</v>
      </c>
    </row>
    <row r="961" spans="1:8" x14ac:dyDescent="0.25">
      <c r="A961" t="s">
        <v>1487</v>
      </c>
      <c r="B961" t="s">
        <v>1530</v>
      </c>
      <c r="C961" t="s">
        <v>2877</v>
      </c>
      <c r="D961" t="s">
        <v>1620</v>
      </c>
      <c r="E961" t="s">
        <v>1617</v>
      </c>
      <c r="F961" t="s">
        <v>2972</v>
      </c>
      <c r="G961" t="s">
        <v>1793</v>
      </c>
      <c r="H961" t="s">
        <v>1691</v>
      </c>
    </row>
    <row r="962" spans="1:8" x14ac:dyDescent="0.25">
      <c r="A962" t="s">
        <v>2879</v>
      </c>
      <c r="B962" t="s">
        <v>1532</v>
      </c>
      <c r="C962" t="s">
        <v>1435</v>
      </c>
      <c r="D962" t="s">
        <v>2898</v>
      </c>
      <c r="E962" t="s">
        <v>1618</v>
      </c>
      <c r="F962" t="s">
        <v>2973</v>
      </c>
      <c r="G962" t="s">
        <v>1830</v>
      </c>
      <c r="H962" t="s">
        <v>2430</v>
      </c>
    </row>
    <row r="963" spans="1:8" x14ac:dyDescent="0.25">
      <c r="A963" t="s">
        <v>1496</v>
      </c>
      <c r="B963" t="s">
        <v>1533</v>
      </c>
      <c r="C963" t="s">
        <v>1438</v>
      </c>
      <c r="D963" t="s">
        <v>1585</v>
      </c>
      <c r="E963" t="s">
        <v>1619</v>
      </c>
      <c r="F963" t="s">
        <v>2974</v>
      </c>
      <c r="G963" t="s">
        <v>2972</v>
      </c>
      <c r="H963" t="s">
        <v>1692</v>
      </c>
    </row>
    <row r="964" spans="1:8" x14ac:dyDescent="0.25">
      <c r="A964" t="s">
        <v>1476</v>
      </c>
      <c r="B964" t="s">
        <v>1534</v>
      </c>
      <c r="C964" t="s">
        <v>3170</v>
      </c>
      <c r="D964" t="s">
        <v>1586</v>
      </c>
      <c r="E964" t="s">
        <v>1621</v>
      </c>
      <c r="F964" t="s">
        <v>2975</v>
      </c>
      <c r="G964" t="s">
        <v>2973</v>
      </c>
      <c r="H964" t="s">
        <v>1693</v>
      </c>
    </row>
    <row r="965" spans="1:8" x14ac:dyDescent="0.25">
      <c r="A965" t="s">
        <v>1480</v>
      </c>
      <c r="B965" t="s">
        <v>1536</v>
      </c>
      <c r="C965" t="s">
        <v>2382</v>
      </c>
      <c r="D965" t="s">
        <v>1588</v>
      </c>
      <c r="E965" t="s">
        <v>2416</v>
      </c>
      <c r="F965" t="s">
        <v>2977</v>
      </c>
      <c r="G965" t="s">
        <v>2974</v>
      </c>
      <c r="H965" t="s">
        <v>1694</v>
      </c>
    </row>
    <row r="966" spans="1:8" x14ac:dyDescent="0.25">
      <c r="A966" t="s">
        <v>1455</v>
      </c>
      <c r="B966" t="s">
        <v>1537</v>
      </c>
      <c r="C966" t="s">
        <v>2383</v>
      </c>
      <c r="D966" t="s">
        <v>2899</v>
      </c>
      <c r="E966" t="s">
        <v>2918</v>
      </c>
      <c r="F966" t="s">
        <v>2978</v>
      </c>
      <c r="G966" t="s">
        <v>2975</v>
      </c>
      <c r="H966" t="s">
        <v>1696</v>
      </c>
    </row>
    <row r="967" spans="1:8" x14ac:dyDescent="0.25">
      <c r="A967" t="s">
        <v>1457</v>
      </c>
      <c r="B967" t="s">
        <v>1538</v>
      </c>
      <c r="C967" t="s">
        <v>3171</v>
      </c>
      <c r="D967" t="s">
        <v>3261</v>
      </c>
      <c r="E967" t="s">
        <v>2919</v>
      </c>
      <c r="F967" t="s">
        <v>2979</v>
      </c>
      <c r="G967" t="s">
        <v>2977</v>
      </c>
      <c r="H967" t="s">
        <v>1697</v>
      </c>
    </row>
    <row r="968" spans="1:8" x14ac:dyDescent="0.25">
      <c r="A968" t="s">
        <v>1458</v>
      </c>
      <c r="B968" t="s">
        <v>1539</v>
      </c>
      <c r="C968" t="s">
        <v>2384</v>
      </c>
      <c r="D968" t="s">
        <v>3131</v>
      </c>
      <c r="E968" t="s">
        <v>2920</v>
      </c>
      <c r="F968" t="s">
        <v>2980</v>
      </c>
      <c r="G968" t="s">
        <v>2978</v>
      </c>
      <c r="H968" t="s">
        <v>1699</v>
      </c>
    </row>
    <row r="969" spans="1:8" x14ac:dyDescent="0.25">
      <c r="A969" t="s">
        <v>1460</v>
      </c>
      <c r="B969" t="s">
        <v>1540</v>
      </c>
      <c r="C969" t="s">
        <v>1418</v>
      </c>
      <c r="D969" t="s">
        <v>1589</v>
      </c>
      <c r="E969" t="s">
        <v>2921</v>
      </c>
      <c r="F969" t="s">
        <v>2981</v>
      </c>
      <c r="G969" t="s">
        <v>2979</v>
      </c>
      <c r="H969" t="s">
        <v>1700</v>
      </c>
    </row>
    <row r="970" spans="1:8" x14ac:dyDescent="0.25">
      <c r="A970" t="s">
        <v>1461</v>
      </c>
      <c r="B970" t="s">
        <v>1541</v>
      </c>
      <c r="C970" t="s">
        <v>1422</v>
      </c>
      <c r="D970" t="s">
        <v>1590</v>
      </c>
      <c r="E970" t="s">
        <v>2923</v>
      </c>
      <c r="F970" t="s">
        <v>2982</v>
      </c>
      <c r="G970" t="s">
        <v>2980</v>
      </c>
      <c r="H970" t="s">
        <v>2431</v>
      </c>
    </row>
    <row r="971" spans="1:8" x14ac:dyDescent="0.25">
      <c r="A971" t="s">
        <v>1464</v>
      </c>
      <c r="B971" t="s">
        <v>1542</v>
      </c>
      <c r="C971" t="s">
        <v>1425</v>
      </c>
      <c r="D971" t="s">
        <v>2411</v>
      </c>
      <c r="E971" t="s">
        <v>2924</v>
      </c>
      <c r="F971" t="s">
        <v>2983</v>
      </c>
      <c r="G971" t="s">
        <v>2981</v>
      </c>
      <c r="H971" t="s">
        <v>1701</v>
      </c>
    </row>
    <row r="972" spans="1:8" x14ac:dyDescent="0.25">
      <c r="A972" t="s">
        <v>1465</v>
      </c>
      <c r="B972" t="s">
        <v>1544</v>
      </c>
      <c r="C972" t="s">
        <v>1429</v>
      </c>
      <c r="D972" t="s">
        <v>2412</v>
      </c>
      <c r="E972" t="s">
        <v>1622</v>
      </c>
      <c r="F972" t="s">
        <v>2984</v>
      </c>
      <c r="G972" t="s">
        <v>2982</v>
      </c>
      <c r="H972" t="s">
        <v>1702</v>
      </c>
    </row>
    <row r="973" spans="1:8" x14ac:dyDescent="0.25">
      <c r="A973" t="s">
        <v>2385</v>
      </c>
      <c r="B973" t="s">
        <v>1545</v>
      </c>
      <c r="C973" t="s">
        <v>1446</v>
      </c>
      <c r="D973" t="s">
        <v>1591</v>
      </c>
      <c r="E973" t="s">
        <v>1624</v>
      </c>
      <c r="F973" t="s">
        <v>2986</v>
      </c>
      <c r="G973" t="s">
        <v>2983</v>
      </c>
      <c r="H973" t="s">
        <v>2432</v>
      </c>
    </row>
    <row r="974" spans="1:8" x14ac:dyDescent="0.25">
      <c r="A974" t="s">
        <v>2386</v>
      </c>
      <c r="B974" t="s">
        <v>1547</v>
      </c>
      <c r="C974" t="s">
        <v>1451</v>
      </c>
      <c r="D974" t="s">
        <v>1593</v>
      </c>
      <c r="E974" t="s">
        <v>2925</v>
      </c>
      <c r="F974" t="s">
        <v>2987</v>
      </c>
      <c r="G974" t="s">
        <v>2984</v>
      </c>
      <c r="H974" t="s">
        <v>1703</v>
      </c>
    </row>
    <row r="975" spans="1:8" x14ac:dyDescent="0.25">
      <c r="A975" t="s">
        <v>2387</v>
      </c>
      <c r="B975" t="s">
        <v>1548</v>
      </c>
      <c r="C975" t="s">
        <v>1462</v>
      </c>
      <c r="D975" t="s">
        <v>2413</v>
      </c>
      <c r="E975" t="s">
        <v>2926</v>
      </c>
      <c r="F975" t="s">
        <v>2460</v>
      </c>
      <c r="G975" t="s">
        <v>2986</v>
      </c>
      <c r="H975" t="s">
        <v>2433</v>
      </c>
    </row>
    <row r="976" spans="1:8" x14ac:dyDescent="0.25">
      <c r="A976" t="s">
        <v>2880</v>
      </c>
      <c r="B976" t="s">
        <v>1549</v>
      </c>
      <c r="C976" t="s">
        <v>1431</v>
      </c>
      <c r="D976" t="s">
        <v>1594</v>
      </c>
      <c r="E976" t="s">
        <v>2927</v>
      </c>
      <c r="F976" t="s">
        <v>1782</v>
      </c>
      <c r="G976" t="s">
        <v>2987</v>
      </c>
      <c r="H976" t="s">
        <v>2434</v>
      </c>
    </row>
    <row r="977" spans="1:8" x14ac:dyDescent="0.25">
      <c r="A977" t="s">
        <v>1467</v>
      </c>
      <c r="B977" t="s">
        <v>2396</v>
      </c>
      <c r="C977" t="s">
        <v>1434</v>
      </c>
      <c r="D977" t="s">
        <v>1596</v>
      </c>
      <c r="E977" t="s">
        <v>2929</v>
      </c>
      <c r="F977" t="s">
        <v>1785</v>
      </c>
      <c r="G977" t="s">
        <v>2460</v>
      </c>
      <c r="H977" t="s">
        <v>1704</v>
      </c>
    </row>
    <row r="978" spans="1:8" x14ac:dyDescent="0.25">
      <c r="A978" t="s">
        <v>1470</v>
      </c>
      <c r="B978" t="s">
        <v>2397</v>
      </c>
      <c r="C978" t="s">
        <v>1437</v>
      </c>
      <c r="D978" t="s">
        <v>1597</v>
      </c>
      <c r="E978" t="s">
        <v>2930</v>
      </c>
      <c r="F978" t="s">
        <v>1787</v>
      </c>
      <c r="G978" t="s">
        <v>1782</v>
      </c>
      <c r="H978" t="s">
        <v>1705</v>
      </c>
    </row>
    <row r="979" spans="1:8" x14ac:dyDescent="0.25">
      <c r="A979" t="s">
        <v>1471</v>
      </c>
      <c r="B979" t="s">
        <v>2398</v>
      </c>
      <c r="C979" t="s">
        <v>1440</v>
      </c>
      <c r="D979" t="s">
        <v>1649</v>
      </c>
      <c r="E979" t="s">
        <v>1625</v>
      </c>
      <c r="F979" t="s">
        <v>1788</v>
      </c>
      <c r="G979" t="s">
        <v>1785</v>
      </c>
      <c r="H979" t="s">
        <v>1706</v>
      </c>
    </row>
    <row r="980" spans="1:8" x14ac:dyDescent="0.25">
      <c r="A980" t="s">
        <v>1472</v>
      </c>
      <c r="B980" t="s">
        <v>3130</v>
      </c>
      <c r="C980" t="s">
        <v>1453</v>
      </c>
      <c r="D980" t="s">
        <v>1599</v>
      </c>
      <c r="E980" t="s">
        <v>1626</v>
      </c>
      <c r="F980" t="s">
        <v>1789</v>
      </c>
      <c r="G980" t="s">
        <v>1787</v>
      </c>
      <c r="H980" t="s">
        <v>1707</v>
      </c>
    </row>
    <row r="981" spans="1:8" x14ac:dyDescent="0.25">
      <c r="A981" t="s">
        <v>1473</v>
      </c>
      <c r="B981" t="s">
        <v>1550</v>
      </c>
      <c r="C981" t="s">
        <v>1463</v>
      </c>
      <c r="D981" t="s">
        <v>1653</v>
      </c>
      <c r="E981" t="s">
        <v>1627</v>
      </c>
      <c r="F981" t="s">
        <v>3139</v>
      </c>
      <c r="G981" t="s">
        <v>1788</v>
      </c>
      <c r="H981" t="s">
        <v>2435</v>
      </c>
    </row>
    <row r="982" spans="1:8" x14ac:dyDescent="0.25">
      <c r="A982" t="s">
        <v>1475</v>
      </c>
      <c r="B982" t="s">
        <v>2888</v>
      </c>
      <c r="C982" t="s">
        <v>1459</v>
      </c>
      <c r="D982" t="s">
        <v>1652</v>
      </c>
      <c r="E982" t="s">
        <v>1628</v>
      </c>
      <c r="F982" t="s">
        <v>3140</v>
      </c>
      <c r="G982" t="s">
        <v>1789</v>
      </c>
      <c r="H982" t="s">
        <v>2436</v>
      </c>
    </row>
    <row r="983" spans="1:8" x14ac:dyDescent="0.25">
      <c r="A983" t="s">
        <v>1479</v>
      </c>
      <c r="B983" t="s">
        <v>1551</v>
      </c>
      <c r="C983" t="s">
        <v>1443</v>
      </c>
      <c r="D983" t="s">
        <v>1658</v>
      </c>
      <c r="E983" t="s">
        <v>1630</v>
      </c>
      <c r="F983" t="s">
        <v>1791</v>
      </c>
      <c r="G983" t="s">
        <v>3139</v>
      </c>
      <c r="H983" t="s">
        <v>2437</v>
      </c>
    </row>
    <row r="984" spans="1:8" x14ac:dyDescent="0.25">
      <c r="A984" t="s">
        <v>1482</v>
      </c>
      <c r="B984" t="s">
        <v>2399</v>
      </c>
      <c r="C984" t="s">
        <v>1477</v>
      </c>
      <c r="D984" t="s">
        <v>1600</v>
      </c>
      <c r="E984" t="s">
        <v>1631</v>
      </c>
      <c r="F984" t="s">
        <v>1794</v>
      </c>
      <c r="G984" t="s">
        <v>3140</v>
      </c>
      <c r="H984" t="s">
        <v>1708</v>
      </c>
    </row>
    <row r="985" spans="1:8" x14ac:dyDescent="0.25">
      <c r="A985" t="s">
        <v>1483</v>
      </c>
      <c r="B985" t="s">
        <v>1552</v>
      </c>
      <c r="C985" t="s">
        <v>1481</v>
      </c>
      <c r="D985" t="s">
        <v>1615</v>
      </c>
      <c r="E985" t="s">
        <v>3298</v>
      </c>
      <c r="F985" t="s">
        <v>1795</v>
      </c>
      <c r="G985" t="s">
        <v>1791</v>
      </c>
      <c r="H985" t="s">
        <v>1709</v>
      </c>
    </row>
    <row r="986" spans="1:8" x14ac:dyDescent="0.25">
      <c r="A986" t="s">
        <v>1485</v>
      </c>
      <c r="B986" t="s">
        <v>1553</v>
      </c>
      <c r="C986" t="s">
        <v>1444</v>
      </c>
      <c r="D986" t="s">
        <v>1601</v>
      </c>
      <c r="E986" t="s">
        <v>3137</v>
      </c>
      <c r="F986" t="s">
        <v>2461</v>
      </c>
      <c r="G986" t="s">
        <v>1794</v>
      </c>
      <c r="H986" t="s">
        <v>1710</v>
      </c>
    </row>
    <row r="987" spans="1:8" x14ac:dyDescent="0.25">
      <c r="A987" t="s">
        <v>1486</v>
      </c>
      <c r="B987" t="s">
        <v>1554</v>
      </c>
      <c r="C987" t="s">
        <v>1445</v>
      </c>
      <c r="D987" t="s">
        <v>1665</v>
      </c>
      <c r="E987" t="s">
        <v>1633</v>
      </c>
      <c r="F987" t="s">
        <v>1796</v>
      </c>
      <c r="G987" t="s">
        <v>1795</v>
      </c>
      <c r="H987" t="s">
        <v>1711</v>
      </c>
    </row>
    <row r="988" spans="1:8" x14ac:dyDescent="0.25">
      <c r="A988" t="s">
        <v>1488</v>
      </c>
      <c r="B988" t="s">
        <v>2889</v>
      </c>
      <c r="C988" t="s">
        <v>1447</v>
      </c>
      <c r="D988" t="s">
        <v>1602</v>
      </c>
      <c r="E988" t="s">
        <v>1635</v>
      </c>
      <c r="F988" t="s">
        <v>1797</v>
      </c>
      <c r="G988" t="s">
        <v>2461</v>
      </c>
      <c r="H988" t="s">
        <v>2438</v>
      </c>
    </row>
    <row r="989" spans="1:8" x14ac:dyDescent="0.25">
      <c r="A989" t="s">
        <v>1490</v>
      </c>
      <c r="B989" t="s">
        <v>2400</v>
      </c>
      <c r="C989" t="s">
        <v>1469</v>
      </c>
      <c r="D989" t="s">
        <v>1603</v>
      </c>
      <c r="E989" t="s">
        <v>3302</v>
      </c>
      <c r="F989" t="s">
        <v>1798</v>
      </c>
      <c r="G989" t="s">
        <v>1796</v>
      </c>
      <c r="H989" t="s">
        <v>1712</v>
      </c>
    </row>
    <row r="990" spans="1:8" x14ac:dyDescent="0.25">
      <c r="A990" t="s">
        <v>1492</v>
      </c>
      <c r="B990" t="s">
        <v>2890</v>
      </c>
      <c r="C990" t="s">
        <v>1474</v>
      </c>
      <c r="D990" t="s">
        <v>1606</v>
      </c>
      <c r="E990" t="s">
        <v>1637</v>
      </c>
      <c r="F990" t="s">
        <v>1845</v>
      </c>
      <c r="G990" t="s">
        <v>1797</v>
      </c>
      <c r="H990" t="s">
        <v>1713</v>
      </c>
    </row>
    <row r="991" spans="1:8" x14ac:dyDescent="0.25">
      <c r="A991" t="s">
        <v>1494</v>
      </c>
      <c r="B991" t="s">
        <v>1555</v>
      </c>
      <c r="C991" t="s">
        <v>1478</v>
      </c>
      <c r="D991" t="s">
        <v>1607</v>
      </c>
      <c r="E991" t="s">
        <v>1639</v>
      </c>
      <c r="F991" t="s">
        <v>1800</v>
      </c>
      <c r="G991" t="s">
        <v>1798</v>
      </c>
      <c r="H991" t="s">
        <v>1714</v>
      </c>
    </row>
    <row r="992" spans="1:8" x14ac:dyDescent="0.25">
      <c r="A992" t="s">
        <v>1497</v>
      </c>
      <c r="B992" t="s">
        <v>1573</v>
      </c>
      <c r="C992" t="s">
        <v>1448</v>
      </c>
      <c r="D992" t="s">
        <v>2906</v>
      </c>
      <c r="E992" t="s">
        <v>1641</v>
      </c>
      <c r="F992" t="s">
        <v>1802</v>
      </c>
      <c r="G992" t="s">
        <v>1845</v>
      </c>
      <c r="H992" t="s">
        <v>1715</v>
      </c>
    </row>
    <row r="993" spans="1:8" x14ac:dyDescent="0.25">
      <c r="A993" t="s">
        <v>1498</v>
      </c>
      <c r="B993" t="s">
        <v>1592</v>
      </c>
      <c r="C993" t="s">
        <v>1449</v>
      </c>
      <c r="D993" t="s">
        <v>2907</v>
      </c>
      <c r="E993" t="s">
        <v>1643</v>
      </c>
      <c r="F993" t="s">
        <v>1804</v>
      </c>
      <c r="G993" t="s">
        <v>1800</v>
      </c>
      <c r="H993" t="s">
        <v>1716</v>
      </c>
    </row>
    <row r="994" spans="1:8" x14ac:dyDescent="0.25">
      <c r="A994" t="s">
        <v>1499</v>
      </c>
      <c r="B994" t="s">
        <v>1556</v>
      </c>
      <c r="C994" t="s">
        <v>1452</v>
      </c>
      <c r="D994" t="s">
        <v>3133</v>
      </c>
      <c r="E994" t="s">
        <v>1645</v>
      </c>
      <c r="F994" t="s">
        <v>1850</v>
      </c>
      <c r="G994" t="s">
        <v>1802</v>
      </c>
      <c r="H994" t="s">
        <v>1717</v>
      </c>
    </row>
    <row r="995" spans="1:8" x14ac:dyDescent="0.25">
      <c r="A995" t="s">
        <v>1500</v>
      </c>
      <c r="B995" t="s">
        <v>2891</v>
      </c>
      <c r="C995" t="s">
        <v>1466</v>
      </c>
      <c r="D995" t="s">
        <v>2909</v>
      </c>
      <c r="E995" t="s">
        <v>1647</v>
      </c>
      <c r="F995" t="s">
        <v>1805</v>
      </c>
      <c r="G995" t="s">
        <v>1804</v>
      </c>
      <c r="H995" t="s">
        <v>1718</v>
      </c>
    </row>
    <row r="996" spans="1:8" x14ac:dyDescent="0.25">
      <c r="A996" t="s">
        <v>1501</v>
      </c>
      <c r="B996" t="s">
        <v>1557</v>
      </c>
      <c r="C996" t="s">
        <v>1487</v>
      </c>
      <c r="D996" t="s">
        <v>3134</v>
      </c>
      <c r="E996" t="s">
        <v>1650</v>
      </c>
      <c r="F996" t="s">
        <v>1806</v>
      </c>
      <c r="G996" t="s">
        <v>1850</v>
      </c>
      <c r="H996" t="s">
        <v>1719</v>
      </c>
    </row>
    <row r="997" spans="1:8" x14ac:dyDescent="0.25">
      <c r="A997" t="s">
        <v>1502</v>
      </c>
      <c r="B997" t="s">
        <v>1561</v>
      </c>
      <c r="C997" t="s">
        <v>2879</v>
      </c>
      <c r="D997" t="s">
        <v>2911</v>
      </c>
      <c r="E997" t="s">
        <v>1651</v>
      </c>
      <c r="F997" t="s">
        <v>1807</v>
      </c>
      <c r="G997" t="s">
        <v>1805</v>
      </c>
      <c r="H997" t="s">
        <v>1721</v>
      </c>
    </row>
    <row r="998" spans="1:8" x14ac:dyDescent="0.25">
      <c r="A998" t="s">
        <v>1504</v>
      </c>
      <c r="B998" t="s">
        <v>1598</v>
      </c>
      <c r="C998" t="s">
        <v>1496</v>
      </c>
      <c r="D998" t="s">
        <v>1608</v>
      </c>
      <c r="E998" t="s">
        <v>1654</v>
      </c>
      <c r="F998" t="s">
        <v>1855</v>
      </c>
      <c r="G998" t="s">
        <v>1806</v>
      </c>
      <c r="H998" t="s">
        <v>2440</v>
      </c>
    </row>
    <row r="999" spans="1:8" x14ac:dyDescent="0.25">
      <c r="A999" t="s">
        <v>1507</v>
      </c>
      <c r="B999" t="s">
        <v>1562</v>
      </c>
      <c r="C999" t="s">
        <v>1476</v>
      </c>
      <c r="D999" t="s">
        <v>2912</v>
      </c>
      <c r="E999" t="s">
        <v>1655</v>
      </c>
      <c r="F999" t="s">
        <v>2465</v>
      </c>
      <c r="G999" t="s">
        <v>1807</v>
      </c>
      <c r="H999" t="s">
        <v>2441</v>
      </c>
    </row>
    <row r="1000" spans="1:8" x14ac:dyDescent="0.25">
      <c r="A1000" t="s">
        <v>1509</v>
      </c>
      <c r="B1000" t="s">
        <v>1563</v>
      </c>
      <c r="C1000" t="s">
        <v>1480</v>
      </c>
      <c r="D1000" t="s">
        <v>1609</v>
      </c>
      <c r="E1000" t="s">
        <v>1659</v>
      </c>
      <c r="F1000" t="s">
        <v>1808</v>
      </c>
      <c r="G1000" t="s">
        <v>1855</v>
      </c>
      <c r="H1000" t="s">
        <v>2443</v>
      </c>
    </row>
    <row r="1001" spans="1:8" x14ac:dyDescent="0.25">
      <c r="A1001" t="s">
        <v>1511</v>
      </c>
      <c r="B1001" t="s">
        <v>1605</v>
      </c>
      <c r="C1001" t="s">
        <v>1455</v>
      </c>
      <c r="D1001" t="s">
        <v>1611</v>
      </c>
      <c r="E1001" t="s">
        <v>1661</v>
      </c>
      <c r="F1001" t="s">
        <v>1810</v>
      </c>
      <c r="G1001" t="s">
        <v>2465</v>
      </c>
      <c r="H1001" t="s">
        <v>1722</v>
      </c>
    </row>
    <row r="1002" spans="1:8" x14ac:dyDescent="0.25">
      <c r="A1002" t="s">
        <v>2881</v>
      </c>
      <c r="B1002" t="s">
        <v>2401</v>
      </c>
      <c r="C1002" t="s">
        <v>1457</v>
      </c>
      <c r="D1002" t="s">
        <v>1612</v>
      </c>
      <c r="E1002" t="s">
        <v>1662</v>
      </c>
      <c r="F1002" t="s">
        <v>1811</v>
      </c>
      <c r="G1002" t="s">
        <v>1808</v>
      </c>
      <c r="H1002" t="s">
        <v>1723</v>
      </c>
    </row>
    <row r="1003" spans="1:8" x14ac:dyDescent="0.25">
      <c r="A1003" t="s">
        <v>2882</v>
      </c>
      <c r="B1003" t="s">
        <v>2402</v>
      </c>
      <c r="C1003" t="s">
        <v>1458</v>
      </c>
      <c r="D1003" t="s">
        <v>1613</v>
      </c>
      <c r="E1003" t="s">
        <v>1681</v>
      </c>
      <c r="F1003" t="s">
        <v>1861</v>
      </c>
      <c r="G1003" t="s">
        <v>1810</v>
      </c>
      <c r="H1003" t="s">
        <v>1724</v>
      </c>
    </row>
    <row r="1004" spans="1:8" x14ac:dyDescent="0.25">
      <c r="A1004" t="s">
        <v>2883</v>
      </c>
      <c r="B1004" t="s">
        <v>2403</v>
      </c>
      <c r="C1004" t="s">
        <v>1460</v>
      </c>
      <c r="D1004" t="s">
        <v>1614</v>
      </c>
      <c r="E1004" t="s">
        <v>1663</v>
      </c>
      <c r="F1004" t="s">
        <v>1813</v>
      </c>
      <c r="G1004" t="s">
        <v>1811</v>
      </c>
      <c r="H1004" t="s">
        <v>1725</v>
      </c>
    </row>
    <row r="1005" spans="1:8" x14ac:dyDescent="0.25">
      <c r="A1005" t="s">
        <v>2884</v>
      </c>
      <c r="B1005" t="s">
        <v>1566</v>
      </c>
      <c r="C1005" t="s">
        <v>1461</v>
      </c>
      <c r="D1005" t="s">
        <v>1616</v>
      </c>
      <c r="E1005" t="s">
        <v>1684</v>
      </c>
      <c r="F1005" t="s">
        <v>1814</v>
      </c>
      <c r="G1005" t="s">
        <v>1861</v>
      </c>
      <c r="H1005" t="s">
        <v>2444</v>
      </c>
    </row>
    <row r="1006" spans="1:8" x14ac:dyDescent="0.25">
      <c r="A1006" t="s">
        <v>1526</v>
      </c>
      <c r="B1006" t="s">
        <v>1567</v>
      </c>
      <c r="C1006" t="s">
        <v>1464</v>
      </c>
      <c r="D1006" t="s">
        <v>1617</v>
      </c>
      <c r="E1006" t="s">
        <v>2418</v>
      </c>
      <c r="F1006" t="s">
        <v>1815</v>
      </c>
      <c r="G1006" t="s">
        <v>1813</v>
      </c>
      <c r="H1006" t="s">
        <v>2445</v>
      </c>
    </row>
    <row r="1007" spans="1:8" x14ac:dyDescent="0.25">
      <c r="A1007" t="s">
        <v>2388</v>
      </c>
      <c r="B1007" t="s">
        <v>1568</v>
      </c>
      <c r="C1007" t="s">
        <v>1505</v>
      </c>
      <c r="D1007" t="s">
        <v>1618</v>
      </c>
      <c r="E1007" t="s">
        <v>2419</v>
      </c>
      <c r="F1007" t="s">
        <v>1866</v>
      </c>
      <c r="G1007" t="s">
        <v>1814</v>
      </c>
      <c r="H1007" t="s">
        <v>1726</v>
      </c>
    </row>
    <row r="1008" spans="1:8" x14ac:dyDescent="0.25">
      <c r="A1008" t="s">
        <v>2389</v>
      </c>
      <c r="B1008" t="s">
        <v>2892</v>
      </c>
      <c r="C1008" t="s">
        <v>1465</v>
      </c>
      <c r="D1008" t="s">
        <v>1619</v>
      </c>
      <c r="E1008" t="s">
        <v>2934</v>
      </c>
      <c r="F1008" t="s">
        <v>1816</v>
      </c>
      <c r="G1008" t="s">
        <v>1815</v>
      </c>
      <c r="H1008" t="s">
        <v>1727</v>
      </c>
    </row>
    <row r="1009" spans="1:8" x14ac:dyDescent="0.25">
      <c r="A1009" t="s">
        <v>1512</v>
      </c>
      <c r="B1009" t="s">
        <v>1570</v>
      </c>
      <c r="C1009" t="s">
        <v>1510</v>
      </c>
      <c r="D1009" t="s">
        <v>1621</v>
      </c>
      <c r="E1009" t="s">
        <v>3262</v>
      </c>
      <c r="F1009" t="s">
        <v>1817</v>
      </c>
      <c r="G1009" t="s">
        <v>1866</v>
      </c>
      <c r="H1009" t="s">
        <v>1728</v>
      </c>
    </row>
    <row r="1010" spans="1:8" x14ac:dyDescent="0.25">
      <c r="A1010" t="s">
        <v>1513</v>
      </c>
      <c r="B1010" t="s">
        <v>2404</v>
      </c>
      <c r="C1010" t="s">
        <v>2385</v>
      </c>
      <c r="D1010" t="s">
        <v>2916</v>
      </c>
      <c r="E1010" t="s">
        <v>2938</v>
      </c>
      <c r="F1010" t="s">
        <v>1818</v>
      </c>
      <c r="G1010" t="s">
        <v>3339</v>
      </c>
      <c r="H1010" t="s">
        <v>1729</v>
      </c>
    </row>
    <row r="1011" spans="1:8" x14ac:dyDescent="0.25">
      <c r="A1011" t="s">
        <v>2885</v>
      </c>
      <c r="B1011" t="s">
        <v>1571</v>
      </c>
      <c r="C1011" t="s">
        <v>2386</v>
      </c>
      <c r="D1011" t="s">
        <v>2917</v>
      </c>
      <c r="E1011" t="s">
        <v>2939</v>
      </c>
      <c r="F1011" t="s">
        <v>1819</v>
      </c>
      <c r="G1011" t="s">
        <v>3340</v>
      </c>
      <c r="H1011" t="s">
        <v>1730</v>
      </c>
    </row>
    <row r="1012" spans="1:8" x14ac:dyDescent="0.25">
      <c r="A1012" t="s">
        <v>2886</v>
      </c>
      <c r="B1012" t="s">
        <v>2405</v>
      </c>
      <c r="C1012" t="s">
        <v>2880</v>
      </c>
      <c r="D1012" t="s">
        <v>2416</v>
      </c>
      <c r="E1012" t="s">
        <v>3276</v>
      </c>
      <c r="F1012" t="s">
        <v>2988</v>
      </c>
      <c r="G1012" t="s">
        <v>1816</v>
      </c>
      <c r="H1012" t="s">
        <v>1731</v>
      </c>
    </row>
    <row r="1013" spans="1:8" x14ac:dyDescent="0.25">
      <c r="A1013" t="s">
        <v>2887</v>
      </c>
      <c r="B1013" t="s">
        <v>1572</v>
      </c>
      <c r="C1013" t="s">
        <v>1467</v>
      </c>
      <c r="D1013" t="s">
        <v>2918</v>
      </c>
      <c r="E1013" t="s">
        <v>3174</v>
      </c>
      <c r="F1013" t="s">
        <v>2989</v>
      </c>
      <c r="G1013" t="s">
        <v>1817</v>
      </c>
      <c r="H1013" t="s">
        <v>1732</v>
      </c>
    </row>
    <row r="1014" spans="1:8" x14ac:dyDescent="0.25">
      <c r="A1014" t="s">
        <v>1543</v>
      </c>
      <c r="B1014" t="s">
        <v>1574</v>
      </c>
      <c r="C1014" t="s">
        <v>1470</v>
      </c>
      <c r="D1014" t="s">
        <v>2919</v>
      </c>
      <c r="E1014" t="s">
        <v>2943</v>
      </c>
      <c r="F1014" t="s">
        <v>1822</v>
      </c>
      <c r="G1014" t="s">
        <v>1818</v>
      </c>
      <c r="H1014" t="s">
        <v>1733</v>
      </c>
    </row>
    <row r="1015" spans="1:8" x14ac:dyDescent="0.25">
      <c r="A1015" t="s">
        <v>2390</v>
      </c>
      <c r="B1015" t="s">
        <v>1576</v>
      </c>
      <c r="C1015" t="s">
        <v>1471</v>
      </c>
      <c r="D1015" t="s">
        <v>2920</v>
      </c>
      <c r="E1015" t="s">
        <v>2944</v>
      </c>
      <c r="F1015" t="s">
        <v>1823</v>
      </c>
      <c r="G1015" t="s">
        <v>1819</v>
      </c>
      <c r="H1015" t="s">
        <v>1734</v>
      </c>
    </row>
    <row r="1016" spans="1:8" x14ac:dyDescent="0.25">
      <c r="A1016" t="s">
        <v>1514</v>
      </c>
      <c r="B1016" t="s">
        <v>1577</v>
      </c>
      <c r="C1016" t="s">
        <v>1472</v>
      </c>
      <c r="D1016" t="s">
        <v>2921</v>
      </c>
      <c r="E1016" t="s">
        <v>3264</v>
      </c>
      <c r="F1016" t="s">
        <v>1833</v>
      </c>
      <c r="G1016" t="s">
        <v>2988</v>
      </c>
      <c r="H1016" t="s">
        <v>1735</v>
      </c>
    </row>
    <row r="1017" spans="1:8" x14ac:dyDescent="0.25">
      <c r="A1017" t="s">
        <v>1515</v>
      </c>
      <c r="B1017" t="s">
        <v>1580</v>
      </c>
      <c r="C1017" t="s">
        <v>1473</v>
      </c>
      <c r="D1017" t="s">
        <v>2922</v>
      </c>
      <c r="E1017" t="s">
        <v>2425</v>
      </c>
      <c r="F1017" t="s">
        <v>1824</v>
      </c>
      <c r="G1017" t="s">
        <v>2989</v>
      </c>
      <c r="H1017" t="s">
        <v>1736</v>
      </c>
    </row>
    <row r="1018" spans="1:8" x14ac:dyDescent="0.25">
      <c r="A1018" t="s">
        <v>2391</v>
      </c>
      <c r="B1018" t="s">
        <v>2406</v>
      </c>
      <c r="C1018" t="s">
        <v>1475</v>
      </c>
      <c r="D1018" t="s">
        <v>2923</v>
      </c>
      <c r="E1018" t="s">
        <v>3090</v>
      </c>
      <c r="F1018" t="s">
        <v>3216</v>
      </c>
      <c r="G1018" t="s">
        <v>1822</v>
      </c>
      <c r="H1018" t="s">
        <v>1737</v>
      </c>
    </row>
    <row r="1019" spans="1:8" x14ac:dyDescent="0.25">
      <c r="A1019" t="s">
        <v>2392</v>
      </c>
      <c r="B1019" t="s">
        <v>1581</v>
      </c>
      <c r="C1019" t="s">
        <v>1479</v>
      </c>
      <c r="D1019" t="s">
        <v>2924</v>
      </c>
      <c r="E1019" t="s">
        <v>3277</v>
      </c>
      <c r="F1019" t="s">
        <v>3326</v>
      </c>
      <c r="G1019" t="s">
        <v>1823</v>
      </c>
      <c r="H1019" t="s">
        <v>2953</v>
      </c>
    </row>
    <row r="1020" spans="1:8" x14ac:dyDescent="0.25">
      <c r="A1020" t="s">
        <v>1516</v>
      </c>
      <c r="B1020" t="s">
        <v>1582</v>
      </c>
      <c r="C1020" t="s">
        <v>1482</v>
      </c>
      <c r="D1020" t="s">
        <v>1622</v>
      </c>
      <c r="E1020" t="s">
        <v>1667</v>
      </c>
      <c r="F1020" t="s">
        <v>3327</v>
      </c>
      <c r="G1020" t="s">
        <v>1833</v>
      </c>
      <c r="H1020" t="s">
        <v>2954</v>
      </c>
    </row>
    <row r="1021" spans="1:8" x14ac:dyDescent="0.25">
      <c r="A1021" t="s">
        <v>1546</v>
      </c>
      <c r="B1021" t="s">
        <v>1583</v>
      </c>
      <c r="C1021" t="s">
        <v>1483</v>
      </c>
      <c r="D1021" t="s">
        <v>1624</v>
      </c>
      <c r="E1021" t="s">
        <v>1668</v>
      </c>
      <c r="F1021" t="s">
        <v>3217</v>
      </c>
      <c r="G1021" t="s">
        <v>1824</v>
      </c>
      <c r="H1021" t="s">
        <v>2955</v>
      </c>
    </row>
    <row r="1022" spans="1:8" x14ac:dyDescent="0.25">
      <c r="A1022" t="s">
        <v>2393</v>
      </c>
      <c r="B1022" t="s">
        <v>1595</v>
      </c>
      <c r="C1022" t="s">
        <v>1485</v>
      </c>
      <c r="D1022" t="s">
        <v>2925</v>
      </c>
      <c r="E1022" t="s">
        <v>1669</v>
      </c>
      <c r="F1022" t="s">
        <v>3328</v>
      </c>
      <c r="G1022" t="s">
        <v>3216</v>
      </c>
      <c r="H1022" t="s">
        <v>1738</v>
      </c>
    </row>
    <row r="1023" spans="1:8" x14ac:dyDescent="0.25">
      <c r="A1023" t="s">
        <v>1517</v>
      </c>
      <c r="B1023" t="s">
        <v>2893</v>
      </c>
      <c r="C1023" t="s">
        <v>1486</v>
      </c>
      <c r="D1023" t="s">
        <v>2926</v>
      </c>
      <c r="E1023" t="s">
        <v>1670</v>
      </c>
      <c r="F1023" t="s">
        <v>3329</v>
      </c>
      <c r="G1023" t="s">
        <v>3326</v>
      </c>
      <c r="H1023" t="s">
        <v>1739</v>
      </c>
    </row>
    <row r="1024" spans="1:8" x14ac:dyDescent="0.25">
      <c r="A1024" t="s">
        <v>2394</v>
      </c>
      <c r="B1024" t="s">
        <v>2894</v>
      </c>
      <c r="C1024" t="s">
        <v>1488</v>
      </c>
      <c r="D1024" t="s">
        <v>2927</v>
      </c>
      <c r="E1024" t="s">
        <v>1671</v>
      </c>
      <c r="F1024" t="s">
        <v>3218</v>
      </c>
      <c r="G1024" t="s">
        <v>3217</v>
      </c>
      <c r="H1024" t="s">
        <v>1740</v>
      </c>
    </row>
    <row r="1025" spans="1:8" x14ac:dyDescent="0.25">
      <c r="A1025" t="s">
        <v>1518</v>
      </c>
      <c r="B1025" t="s">
        <v>2895</v>
      </c>
      <c r="C1025" t="s">
        <v>1490</v>
      </c>
      <c r="D1025" t="s">
        <v>2928</v>
      </c>
      <c r="E1025" t="s">
        <v>1672</v>
      </c>
      <c r="F1025" t="s">
        <v>3330</v>
      </c>
      <c r="G1025" t="s">
        <v>3328</v>
      </c>
      <c r="H1025" t="s">
        <v>1741</v>
      </c>
    </row>
    <row r="1026" spans="1:8" x14ac:dyDescent="0.25">
      <c r="A1026" t="s">
        <v>1519</v>
      </c>
      <c r="B1026" t="s">
        <v>2896</v>
      </c>
      <c r="C1026" t="s">
        <v>1492</v>
      </c>
      <c r="D1026" t="s">
        <v>2930</v>
      </c>
      <c r="E1026" t="s">
        <v>1673</v>
      </c>
      <c r="F1026" t="s">
        <v>3331</v>
      </c>
      <c r="G1026" t="s">
        <v>3218</v>
      </c>
      <c r="H1026" t="s">
        <v>1742</v>
      </c>
    </row>
    <row r="1027" spans="1:8" x14ac:dyDescent="0.25">
      <c r="A1027" t="s">
        <v>1520</v>
      </c>
      <c r="B1027" t="s">
        <v>2897</v>
      </c>
      <c r="C1027" t="s">
        <v>1494</v>
      </c>
      <c r="D1027" t="s">
        <v>1625</v>
      </c>
      <c r="E1027" t="s">
        <v>1674</v>
      </c>
      <c r="F1027" t="s">
        <v>1825</v>
      </c>
      <c r="G1027" t="s">
        <v>3330</v>
      </c>
      <c r="H1027" t="s">
        <v>1743</v>
      </c>
    </row>
    <row r="1028" spans="1:8" x14ac:dyDescent="0.25">
      <c r="A1028" t="s">
        <v>1521</v>
      </c>
      <c r="B1028" t="s">
        <v>1620</v>
      </c>
      <c r="C1028" t="s">
        <v>1497</v>
      </c>
      <c r="D1028" t="s">
        <v>1626</v>
      </c>
      <c r="E1028" t="s">
        <v>1675</v>
      </c>
      <c r="F1028" t="s">
        <v>3219</v>
      </c>
      <c r="G1028" t="s">
        <v>1836</v>
      </c>
      <c r="H1028" t="s">
        <v>2960</v>
      </c>
    </row>
    <row r="1029" spans="1:8" x14ac:dyDescent="0.25">
      <c r="A1029" t="s">
        <v>1522</v>
      </c>
      <c r="B1029" t="s">
        <v>2898</v>
      </c>
      <c r="C1029" t="s">
        <v>1498</v>
      </c>
      <c r="D1029" t="s">
        <v>1627</v>
      </c>
      <c r="E1029" t="s">
        <v>1676</v>
      </c>
      <c r="F1029" t="s">
        <v>1857</v>
      </c>
      <c r="G1029" t="s">
        <v>1825</v>
      </c>
      <c r="H1029" t="s">
        <v>2447</v>
      </c>
    </row>
    <row r="1030" spans="1:8" x14ac:dyDescent="0.25">
      <c r="A1030" t="s">
        <v>1523</v>
      </c>
      <c r="B1030" t="s">
        <v>1585</v>
      </c>
      <c r="C1030" t="s">
        <v>1499</v>
      </c>
      <c r="D1030" t="s">
        <v>1628</v>
      </c>
      <c r="E1030" t="s">
        <v>1720</v>
      </c>
      <c r="F1030" t="s">
        <v>1829</v>
      </c>
      <c r="G1030" t="s">
        <v>3219</v>
      </c>
      <c r="H1030" t="s">
        <v>1744</v>
      </c>
    </row>
    <row r="1031" spans="1:8" x14ac:dyDescent="0.25">
      <c r="A1031" t="s">
        <v>1524</v>
      </c>
      <c r="B1031" t="s">
        <v>1586</v>
      </c>
      <c r="C1031" t="s">
        <v>1500</v>
      </c>
      <c r="D1031" t="s">
        <v>1630</v>
      </c>
      <c r="E1031" t="s">
        <v>1677</v>
      </c>
      <c r="F1031" t="s">
        <v>1831</v>
      </c>
      <c r="G1031" t="s">
        <v>1857</v>
      </c>
      <c r="H1031" t="s">
        <v>1745</v>
      </c>
    </row>
    <row r="1032" spans="1:8" x14ac:dyDescent="0.25">
      <c r="A1032" t="s">
        <v>1525</v>
      </c>
      <c r="B1032" t="s">
        <v>1587</v>
      </c>
      <c r="C1032" t="s">
        <v>1501</v>
      </c>
      <c r="D1032" t="s">
        <v>1631</v>
      </c>
      <c r="E1032" t="s">
        <v>1678</v>
      </c>
      <c r="F1032" t="s">
        <v>1832</v>
      </c>
      <c r="G1032" t="s">
        <v>1829</v>
      </c>
      <c r="H1032" t="s">
        <v>2961</v>
      </c>
    </row>
    <row r="1033" spans="1:8" x14ac:dyDescent="0.25">
      <c r="A1033" t="s">
        <v>1527</v>
      </c>
      <c r="B1033" t="s">
        <v>1588</v>
      </c>
      <c r="C1033" t="s">
        <v>1502</v>
      </c>
      <c r="D1033" t="s">
        <v>1633</v>
      </c>
      <c r="E1033" t="s">
        <v>1698</v>
      </c>
      <c r="F1033" t="s">
        <v>1834</v>
      </c>
      <c r="G1033" t="s">
        <v>1831</v>
      </c>
      <c r="H1033" t="s">
        <v>2448</v>
      </c>
    </row>
    <row r="1034" spans="1:8" x14ac:dyDescent="0.25">
      <c r="A1034" t="s">
        <v>1528</v>
      </c>
      <c r="B1034" t="s">
        <v>2899</v>
      </c>
      <c r="C1034" t="s">
        <v>1504</v>
      </c>
      <c r="D1034" t="s">
        <v>1635</v>
      </c>
      <c r="E1034" t="s">
        <v>1679</v>
      </c>
      <c r="F1034" t="s">
        <v>1835</v>
      </c>
      <c r="G1034" t="s">
        <v>1832</v>
      </c>
      <c r="H1034" t="s">
        <v>2962</v>
      </c>
    </row>
    <row r="1035" spans="1:8" x14ac:dyDescent="0.25">
      <c r="A1035" t="s">
        <v>2395</v>
      </c>
      <c r="B1035" t="s">
        <v>3131</v>
      </c>
      <c r="C1035" t="s">
        <v>1507</v>
      </c>
      <c r="D1035" t="s">
        <v>2931</v>
      </c>
      <c r="E1035" t="s">
        <v>1680</v>
      </c>
      <c r="F1035" t="s">
        <v>1837</v>
      </c>
      <c r="G1035" t="s">
        <v>1834</v>
      </c>
      <c r="H1035" t="s">
        <v>2963</v>
      </c>
    </row>
    <row r="1036" spans="1:8" x14ac:dyDescent="0.25">
      <c r="A1036" t="s">
        <v>1529</v>
      </c>
      <c r="B1036" t="s">
        <v>2408</v>
      </c>
      <c r="C1036" t="s">
        <v>1509</v>
      </c>
      <c r="D1036" t="s">
        <v>1637</v>
      </c>
      <c r="E1036" t="s">
        <v>1682</v>
      </c>
      <c r="F1036" t="s">
        <v>1838</v>
      </c>
      <c r="G1036" t="s">
        <v>1835</v>
      </c>
      <c r="H1036" t="s">
        <v>2964</v>
      </c>
    </row>
    <row r="1037" spans="1:8" x14ac:dyDescent="0.25">
      <c r="A1037" t="s">
        <v>1530</v>
      </c>
      <c r="B1037" t="s">
        <v>1589</v>
      </c>
      <c r="C1037" t="s">
        <v>1511</v>
      </c>
      <c r="D1037" t="s">
        <v>1639</v>
      </c>
      <c r="E1037" t="s">
        <v>1683</v>
      </c>
      <c r="F1037" t="s">
        <v>1839</v>
      </c>
      <c r="G1037" t="s">
        <v>1837</v>
      </c>
      <c r="H1037" t="s">
        <v>1746</v>
      </c>
    </row>
    <row r="1038" spans="1:8" x14ac:dyDescent="0.25">
      <c r="A1038" t="s">
        <v>1532</v>
      </c>
      <c r="B1038" t="s">
        <v>3132</v>
      </c>
      <c r="C1038" t="s">
        <v>3172</v>
      </c>
      <c r="D1038" t="s">
        <v>1641</v>
      </c>
      <c r="E1038" t="s">
        <v>1685</v>
      </c>
      <c r="F1038" t="s">
        <v>1840</v>
      </c>
      <c r="G1038" t="s">
        <v>1838</v>
      </c>
      <c r="H1038" t="s">
        <v>2967</v>
      </c>
    </row>
    <row r="1039" spans="1:8" x14ac:dyDescent="0.25">
      <c r="A1039" t="s">
        <v>1533</v>
      </c>
      <c r="B1039" t="s">
        <v>2409</v>
      </c>
      <c r="C1039" t="s">
        <v>2882</v>
      </c>
      <c r="D1039" t="s">
        <v>1643</v>
      </c>
      <c r="E1039" t="s">
        <v>1686</v>
      </c>
      <c r="F1039" t="s">
        <v>1841</v>
      </c>
      <c r="G1039" t="s">
        <v>1839</v>
      </c>
      <c r="H1039" t="s">
        <v>1747</v>
      </c>
    </row>
    <row r="1040" spans="1:8" x14ac:dyDescent="0.25">
      <c r="A1040" t="s">
        <v>1534</v>
      </c>
      <c r="B1040" t="s">
        <v>1590</v>
      </c>
      <c r="C1040" t="s">
        <v>2883</v>
      </c>
      <c r="D1040" t="s">
        <v>1645</v>
      </c>
      <c r="E1040" t="s">
        <v>1687</v>
      </c>
      <c r="F1040" t="s">
        <v>1842</v>
      </c>
      <c r="G1040" t="s">
        <v>1840</v>
      </c>
      <c r="H1040" t="s">
        <v>1748</v>
      </c>
    </row>
    <row r="1041" spans="1:8" x14ac:dyDescent="0.25">
      <c r="A1041" t="s">
        <v>1536</v>
      </c>
      <c r="B1041" t="s">
        <v>2410</v>
      </c>
      <c r="C1041" t="s">
        <v>2884</v>
      </c>
      <c r="D1041" t="s">
        <v>1647</v>
      </c>
      <c r="E1041" t="s">
        <v>1688</v>
      </c>
      <c r="F1041" t="s">
        <v>1843</v>
      </c>
      <c r="G1041" t="s">
        <v>1841</v>
      </c>
      <c r="H1041" t="s">
        <v>2453</v>
      </c>
    </row>
    <row r="1042" spans="1:8" x14ac:dyDescent="0.25">
      <c r="A1042" t="s">
        <v>1537</v>
      </c>
      <c r="B1042" t="s">
        <v>2411</v>
      </c>
      <c r="C1042" t="s">
        <v>2389</v>
      </c>
      <c r="D1042" t="s">
        <v>1650</v>
      </c>
      <c r="E1042" t="s">
        <v>1689</v>
      </c>
      <c r="F1042" t="s">
        <v>1844</v>
      </c>
      <c r="G1042" t="s">
        <v>1842</v>
      </c>
      <c r="H1042" t="s">
        <v>2454</v>
      </c>
    </row>
    <row r="1043" spans="1:8" x14ac:dyDescent="0.25">
      <c r="A1043" t="s">
        <v>1538</v>
      </c>
      <c r="B1043" t="s">
        <v>2412</v>
      </c>
      <c r="C1043" t="s">
        <v>1512</v>
      </c>
      <c r="D1043" t="s">
        <v>1651</v>
      </c>
      <c r="E1043" t="s">
        <v>1690</v>
      </c>
      <c r="F1043" t="s">
        <v>1846</v>
      </c>
      <c r="G1043" t="s">
        <v>1843</v>
      </c>
      <c r="H1043" t="s">
        <v>3325</v>
      </c>
    </row>
    <row r="1044" spans="1:8" x14ac:dyDescent="0.25">
      <c r="A1044" t="s">
        <v>1539</v>
      </c>
      <c r="B1044" t="s">
        <v>1591</v>
      </c>
      <c r="C1044" t="s">
        <v>1513</v>
      </c>
      <c r="D1044" t="s">
        <v>1654</v>
      </c>
      <c r="E1044" t="s">
        <v>1691</v>
      </c>
      <c r="F1044" t="s">
        <v>1847</v>
      </c>
      <c r="G1044" t="s">
        <v>1844</v>
      </c>
      <c r="H1044" t="s">
        <v>1751</v>
      </c>
    </row>
    <row r="1045" spans="1:8" x14ac:dyDescent="0.25">
      <c r="A1045" t="s">
        <v>1540</v>
      </c>
      <c r="B1045" t="s">
        <v>1593</v>
      </c>
      <c r="C1045" t="s">
        <v>2885</v>
      </c>
      <c r="D1045" t="s">
        <v>2932</v>
      </c>
      <c r="E1045" t="s">
        <v>2430</v>
      </c>
      <c r="F1045" t="s">
        <v>1848</v>
      </c>
      <c r="G1045" t="s">
        <v>1846</v>
      </c>
      <c r="H1045" t="s">
        <v>3265</v>
      </c>
    </row>
    <row r="1046" spans="1:8" x14ac:dyDescent="0.25">
      <c r="A1046" t="s">
        <v>1541</v>
      </c>
      <c r="B1046" t="s">
        <v>2413</v>
      </c>
      <c r="C1046" t="s">
        <v>2886</v>
      </c>
      <c r="D1046" t="s">
        <v>1655</v>
      </c>
      <c r="E1046" t="s">
        <v>1692</v>
      </c>
      <c r="F1046" t="s">
        <v>1849</v>
      </c>
      <c r="G1046" t="s">
        <v>1847</v>
      </c>
      <c r="H1046" t="s">
        <v>1752</v>
      </c>
    </row>
    <row r="1047" spans="1:8" x14ac:dyDescent="0.25">
      <c r="A1047" t="s">
        <v>1542</v>
      </c>
      <c r="B1047" t="s">
        <v>1594</v>
      </c>
      <c r="C1047" t="s">
        <v>2887</v>
      </c>
      <c r="D1047" t="s">
        <v>1659</v>
      </c>
      <c r="E1047" t="s">
        <v>1693</v>
      </c>
      <c r="F1047" t="s">
        <v>1851</v>
      </c>
      <c r="G1047" t="s">
        <v>1848</v>
      </c>
      <c r="H1047" t="s">
        <v>1753</v>
      </c>
    </row>
    <row r="1048" spans="1:8" x14ac:dyDescent="0.25">
      <c r="A1048" t="s">
        <v>1544</v>
      </c>
      <c r="B1048" t="s">
        <v>1596</v>
      </c>
      <c r="C1048" t="s">
        <v>1543</v>
      </c>
      <c r="D1048" t="s">
        <v>1661</v>
      </c>
      <c r="E1048" t="s">
        <v>1694</v>
      </c>
      <c r="F1048" t="s">
        <v>1852</v>
      </c>
      <c r="G1048" t="s">
        <v>1849</v>
      </c>
      <c r="H1048" t="s">
        <v>1754</v>
      </c>
    </row>
    <row r="1049" spans="1:8" x14ac:dyDescent="0.25">
      <c r="A1049" t="s">
        <v>1545</v>
      </c>
      <c r="B1049" t="s">
        <v>1597</v>
      </c>
      <c r="C1049" t="s">
        <v>2390</v>
      </c>
      <c r="D1049" t="s">
        <v>1662</v>
      </c>
      <c r="E1049" t="s">
        <v>1696</v>
      </c>
      <c r="F1049" t="s">
        <v>1853</v>
      </c>
      <c r="G1049" t="s">
        <v>1851</v>
      </c>
      <c r="H1049" t="s">
        <v>1755</v>
      </c>
    </row>
    <row r="1050" spans="1:8" x14ac:dyDescent="0.25">
      <c r="A1050" t="s">
        <v>1547</v>
      </c>
      <c r="B1050" t="s">
        <v>2902</v>
      </c>
      <c r="C1050" t="s">
        <v>1514</v>
      </c>
      <c r="D1050" t="s">
        <v>1681</v>
      </c>
      <c r="E1050" t="s">
        <v>1697</v>
      </c>
      <c r="F1050" t="s">
        <v>1854</v>
      </c>
      <c r="G1050" t="s">
        <v>1852</v>
      </c>
      <c r="H1050" t="s">
        <v>1756</v>
      </c>
    </row>
    <row r="1051" spans="1:8" x14ac:dyDescent="0.25">
      <c r="A1051" t="s">
        <v>1548</v>
      </c>
      <c r="B1051" t="s">
        <v>2903</v>
      </c>
      <c r="C1051" t="s">
        <v>1515</v>
      </c>
      <c r="D1051" t="s">
        <v>2417</v>
      </c>
      <c r="E1051" t="s">
        <v>1699</v>
      </c>
      <c r="F1051" t="s">
        <v>1856</v>
      </c>
      <c r="G1051" t="s">
        <v>1853</v>
      </c>
      <c r="H1051" t="s">
        <v>1757</v>
      </c>
    </row>
    <row r="1052" spans="1:8" x14ac:dyDescent="0.25">
      <c r="A1052" t="s">
        <v>1549</v>
      </c>
      <c r="B1052" t="s">
        <v>1649</v>
      </c>
      <c r="C1052" t="s">
        <v>3085</v>
      </c>
      <c r="D1052" t="s">
        <v>1663</v>
      </c>
      <c r="E1052" t="s">
        <v>1700</v>
      </c>
      <c r="F1052" t="s">
        <v>1858</v>
      </c>
      <c r="G1052" t="s">
        <v>1854</v>
      </c>
      <c r="H1052" t="s">
        <v>1758</v>
      </c>
    </row>
    <row r="1053" spans="1:8" x14ac:dyDescent="0.25">
      <c r="A1053" t="s">
        <v>2396</v>
      </c>
      <c r="B1053" t="s">
        <v>1599</v>
      </c>
      <c r="C1053" t="s">
        <v>2391</v>
      </c>
      <c r="D1053" t="s">
        <v>1684</v>
      </c>
      <c r="E1053" t="s">
        <v>1701</v>
      </c>
      <c r="F1053" t="s">
        <v>1859</v>
      </c>
      <c r="G1053" t="s">
        <v>1856</v>
      </c>
      <c r="H1053" t="s">
        <v>2456</v>
      </c>
    </row>
    <row r="1054" spans="1:8" x14ac:dyDescent="0.25">
      <c r="A1054" t="s">
        <v>2397</v>
      </c>
      <c r="B1054" t="s">
        <v>1653</v>
      </c>
      <c r="C1054" t="s">
        <v>2392</v>
      </c>
      <c r="D1054" t="s">
        <v>2933</v>
      </c>
      <c r="E1054" t="s">
        <v>1702</v>
      </c>
      <c r="F1054" t="s">
        <v>1860</v>
      </c>
      <c r="G1054" t="s">
        <v>1858</v>
      </c>
      <c r="H1054" t="s">
        <v>1759</v>
      </c>
    </row>
    <row r="1055" spans="1:8" x14ac:dyDescent="0.25">
      <c r="A1055" t="s">
        <v>2398</v>
      </c>
      <c r="B1055" t="s">
        <v>1652</v>
      </c>
      <c r="C1055" t="s">
        <v>3212</v>
      </c>
      <c r="D1055" t="s">
        <v>2418</v>
      </c>
      <c r="E1055" t="s">
        <v>2432</v>
      </c>
      <c r="F1055" t="s">
        <v>1862</v>
      </c>
      <c r="G1055" t="s">
        <v>1859</v>
      </c>
      <c r="H1055" t="s">
        <v>1760</v>
      </c>
    </row>
    <row r="1056" spans="1:8" x14ac:dyDescent="0.25">
      <c r="A1056" t="s">
        <v>1550</v>
      </c>
      <c r="B1056" t="s">
        <v>1658</v>
      </c>
      <c r="C1056" t="s">
        <v>1516</v>
      </c>
      <c r="D1056" t="s">
        <v>2419</v>
      </c>
      <c r="E1056" t="s">
        <v>1703</v>
      </c>
      <c r="F1056" t="s">
        <v>1863</v>
      </c>
      <c r="G1056" t="s">
        <v>1860</v>
      </c>
      <c r="H1056" t="s">
        <v>1761</v>
      </c>
    </row>
    <row r="1057" spans="1:8" x14ac:dyDescent="0.25">
      <c r="A1057" t="s">
        <v>2888</v>
      </c>
      <c r="B1057" t="s">
        <v>1600</v>
      </c>
      <c r="C1057" t="s">
        <v>1546</v>
      </c>
      <c r="D1057" t="s">
        <v>2420</v>
      </c>
      <c r="E1057" t="s">
        <v>2433</v>
      </c>
      <c r="F1057" t="s">
        <v>1864</v>
      </c>
      <c r="G1057" t="s">
        <v>1862</v>
      </c>
      <c r="H1057" t="s">
        <v>2970</v>
      </c>
    </row>
    <row r="1058" spans="1:8" x14ac:dyDescent="0.25">
      <c r="A1058" t="s">
        <v>1551</v>
      </c>
      <c r="B1058" t="s">
        <v>1615</v>
      </c>
      <c r="C1058" t="s">
        <v>2393</v>
      </c>
      <c r="D1058" t="s">
        <v>2934</v>
      </c>
      <c r="E1058" t="s">
        <v>2434</v>
      </c>
      <c r="F1058" t="s">
        <v>1873</v>
      </c>
      <c r="G1058" t="s">
        <v>1863</v>
      </c>
      <c r="H1058" t="s">
        <v>2457</v>
      </c>
    </row>
    <row r="1059" spans="1:8" x14ac:dyDescent="0.25">
      <c r="A1059" t="s">
        <v>2399</v>
      </c>
      <c r="B1059" t="s">
        <v>1601</v>
      </c>
      <c r="C1059" t="s">
        <v>1517</v>
      </c>
      <c r="D1059" t="s">
        <v>3262</v>
      </c>
      <c r="E1059" t="s">
        <v>1704</v>
      </c>
      <c r="F1059" t="s">
        <v>1865</v>
      </c>
      <c r="G1059" t="s">
        <v>1864</v>
      </c>
      <c r="H1059" t="s">
        <v>2971</v>
      </c>
    </row>
    <row r="1060" spans="1:8" x14ac:dyDescent="0.25">
      <c r="A1060" t="s">
        <v>1552</v>
      </c>
      <c r="B1060" t="s">
        <v>1665</v>
      </c>
      <c r="C1060" t="s">
        <v>2394</v>
      </c>
      <c r="D1060" t="s">
        <v>2938</v>
      </c>
      <c r="E1060" t="s">
        <v>1705</v>
      </c>
      <c r="F1060" t="s">
        <v>2992</v>
      </c>
      <c r="G1060" t="s">
        <v>1873</v>
      </c>
      <c r="H1060" t="s">
        <v>1762</v>
      </c>
    </row>
    <row r="1061" spans="1:8" x14ac:dyDescent="0.25">
      <c r="A1061" t="s">
        <v>1553</v>
      </c>
      <c r="B1061" t="s">
        <v>1602</v>
      </c>
      <c r="C1061" t="s">
        <v>1518</v>
      </c>
      <c r="D1061" t="s">
        <v>3263</v>
      </c>
      <c r="E1061" t="s">
        <v>1706</v>
      </c>
      <c r="F1061" t="s">
        <v>1867</v>
      </c>
      <c r="G1061" t="s">
        <v>1865</v>
      </c>
      <c r="H1061" t="s">
        <v>1763</v>
      </c>
    </row>
    <row r="1062" spans="1:8" x14ac:dyDescent="0.25">
      <c r="A1062" t="s">
        <v>1554</v>
      </c>
      <c r="B1062" t="s">
        <v>1603</v>
      </c>
      <c r="C1062" t="s">
        <v>1519</v>
      </c>
      <c r="D1062" t="s">
        <v>2939</v>
      </c>
      <c r="E1062" t="s">
        <v>1707</v>
      </c>
      <c r="F1062" t="s">
        <v>1868</v>
      </c>
      <c r="G1062" t="s">
        <v>2992</v>
      </c>
      <c r="H1062" t="s">
        <v>1764</v>
      </c>
    </row>
    <row r="1063" spans="1:8" x14ac:dyDescent="0.25">
      <c r="A1063" t="s">
        <v>2889</v>
      </c>
      <c r="B1063" t="s">
        <v>1606</v>
      </c>
      <c r="C1063" t="s">
        <v>1520</v>
      </c>
      <c r="D1063" t="s">
        <v>2943</v>
      </c>
      <c r="E1063" t="s">
        <v>2435</v>
      </c>
      <c r="F1063" t="s">
        <v>2468</v>
      </c>
      <c r="G1063" t="s">
        <v>1867</v>
      </c>
      <c r="H1063" t="s">
        <v>1765</v>
      </c>
    </row>
    <row r="1064" spans="1:8" x14ac:dyDescent="0.25">
      <c r="A1064" t="s">
        <v>2400</v>
      </c>
      <c r="B1064" t="s">
        <v>1607</v>
      </c>
      <c r="C1064" t="s">
        <v>1521</v>
      </c>
      <c r="D1064" t="s">
        <v>2944</v>
      </c>
      <c r="E1064" t="s">
        <v>2436</v>
      </c>
      <c r="F1064" t="s">
        <v>2469</v>
      </c>
      <c r="G1064" t="s">
        <v>1868</v>
      </c>
      <c r="H1064" t="s">
        <v>1770</v>
      </c>
    </row>
    <row r="1065" spans="1:8" x14ac:dyDescent="0.25">
      <c r="A1065" t="s">
        <v>2890</v>
      </c>
      <c r="B1065" t="s">
        <v>2414</v>
      </c>
      <c r="C1065" t="s">
        <v>1522</v>
      </c>
      <c r="D1065" t="s">
        <v>3264</v>
      </c>
      <c r="E1065" t="s">
        <v>1708</v>
      </c>
      <c r="F1065" t="s">
        <v>2470</v>
      </c>
      <c r="G1065" t="s">
        <v>2468</v>
      </c>
      <c r="H1065" t="s">
        <v>1766</v>
      </c>
    </row>
    <row r="1066" spans="1:8" x14ac:dyDescent="0.25">
      <c r="A1066" t="s">
        <v>1555</v>
      </c>
      <c r="B1066" t="s">
        <v>2415</v>
      </c>
      <c r="C1066" t="s">
        <v>1523</v>
      </c>
      <c r="D1066" t="s">
        <v>2945</v>
      </c>
      <c r="E1066" t="s">
        <v>1709</v>
      </c>
      <c r="F1066" t="s">
        <v>2471</v>
      </c>
      <c r="G1066" t="s">
        <v>2469</v>
      </c>
      <c r="H1066" t="s">
        <v>1773</v>
      </c>
    </row>
    <row r="1067" spans="1:8" x14ac:dyDescent="0.25">
      <c r="A1067" t="s">
        <v>1573</v>
      </c>
      <c r="B1067" t="s">
        <v>2905</v>
      </c>
      <c r="C1067" t="s">
        <v>1524</v>
      </c>
      <c r="D1067" t="s">
        <v>2425</v>
      </c>
      <c r="E1067" t="s">
        <v>1710</v>
      </c>
      <c r="F1067" t="s">
        <v>2472</v>
      </c>
      <c r="G1067" t="s">
        <v>2470</v>
      </c>
      <c r="H1067" t="s">
        <v>1767</v>
      </c>
    </row>
    <row r="1068" spans="1:8" x14ac:dyDescent="0.25">
      <c r="A1068" t="s">
        <v>1592</v>
      </c>
      <c r="B1068" t="s">
        <v>2906</v>
      </c>
      <c r="C1068" t="s">
        <v>1525</v>
      </c>
      <c r="D1068" t="s">
        <v>3090</v>
      </c>
      <c r="E1068" t="s">
        <v>1711</v>
      </c>
      <c r="F1068" t="s">
        <v>3143</v>
      </c>
      <c r="G1068" t="s">
        <v>2471</v>
      </c>
      <c r="H1068" t="s">
        <v>1768</v>
      </c>
    </row>
    <row r="1069" spans="1:8" x14ac:dyDescent="0.25">
      <c r="A1069" t="s">
        <v>1556</v>
      </c>
      <c r="B1069" t="s">
        <v>2907</v>
      </c>
      <c r="C1069" t="s">
        <v>1527</v>
      </c>
      <c r="D1069" t="s">
        <v>1667</v>
      </c>
      <c r="E1069" t="s">
        <v>2438</v>
      </c>
      <c r="F1069" t="s">
        <v>3267</v>
      </c>
      <c r="G1069" t="s">
        <v>2472</v>
      </c>
      <c r="H1069" t="s">
        <v>1769</v>
      </c>
    </row>
    <row r="1070" spans="1:8" x14ac:dyDescent="0.25">
      <c r="A1070" t="s">
        <v>2891</v>
      </c>
      <c r="B1070" t="s">
        <v>2908</v>
      </c>
      <c r="C1070" t="s">
        <v>3127</v>
      </c>
      <c r="D1070" t="s">
        <v>1668</v>
      </c>
      <c r="E1070" t="s">
        <v>1712</v>
      </c>
      <c r="F1070" t="s">
        <v>2994</v>
      </c>
      <c r="G1070" t="s">
        <v>3143</v>
      </c>
      <c r="H1070" t="s">
        <v>1775</v>
      </c>
    </row>
    <row r="1071" spans="1:8" x14ac:dyDescent="0.25">
      <c r="A1071" t="s">
        <v>1557</v>
      </c>
      <c r="B1071" t="s">
        <v>3133</v>
      </c>
      <c r="C1071" t="s">
        <v>1528</v>
      </c>
      <c r="D1071" t="s">
        <v>1669</v>
      </c>
      <c r="E1071" t="s">
        <v>1713</v>
      </c>
      <c r="F1071" t="s">
        <v>1869</v>
      </c>
      <c r="G1071" t="s">
        <v>3267</v>
      </c>
      <c r="H1071" t="s">
        <v>1776</v>
      </c>
    </row>
    <row r="1072" spans="1:8" x14ac:dyDescent="0.25">
      <c r="A1072" t="s">
        <v>1561</v>
      </c>
      <c r="B1072" t="s">
        <v>2909</v>
      </c>
      <c r="C1072" t="s">
        <v>3128</v>
      </c>
      <c r="D1072" t="s">
        <v>1670</v>
      </c>
      <c r="E1072" t="s">
        <v>1714</v>
      </c>
      <c r="F1072" t="s">
        <v>1870</v>
      </c>
      <c r="G1072" t="s">
        <v>2994</v>
      </c>
      <c r="H1072" t="s">
        <v>1777</v>
      </c>
    </row>
    <row r="1073" spans="1:8" x14ac:dyDescent="0.25">
      <c r="A1073" t="s">
        <v>1598</v>
      </c>
      <c r="B1073" t="s">
        <v>3134</v>
      </c>
      <c r="C1073" t="s">
        <v>1529</v>
      </c>
      <c r="D1073" t="s">
        <v>1671</v>
      </c>
      <c r="E1073" t="s">
        <v>1715</v>
      </c>
      <c r="F1073" t="s">
        <v>1871</v>
      </c>
      <c r="G1073" t="s">
        <v>1869</v>
      </c>
      <c r="H1073" t="s">
        <v>1781</v>
      </c>
    </row>
    <row r="1074" spans="1:8" x14ac:dyDescent="0.25">
      <c r="A1074" t="s">
        <v>1562</v>
      </c>
      <c r="B1074" t="s">
        <v>2911</v>
      </c>
      <c r="C1074" t="s">
        <v>3129</v>
      </c>
      <c r="D1074" t="s">
        <v>1672</v>
      </c>
      <c r="E1074" t="s">
        <v>1716</v>
      </c>
      <c r="F1074" t="s">
        <v>1872</v>
      </c>
      <c r="G1074" t="s">
        <v>1870</v>
      </c>
      <c r="H1074" t="s">
        <v>1803</v>
      </c>
    </row>
    <row r="1075" spans="1:8" x14ac:dyDescent="0.25">
      <c r="A1075" t="s">
        <v>1563</v>
      </c>
      <c r="B1075" t="s">
        <v>1608</v>
      </c>
      <c r="C1075" t="s">
        <v>1530</v>
      </c>
      <c r="D1075" t="s">
        <v>1673</v>
      </c>
      <c r="E1075" t="s">
        <v>1717</v>
      </c>
      <c r="F1075" t="s">
        <v>1874</v>
      </c>
      <c r="G1075" t="s">
        <v>1871</v>
      </c>
      <c r="H1075" t="s">
        <v>1783</v>
      </c>
    </row>
    <row r="1076" spans="1:8" x14ac:dyDescent="0.25">
      <c r="A1076" t="s">
        <v>1610</v>
      </c>
      <c r="B1076" t="s">
        <v>2912</v>
      </c>
      <c r="C1076" t="s">
        <v>1532</v>
      </c>
      <c r="D1076" t="s">
        <v>1674</v>
      </c>
      <c r="E1076" t="s">
        <v>1718</v>
      </c>
      <c r="F1076" t="s">
        <v>1875</v>
      </c>
      <c r="G1076" t="s">
        <v>1872</v>
      </c>
      <c r="H1076" t="s">
        <v>1786</v>
      </c>
    </row>
    <row r="1077" spans="1:8" x14ac:dyDescent="0.25">
      <c r="A1077" t="s">
        <v>2401</v>
      </c>
      <c r="B1077" t="s">
        <v>1609</v>
      </c>
      <c r="C1077" t="s">
        <v>1533</v>
      </c>
      <c r="D1077" t="s">
        <v>1675</v>
      </c>
      <c r="E1077" t="s">
        <v>1719</v>
      </c>
      <c r="F1077" t="s">
        <v>1876</v>
      </c>
      <c r="G1077" t="s">
        <v>1874</v>
      </c>
      <c r="H1077" t="s">
        <v>1778</v>
      </c>
    </row>
    <row r="1078" spans="1:8" x14ac:dyDescent="0.25">
      <c r="A1078" t="s">
        <v>2402</v>
      </c>
      <c r="B1078" t="s">
        <v>1611</v>
      </c>
      <c r="C1078" t="s">
        <v>1534</v>
      </c>
      <c r="D1078" t="s">
        <v>1676</v>
      </c>
      <c r="E1078" t="s">
        <v>1721</v>
      </c>
      <c r="F1078" t="s">
        <v>1877</v>
      </c>
      <c r="G1078" t="s">
        <v>1875</v>
      </c>
      <c r="H1078" t="s">
        <v>1780</v>
      </c>
    </row>
    <row r="1079" spans="1:8" x14ac:dyDescent="0.25">
      <c r="A1079" t="s">
        <v>2403</v>
      </c>
      <c r="B1079" t="s">
        <v>1612</v>
      </c>
      <c r="C1079" t="s">
        <v>1536</v>
      </c>
      <c r="D1079" t="s">
        <v>1720</v>
      </c>
      <c r="E1079" t="s">
        <v>2440</v>
      </c>
      <c r="F1079" t="s">
        <v>1878</v>
      </c>
      <c r="G1079" t="s">
        <v>1876</v>
      </c>
      <c r="H1079" t="s">
        <v>1809</v>
      </c>
    </row>
    <row r="1080" spans="1:8" x14ac:dyDescent="0.25">
      <c r="A1080" t="s">
        <v>1566</v>
      </c>
      <c r="B1080" t="s">
        <v>1613</v>
      </c>
      <c r="C1080" t="s">
        <v>1537</v>
      </c>
      <c r="D1080" t="s">
        <v>1677</v>
      </c>
      <c r="E1080" t="s">
        <v>2441</v>
      </c>
      <c r="F1080" t="s">
        <v>1879</v>
      </c>
      <c r="G1080" t="s">
        <v>1877</v>
      </c>
      <c r="H1080" t="s">
        <v>1790</v>
      </c>
    </row>
    <row r="1081" spans="1:8" x14ac:dyDescent="0.25">
      <c r="A1081" t="s">
        <v>1567</v>
      </c>
      <c r="B1081" t="s">
        <v>1614</v>
      </c>
      <c r="C1081" t="s">
        <v>1538</v>
      </c>
      <c r="D1081" t="s">
        <v>1678</v>
      </c>
      <c r="E1081" t="s">
        <v>1722</v>
      </c>
      <c r="F1081" t="s">
        <v>1880</v>
      </c>
      <c r="G1081" t="s">
        <v>1878</v>
      </c>
      <c r="H1081" t="s">
        <v>1793</v>
      </c>
    </row>
    <row r="1082" spans="1:8" x14ac:dyDescent="0.25">
      <c r="A1082" t="s">
        <v>1568</v>
      </c>
      <c r="B1082" t="s">
        <v>1616</v>
      </c>
      <c r="C1082" t="s">
        <v>1539</v>
      </c>
      <c r="D1082" t="s">
        <v>1698</v>
      </c>
      <c r="E1082" t="s">
        <v>1723</v>
      </c>
      <c r="F1082" t="s">
        <v>2476</v>
      </c>
      <c r="G1082" t="s">
        <v>1879</v>
      </c>
      <c r="H1082" t="s">
        <v>2972</v>
      </c>
    </row>
    <row r="1083" spans="1:8" x14ac:dyDescent="0.25">
      <c r="A1083" t="s">
        <v>2892</v>
      </c>
      <c r="B1083" t="s">
        <v>1617</v>
      </c>
      <c r="C1083" t="s">
        <v>1540</v>
      </c>
      <c r="D1083" t="s">
        <v>1680</v>
      </c>
      <c r="E1083" t="s">
        <v>1724</v>
      </c>
      <c r="F1083" t="s">
        <v>1881</v>
      </c>
      <c r="G1083" t="s">
        <v>1880</v>
      </c>
      <c r="H1083" t="s">
        <v>2973</v>
      </c>
    </row>
    <row r="1084" spans="1:8" x14ac:dyDescent="0.25">
      <c r="A1084" t="s">
        <v>1570</v>
      </c>
      <c r="B1084" t="s">
        <v>1618</v>
      </c>
      <c r="C1084" t="s">
        <v>1541</v>
      </c>
      <c r="D1084" t="s">
        <v>1682</v>
      </c>
      <c r="E1084" t="s">
        <v>1725</v>
      </c>
      <c r="F1084" t="s">
        <v>1883</v>
      </c>
      <c r="G1084" t="s">
        <v>2476</v>
      </c>
      <c r="H1084" t="s">
        <v>2974</v>
      </c>
    </row>
    <row r="1085" spans="1:8" x14ac:dyDescent="0.25">
      <c r="A1085" t="s">
        <v>2404</v>
      </c>
      <c r="B1085" t="s">
        <v>1619</v>
      </c>
      <c r="C1085" t="s">
        <v>1542</v>
      </c>
      <c r="D1085" t="s">
        <v>1683</v>
      </c>
      <c r="E1085" t="s">
        <v>1726</v>
      </c>
      <c r="F1085" t="s">
        <v>1884</v>
      </c>
      <c r="G1085" t="s">
        <v>1881</v>
      </c>
      <c r="H1085" t="s">
        <v>2975</v>
      </c>
    </row>
    <row r="1086" spans="1:8" x14ac:dyDescent="0.25">
      <c r="A1086" t="s">
        <v>1571</v>
      </c>
      <c r="B1086" t="s">
        <v>1621</v>
      </c>
      <c r="C1086" t="s">
        <v>1544</v>
      </c>
      <c r="D1086" t="s">
        <v>1685</v>
      </c>
      <c r="E1086" t="s">
        <v>1727</v>
      </c>
      <c r="F1086" t="s">
        <v>1885</v>
      </c>
      <c r="G1086" t="s">
        <v>1883</v>
      </c>
      <c r="H1086" t="s">
        <v>2977</v>
      </c>
    </row>
    <row r="1087" spans="1:8" x14ac:dyDescent="0.25">
      <c r="A1087" t="s">
        <v>2405</v>
      </c>
      <c r="B1087" t="s">
        <v>2915</v>
      </c>
      <c r="C1087" t="s">
        <v>1545</v>
      </c>
      <c r="D1087" t="s">
        <v>1686</v>
      </c>
      <c r="E1087" t="s">
        <v>1728</v>
      </c>
      <c r="F1087" t="s">
        <v>1886</v>
      </c>
      <c r="G1087" t="s">
        <v>1884</v>
      </c>
      <c r="H1087" t="s">
        <v>2978</v>
      </c>
    </row>
    <row r="1088" spans="1:8" x14ac:dyDescent="0.25">
      <c r="A1088" t="s">
        <v>1572</v>
      </c>
      <c r="B1088" t="s">
        <v>2916</v>
      </c>
      <c r="C1088" t="s">
        <v>1547</v>
      </c>
      <c r="D1088" t="s">
        <v>1687</v>
      </c>
      <c r="E1088" t="s">
        <v>1729</v>
      </c>
      <c r="F1088" t="s">
        <v>1887</v>
      </c>
      <c r="G1088" t="s">
        <v>1885</v>
      </c>
      <c r="H1088" t="s">
        <v>2979</v>
      </c>
    </row>
    <row r="1089" spans="1:8" x14ac:dyDescent="0.25">
      <c r="A1089" t="s">
        <v>1574</v>
      </c>
      <c r="B1089" t="s">
        <v>2917</v>
      </c>
      <c r="C1089" t="s">
        <v>1548</v>
      </c>
      <c r="D1089" t="s">
        <v>2429</v>
      </c>
      <c r="E1089" t="s">
        <v>1730</v>
      </c>
      <c r="F1089" t="s">
        <v>1888</v>
      </c>
      <c r="G1089" t="s">
        <v>1886</v>
      </c>
      <c r="H1089" t="s">
        <v>2980</v>
      </c>
    </row>
    <row r="1090" spans="1:8" x14ac:dyDescent="0.25">
      <c r="A1090" t="s">
        <v>1576</v>
      </c>
      <c r="B1090" t="s">
        <v>2416</v>
      </c>
      <c r="C1090" t="s">
        <v>1549</v>
      </c>
      <c r="D1090" t="s">
        <v>1688</v>
      </c>
      <c r="E1090" t="s">
        <v>1731</v>
      </c>
      <c r="F1090" t="s">
        <v>2995</v>
      </c>
      <c r="G1090" t="s">
        <v>1887</v>
      </c>
      <c r="H1090" t="s">
        <v>2981</v>
      </c>
    </row>
    <row r="1091" spans="1:8" x14ac:dyDescent="0.25">
      <c r="A1091" t="s">
        <v>1577</v>
      </c>
      <c r="B1091" t="s">
        <v>2918</v>
      </c>
      <c r="C1091" t="s">
        <v>2396</v>
      </c>
      <c r="D1091" t="s">
        <v>1689</v>
      </c>
      <c r="E1091" t="s">
        <v>1732</v>
      </c>
      <c r="F1091" t="s">
        <v>1892</v>
      </c>
      <c r="G1091" t="s">
        <v>1888</v>
      </c>
      <c r="H1091" t="s">
        <v>2982</v>
      </c>
    </row>
    <row r="1092" spans="1:8" x14ac:dyDescent="0.25">
      <c r="A1092" t="s">
        <v>1580</v>
      </c>
      <c r="B1092" t="s">
        <v>2919</v>
      </c>
      <c r="C1092" t="s">
        <v>2397</v>
      </c>
      <c r="D1092" t="s">
        <v>1690</v>
      </c>
      <c r="E1092" t="s">
        <v>1733</v>
      </c>
      <c r="F1092" t="s">
        <v>1935</v>
      </c>
      <c r="G1092" t="s">
        <v>2995</v>
      </c>
      <c r="H1092" t="s">
        <v>2983</v>
      </c>
    </row>
    <row r="1093" spans="1:8" x14ac:dyDescent="0.25">
      <c r="A1093" t="s">
        <v>2406</v>
      </c>
      <c r="B1093" t="s">
        <v>2920</v>
      </c>
      <c r="C1093" t="s">
        <v>2398</v>
      </c>
      <c r="D1093" t="s">
        <v>1691</v>
      </c>
      <c r="E1093" t="s">
        <v>1734</v>
      </c>
      <c r="F1093" t="s">
        <v>1893</v>
      </c>
      <c r="G1093" t="s">
        <v>1892</v>
      </c>
      <c r="H1093" t="s">
        <v>2984</v>
      </c>
    </row>
    <row r="1094" spans="1:8" x14ac:dyDescent="0.25">
      <c r="A1094" t="s">
        <v>1581</v>
      </c>
      <c r="B1094" t="s">
        <v>2921</v>
      </c>
      <c r="C1094" t="s">
        <v>3130</v>
      </c>
      <c r="D1094" t="s">
        <v>2430</v>
      </c>
      <c r="E1094" t="s">
        <v>1735</v>
      </c>
      <c r="F1094" t="s">
        <v>1894</v>
      </c>
      <c r="G1094" t="s">
        <v>1935</v>
      </c>
      <c r="H1094" t="s">
        <v>2986</v>
      </c>
    </row>
    <row r="1095" spans="1:8" x14ac:dyDescent="0.25">
      <c r="A1095" t="s">
        <v>1582</v>
      </c>
      <c r="B1095" t="s">
        <v>2922</v>
      </c>
      <c r="C1095" t="s">
        <v>1550</v>
      </c>
      <c r="D1095" t="s">
        <v>1692</v>
      </c>
      <c r="E1095" t="s">
        <v>1736</v>
      </c>
      <c r="F1095" t="s">
        <v>1896</v>
      </c>
      <c r="G1095" t="s">
        <v>1893</v>
      </c>
      <c r="H1095" t="s">
        <v>2987</v>
      </c>
    </row>
    <row r="1096" spans="1:8" x14ac:dyDescent="0.25">
      <c r="A1096" t="s">
        <v>1583</v>
      </c>
      <c r="B1096" t="s">
        <v>2923</v>
      </c>
      <c r="C1096" t="s">
        <v>2888</v>
      </c>
      <c r="D1096" t="s">
        <v>1693</v>
      </c>
      <c r="E1096" t="s">
        <v>1737</v>
      </c>
      <c r="F1096" t="s">
        <v>1897</v>
      </c>
      <c r="G1096" t="s">
        <v>1894</v>
      </c>
      <c r="H1096" t="s">
        <v>2460</v>
      </c>
    </row>
    <row r="1097" spans="1:8" x14ac:dyDescent="0.25">
      <c r="A1097" t="s">
        <v>1595</v>
      </c>
      <c r="B1097" t="s">
        <v>2924</v>
      </c>
      <c r="C1097" t="s">
        <v>1551</v>
      </c>
      <c r="D1097" t="s">
        <v>1694</v>
      </c>
      <c r="E1097" t="s">
        <v>2953</v>
      </c>
      <c r="F1097" t="s">
        <v>1909</v>
      </c>
      <c r="G1097" t="s">
        <v>1896</v>
      </c>
      <c r="H1097" t="s">
        <v>1782</v>
      </c>
    </row>
    <row r="1098" spans="1:8" x14ac:dyDescent="0.25">
      <c r="A1098" t="s">
        <v>2893</v>
      </c>
      <c r="B1098" t="s">
        <v>1622</v>
      </c>
      <c r="C1098" t="s">
        <v>2399</v>
      </c>
      <c r="D1098" t="s">
        <v>1696</v>
      </c>
      <c r="E1098" t="s">
        <v>2954</v>
      </c>
      <c r="F1098" t="s">
        <v>2997</v>
      </c>
      <c r="G1098" t="s">
        <v>1942</v>
      </c>
      <c r="H1098" t="s">
        <v>1785</v>
      </c>
    </row>
    <row r="1099" spans="1:8" x14ac:dyDescent="0.25">
      <c r="A1099" t="s">
        <v>2894</v>
      </c>
      <c r="B1099" t="s">
        <v>1624</v>
      </c>
      <c r="C1099" t="s">
        <v>1552</v>
      </c>
      <c r="D1099" t="s">
        <v>1697</v>
      </c>
      <c r="E1099" t="s">
        <v>2955</v>
      </c>
      <c r="F1099" t="s">
        <v>2999</v>
      </c>
      <c r="G1099" t="s">
        <v>1909</v>
      </c>
      <c r="H1099" t="s">
        <v>1787</v>
      </c>
    </row>
    <row r="1100" spans="1:8" x14ac:dyDescent="0.25">
      <c r="A1100" t="s">
        <v>2895</v>
      </c>
      <c r="B1100" t="s">
        <v>2925</v>
      </c>
      <c r="C1100" t="s">
        <v>1553</v>
      </c>
      <c r="D1100" t="s">
        <v>1699</v>
      </c>
      <c r="E1100" t="s">
        <v>2956</v>
      </c>
      <c r="F1100" t="s">
        <v>3144</v>
      </c>
      <c r="G1100" t="s">
        <v>2997</v>
      </c>
      <c r="H1100" t="s">
        <v>1788</v>
      </c>
    </row>
    <row r="1101" spans="1:8" x14ac:dyDescent="0.25">
      <c r="A1101" t="s">
        <v>2896</v>
      </c>
      <c r="B1101" t="s">
        <v>2926</v>
      </c>
      <c r="C1101" t="s">
        <v>1554</v>
      </c>
      <c r="D1101" t="s">
        <v>1700</v>
      </c>
      <c r="E1101" t="s">
        <v>2957</v>
      </c>
      <c r="F1101" t="s">
        <v>3001</v>
      </c>
      <c r="G1101" t="s">
        <v>2999</v>
      </c>
      <c r="H1101" t="s">
        <v>1789</v>
      </c>
    </row>
    <row r="1102" spans="1:8" x14ac:dyDescent="0.25">
      <c r="A1102" t="s">
        <v>2897</v>
      </c>
      <c r="B1102" t="s">
        <v>2927</v>
      </c>
      <c r="C1102" t="s">
        <v>2889</v>
      </c>
      <c r="D1102" t="s">
        <v>1701</v>
      </c>
      <c r="E1102" t="s">
        <v>2958</v>
      </c>
      <c r="F1102" t="s">
        <v>1901</v>
      </c>
      <c r="G1102" t="s">
        <v>3144</v>
      </c>
      <c r="H1102" t="s">
        <v>3139</v>
      </c>
    </row>
    <row r="1103" spans="1:8" x14ac:dyDescent="0.25">
      <c r="A1103" t="s">
        <v>1620</v>
      </c>
      <c r="B1103" t="s">
        <v>2928</v>
      </c>
      <c r="C1103" t="s">
        <v>2400</v>
      </c>
      <c r="D1103" t="s">
        <v>1702</v>
      </c>
      <c r="E1103" t="s">
        <v>1738</v>
      </c>
      <c r="F1103" t="s">
        <v>2477</v>
      </c>
      <c r="G1103" t="s">
        <v>3001</v>
      </c>
      <c r="H1103" t="s">
        <v>3140</v>
      </c>
    </row>
    <row r="1104" spans="1:8" x14ac:dyDescent="0.25">
      <c r="A1104" t="s">
        <v>2898</v>
      </c>
      <c r="B1104" t="s">
        <v>2930</v>
      </c>
      <c r="C1104" t="s">
        <v>2890</v>
      </c>
      <c r="D1104" t="s">
        <v>2432</v>
      </c>
      <c r="E1104" t="s">
        <v>1739</v>
      </c>
      <c r="F1104" t="s">
        <v>1902</v>
      </c>
      <c r="G1104" t="s">
        <v>3348</v>
      </c>
      <c r="H1104" t="s">
        <v>1791</v>
      </c>
    </row>
    <row r="1105" spans="1:8" x14ac:dyDescent="0.25">
      <c r="A1105" t="s">
        <v>1585</v>
      </c>
      <c r="B1105" t="s">
        <v>3135</v>
      </c>
      <c r="C1105" t="s">
        <v>1555</v>
      </c>
      <c r="D1105" t="s">
        <v>1703</v>
      </c>
      <c r="E1105" t="s">
        <v>1740</v>
      </c>
      <c r="F1105" t="s">
        <v>1903</v>
      </c>
      <c r="G1105" t="s">
        <v>2477</v>
      </c>
      <c r="H1105" t="s">
        <v>1794</v>
      </c>
    </row>
    <row r="1106" spans="1:8" x14ac:dyDescent="0.25">
      <c r="A1106" t="s">
        <v>1586</v>
      </c>
      <c r="B1106" t="s">
        <v>3136</v>
      </c>
      <c r="C1106" t="s">
        <v>1573</v>
      </c>
      <c r="D1106" t="s">
        <v>2433</v>
      </c>
      <c r="E1106" t="s">
        <v>1741</v>
      </c>
      <c r="F1106" t="s">
        <v>1904</v>
      </c>
      <c r="G1106" t="s">
        <v>1902</v>
      </c>
      <c r="H1106" t="s">
        <v>1795</v>
      </c>
    </row>
    <row r="1107" spans="1:8" x14ac:dyDescent="0.25">
      <c r="A1107" t="s">
        <v>1587</v>
      </c>
      <c r="B1107" t="s">
        <v>1625</v>
      </c>
      <c r="C1107" t="s">
        <v>1575</v>
      </c>
      <c r="D1107" t="s">
        <v>2434</v>
      </c>
      <c r="E1107" t="s">
        <v>1742</v>
      </c>
      <c r="F1107" t="s">
        <v>1906</v>
      </c>
      <c r="G1107" t="s">
        <v>1904</v>
      </c>
      <c r="H1107" t="s">
        <v>2461</v>
      </c>
    </row>
    <row r="1108" spans="1:8" x14ac:dyDescent="0.25">
      <c r="A1108" t="s">
        <v>1588</v>
      </c>
      <c r="B1108" t="s">
        <v>1626</v>
      </c>
      <c r="C1108" t="s">
        <v>1592</v>
      </c>
      <c r="D1108" t="s">
        <v>1704</v>
      </c>
      <c r="E1108" t="s">
        <v>1743</v>
      </c>
      <c r="F1108" t="s">
        <v>1907</v>
      </c>
      <c r="G1108" t="s">
        <v>1906</v>
      </c>
      <c r="H1108" t="s">
        <v>1796</v>
      </c>
    </row>
    <row r="1109" spans="1:8" x14ac:dyDescent="0.25">
      <c r="A1109" t="s">
        <v>2899</v>
      </c>
      <c r="B1109" t="s">
        <v>1627</v>
      </c>
      <c r="C1109" t="s">
        <v>1556</v>
      </c>
      <c r="D1109" t="s">
        <v>1705</v>
      </c>
      <c r="E1109" t="s">
        <v>2959</v>
      </c>
      <c r="F1109" t="s">
        <v>1908</v>
      </c>
      <c r="G1109" t="s">
        <v>1907</v>
      </c>
      <c r="H1109" t="s">
        <v>1797</v>
      </c>
    </row>
    <row r="1110" spans="1:8" x14ac:dyDescent="0.25">
      <c r="A1110" t="s">
        <v>2900</v>
      </c>
      <c r="B1110" t="s">
        <v>1628</v>
      </c>
      <c r="C1110" t="s">
        <v>2891</v>
      </c>
      <c r="D1110" t="s">
        <v>1706</v>
      </c>
      <c r="E1110" t="s">
        <v>2960</v>
      </c>
      <c r="F1110" t="s">
        <v>1911</v>
      </c>
      <c r="G1110" t="s">
        <v>1908</v>
      </c>
      <c r="H1110" t="s">
        <v>1798</v>
      </c>
    </row>
    <row r="1111" spans="1:8" x14ac:dyDescent="0.25">
      <c r="A1111" t="s">
        <v>2407</v>
      </c>
      <c r="B1111" t="s">
        <v>1630</v>
      </c>
      <c r="C1111" t="s">
        <v>1557</v>
      </c>
      <c r="D1111" t="s">
        <v>1707</v>
      </c>
      <c r="E1111" t="s">
        <v>1744</v>
      </c>
      <c r="F1111" t="s">
        <v>2481</v>
      </c>
      <c r="G1111" t="s">
        <v>1911</v>
      </c>
      <c r="H1111" t="s">
        <v>1845</v>
      </c>
    </row>
    <row r="1112" spans="1:8" x14ac:dyDescent="0.25">
      <c r="A1112" t="s">
        <v>2408</v>
      </c>
      <c r="B1112" t="s">
        <v>1631</v>
      </c>
      <c r="C1112" t="s">
        <v>1561</v>
      </c>
      <c r="D1112" t="s">
        <v>2435</v>
      </c>
      <c r="E1112" t="s">
        <v>1745</v>
      </c>
      <c r="F1112" t="s">
        <v>2482</v>
      </c>
      <c r="G1112" t="s">
        <v>2481</v>
      </c>
      <c r="H1112" t="s">
        <v>1800</v>
      </c>
    </row>
    <row r="1113" spans="1:8" x14ac:dyDescent="0.25">
      <c r="A1113" t="s">
        <v>1589</v>
      </c>
      <c r="B1113" t="s">
        <v>3137</v>
      </c>
      <c r="C1113" t="s">
        <v>1598</v>
      </c>
      <c r="D1113" t="s">
        <v>2436</v>
      </c>
      <c r="E1113" t="s">
        <v>2961</v>
      </c>
      <c r="F1113" t="s">
        <v>1912</v>
      </c>
      <c r="G1113" t="s">
        <v>2482</v>
      </c>
      <c r="H1113" t="s">
        <v>1802</v>
      </c>
    </row>
    <row r="1114" spans="1:8" x14ac:dyDescent="0.25">
      <c r="A1114" t="s">
        <v>2409</v>
      </c>
      <c r="B1114" t="s">
        <v>1695</v>
      </c>
      <c r="C1114" t="s">
        <v>1562</v>
      </c>
      <c r="D1114" t="s">
        <v>2437</v>
      </c>
      <c r="E1114" t="s">
        <v>2448</v>
      </c>
      <c r="F1114" t="s">
        <v>3314</v>
      </c>
      <c r="G1114" t="s">
        <v>1912</v>
      </c>
      <c r="H1114" t="s">
        <v>1804</v>
      </c>
    </row>
    <row r="1115" spans="1:8" x14ac:dyDescent="0.25">
      <c r="A1115" t="s">
        <v>1590</v>
      </c>
      <c r="B1115" t="s">
        <v>1633</v>
      </c>
      <c r="C1115" t="s">
        <v>1563</v>
      </c>
      <c r="D1115" t="s">
        <v>1708</v>
      </c>
      <c r="E1115" t="s">
        <v>2962</v>
      </c>
      <c r="F1115" t="s">
        <v>1913</v>
      </c>
      <c r="G1115" t="s">
        <v>1913</v>
      </c>
      <c r="H1115" t="s">
        <v>1850</v>
      </c>
    </row>
    <row r="1116" spans="1:8" x14ac:dyDescent="0.25">
      <c r="A1116" t="s">
        <v>2410</v>
      </c>
      <c r="B1116" t="s">
        <v>1635</v>
      </c>
      <c r="C1116" t="s">
        <v>1610</v>
      </c>
      <c r="D1116" t="s">
        <v>1709</v>
      </c>
      <c r="E1116" t="s">
        <v>2963</v>
      </c>
      <c r="F1116" t="s">
        <v>1914</v>
      </c>
      <c r="G1116" t="s">
        <v>1914</v>
      </c>
      <c r="H1116" t="s">
        <v>1805</v>
      </c>
    </row>
    <row r="1117" spans="1:8" x14ac:dyDescent="0.25">
      <c r="A1117" t="s">
        <v>2411</v>
      </c>
      <c r="B1117" t="s">
        <v>1637</v>
      </c>
      <c r="C1117" t="s">
        <v>1605</v>
      </c>
      <c r="D1117" t="s">
        <v>1710</v>
      </c>
      <c r="E1117" t="s">
        <v>2964</v>
      </c>
      <c r="F1117" t="s">
        <v>1915</v>
      </c>
      <c r="G1117" t="s">
        <v>1915</v>
      </c>
      <c r="H1117" t="s">
        <v>1806</v>
      </c>
    </row>
    <row r="1118" spans="1:8" x14ac:dyDescent="0.25">
      <c r="A1118" t="s">
        <v>2412</v>
      </c>
      <c r="B1118" t="s">
        <v>1639</v>
      </c>
      <c r="C1118" t="s">
        <v>2401</v>
      </c>
      <c r="D1118" t="s">
        <v>1711</v>
      </c>
      <c r="E1118" t="s">
        <v>2965</v>
      </c>
      <c r="F1118" t="s">
        <v>1916</v>
      </c>
      <c r="G1118" t="s">
        <v>1916</v>
      </c>
      <c r="H1118" t="s">
        <v>1807</v>
      </c>
    </row>
    <row r="1119" spans="1:8" x14ac:dyDescent="0.25">
      <c r="A1119" t="s">
        <v>1591</v>
      </c>
      <c r="B1119" t="s">
        <v>1641</v>
      </c>
      <c r="C1119" t="s">
        <v>2402</v>
      </c>
      <c r="D1119" t="s">
        <v>2438</v>
      </c>
      <c r="E1119" t="s">
        <v>2966</v>
      </c>
      <c r="F1119" t="s">
        <v>1917</v>
      </c>
      <c r="G1119" t="s">
        <v>1917</v>
      </c>
      <c r="H1119" t="s">
        <v>1855</v>
      </c>
    </row>
    <row r="1120" spans="1:8" x14ac:dyDescent="0.25">
      <c r="A1120" t="s">
        <v>1629</v>
      </c>
      <c r="B1120" t="s">
        <v>1643</v>
      </c>
      <c r="C1120" t="s">
        <v>2403</v>
      </c>
      <c r="D1120" t="s">
        <v>1712</v>
      </c>
      <c r="E1120" t="s">
        <v>1746</v>
      </c>
      <c r="F1120" t="s">
        <v>1918</v>
      </c>
      <c r="G1120" t="s">
        <v>1918</v>
      </c>
      <c r="H1120" t="s">
        <v>2465</v>
      </c>
    </row>
    <row r="1121" spans="1:8" x14ac:dyDescent="0.25">
      <c r="A1121" t="s">
        <v>2413</v>
      </c>
      <c r="B1121" t="s">
        <v>1645</v>
      </c>
      <c r="C1121" t="s">
        <v>1566</v>
      </c>
      <c r="D1121" t="s">
        <v>1713</v>
      </c>
      <c r="E1121" t="s">
        <v>2967</v>
      </c>
      <c r="F1121" t="s">
        <v>3332</v>
      </c>
      <c r="G1121" t="s">
        <v>3349</v>
      </c>
      <c r="H1121" t="s">
        <v>1808</v>
      </c>
    </row>
    <row r="1122" spans="1:8" x14ac:dyDescent="0.25">
      <c r="A1122" t="s">
        <v>1594</v>
      </c>
      <c r="B1122" t="s">
        <v>1647</v>
      </c>
      <c r="C1122" t="s">
        <v>1567</v>
      </c>
      <c r="D1122" t="s">
        <v>1714</v>
      </c>
      <c r="E1122" t="s">
        <v>1747</v>
      </c>
      <c r="F1122" t="s">
        <v>2485</v>
      </c>
      <c r="G1122" t="s">
        <v>3350</v>
      </c>
      <c r="H1122" t="s">
        <v>1810</v>
      </c>
    </row>
    <row r="1123" spans="1:8" x14ac:dyDescent="0.25">
      <c r="A1123" t="s">
        <v>1596</v>
      </c>
      <c r="B1123" t="s">
        <v>1650</v>
      </c>
      <c r="C1123" t="s">
        <v>1568</v>
      </c>
      <c r="D1123" t="s">
        <v>1715</v>
      </c>
      <c r="E1123" t="s">
        <v>1748</v>
      </c>
      <c r="F1123" t="s">
        <v>3333</v>
      </c>
      <c r="G1123" t="s">
        <v>3332</v>
      </c>
      <c r="H1123" t="s">
        <v>1811</v>
      </c>
    </row>
    <row r="1124" spans="1:8" x14ac:dyDescent="0.25">
      <c r="A1124" t="s">
        <v>1597</v>
      </c>
      <c r="B1124" t="s">
        <v>1651</v>
      </c>
      <c r="C1124" t="s">
        <v>2892</v>
      </c>
      <c r="D1124" t="s">
        <v>1716</v>
      </c>
      <c r="E1124" t="s">
        <v>2453</v>
      </c>
      <c r="F1124" t="s">
        <v>3004</v>
      </c>
      <c r="G1124" t="s">
        <v>2485</v>
      </c>
      <c r="H1124" t="s">
        <v>1861</v>
      </c>
    </row>
    <row r="1125" spans="1:8" x14ac:dyDescent="0.25">
      <c r="A1125" t="s">
        <v>2901</v>
      </c>
      <c r="B1125" t="s">
        <v>1654</v>
      </c>
      <c r="C1125" t="s">
        <v>1570</v>
      </c>
      <c r="D1125" t="s">
        <v>1717</v>
      </c>
      <c r="E1125" t="s">
        <v>2454</v>
      </c>
      <c r="F1125" t="s">
        <v>3005</v>
      </c>
      <c r="G1125" t="s">
        <v>3333</v>
      </c>
      <c r="H1125" t="s">
        <v>1813</v>
      </c>
    </row>
    <row r="1126" spans="1:8" x14ac:dyDescent="0.25">
      <c r="A1126" t="s">
        <v>2902</v>
      </c>
      <c r="B1126" t="s">
        <v>2932</v>
      </c>
      <c r="C1126" t="s">
        <v>1571</v>
      </c>
      <c r="D1126" t="s">
        <v>1718</v>
      </c>
      <c r="E1126" t="s">
        <v>1749</v>
      </c>
      <c r="F1126" t="s">
        <v>3007</v>
      </c>
      <c r="G1126" t="s">
        <v>3004</v>
      </c>
      <c r="H1126" t="s">
        <v>1814</v>
      </c>
    </row>
    <row r="1127" spans="1:8" x14ac:dyDescent="0.25">
      <c r="A1127" t="s">
        <v>2903</v>
      </c>
      <c r="B1127" t="s">
        <v>1655</v>
      </c>
      <c r="C1127" t="s">
        <v>2405</v>
      </c>
      <c r="D1127" t="s">
        <v>1719</v>
      </c>
      <c r="E1127" t="s">
        <v>1751</v>
      </c>
      <c r="F1127" t="s">
        <v>3008</v>
      </c>
      <c r="G1127" t="s">
        <v>3005</v>
      </c>
      <c r="H1127" t="s">
        <v>1815</v>
      </c>
    </row>
    <row r="1128" spans="1:8" x14ac:dyDescent="0.25">
      <c r="A1128" t="s">
        <v>1649</v>
      </c>
      <c r="B1128" t="s">
        <v>1659</v>
      </c>
      <c r="C1128" t="s">
        <v>1572</v>
      </c>
      <c r="D1128" t="s">
        <v>1721</v>
      </c>
      <c r="E1128" t="s">
        <v>3265</v>
      </c>
      <c r="F1128" t="s">
        <v>3009</v>
      </c>
      <c r="G1128" t="s">
        <v>3007</v>
      </c>
      <c r="H1128" t="s">
        <v>1866</v>
      </c>
    </row>
    <row r="1129" spans="1:8" x14ac:dyDescent="0.25">
      <c r="A1129" t="s">
        <v>1599</v>
      </c>
      <c r="B1129" t="s">
        <v>1661</v>
      </c>
      <c r="C1129" t="s">
        <v>1574</v>
      </c>
      <c r="D1129" t="s">
        <v>2440</v>
      </c>
      <c r="E1129" t="s">
        <v>1752</v>
      </c>
      <c r="F1129" t="s">
        <v>3010</v>
      </c>
      <c r="G1129" t="s">
        <v>3008</v>
      </c>
      <c r="H1129" t="s">
        <v>3339</v>
      </c>
    </row>
    <row r="1130" spans="1:8" x14ac:dyDescent="0.25">
      <c r="A1130" t="s">
        <v>1653</v>
      </c>
      <c r="B1130" t="s">
        <v>1662</v>
      </c>
      <c r="C1130" t="s">
        <v>1576</v>
      </c>
      <c r="D1130" t="s">
        <v>2441</v>
      </c>
      <c r="E1130" t="s">
        <v>1753</v>
      </c>
      <c r="F1130" t="s">
        <v>1919</v>
      </c>
      <c r="G1130" t="s">
        <v>3009</v>
      </c>
      <c r="H1130" t="s">
        <v>1816</v>
      </c>
    </row>
    <row r="1131" spans="1:8" x14ac:dyDescent="0.25">
      <c r="A1131" t="s">
        <v>1652</v>
      </c>
      <c r="B1131" t="s">
        <v>1681</v>
      </c>
      <c r="C1131" t="s">
        <v>1577</v>
      </c>
      <c r="D1131" t="s">
        <v>2443</v>
      </c>
      <c r="E1131" t="s">
        <v>1754</v>
      </c>
      <c r="F1131" t="s">
        <v>3012</v>
      </c>
      <c r="G1131" t="s">
        <v>3010</v>
      </c>
      <c r="H1131" t="s">
        <v>1817</v>
      </c>
    </row>
    <row r="1132" spans="1:8" x14ac:dyDescent="0.25">
      <c r="A1132" t="s">
        <v>1658</v>
      </c>
      <c r="B1132" t="s">
        <v>2417</v>
      </c>
      <c r="C1132" t="s">
        <v>1580</v>
      </c>
      <c r="D1132" t="s">
        <v>1722</v>
      </c>
      <c r="E1132" t="s">
        <v>1755</v>
      </c>
      <c r="F1132" t="s">
        <v>1921</v>
      </c>
      <c r="G1132" t="s">
        <v>1919</v>
      </c>
      <c r="H1132" t="s">
        <v>1818</v>
      </c>
    </row>
    <row r="1133" spans="1:8" x14ac:dyDescent="0.25">
      <c r="A1133" t="s">
        <v>2904</v>
      </c>
      <c r="B1133" t="s">
        <v>1663</v>
      </c>
      <c r="C1133" t="s">
        <v>1581</v>
      </c>
      <c r="D1133" t="s">
        <v>1723</v>
      </c>
      <c r="E1133" t="s">
        <v>1756</v>
      </c>
      <c r="F1133" t="s">
        <v>1923</v>
      </c>
      <c r="G1133" t="s">
        <v>3011</v>
      </c>
      <c r="H1133" t="s">
        <v>1819</v>
      </c>
    </row>
    <row r="1134" spans="1:8" x14ac:dyDescent="0.25">
      <c r="A1134" t="s">
        <v>1657</v>
      </c>
      <c r="B1134" t="s">
        <v>1684</v>
      </c>
      <c r="C1134" t="s">
        <v>1582</v>
      </c>
      <c r="D1134" t="s">
        <v>1724</v>
      </c>
      <c r="E1134" t="s">
        <v>1757</v>
      </c>
      <c r="F1134" t="s">
        <v>1950</v>
      </c>
      <c r="G1134" t="s">
        <v>3012</v>
      </c>
      <c r="H1134" t="s">
        <v>1833</v>
      </c>
    </row>
    <row r="1135" spans="1:8" x14ac:dyDescent="0.25">
      <c r="A1135" t="s">
        <v>1600</v>
      </c>
      <c r="B1135" t="s">
        <v>3086</v>
      </c>
      <c r="C1135" t="s">
        <v>1583</v>
      </c>
      <c r="D1135" t="s">
        <v>1725</v>
      </c>
      <c r="E1135" t="s">
        <v>1758</v>
      </c>
      <c r="F1135" t="s">
        <v>1925</v>
      </c>
      <c r="G1135" t="s">
        <v>1921</v>
      </c>
      <c r="H1135" t="s">
        <v>1824</v>
      </c>
    </row>
    <row r="1136" spans="1:8" x14ac:dyDescent="0.25">
      <c r="A1136" t="s">
        <v>1615</v>
      </c>
      <c r="B1136" t="s">
        <v>2933</v>
      </c>
      <c r="C1136" t="s">
        <v>1595</v>
      </c>
      <c r="D1136" t="s">
        <v>2444</v>
      </c>
      <c r="E1136" t="s">
        <v>2456</v>
      </c>
      <c r="F1136" t="s">
        <v>3013</v>
      </c>
      <c r="G1136" t="s">
        <v>1923</v>
      </c>
      <c r="H1136" t="s">
        <v>3216</v>
      </c>
    </row>
    <row r="1137" spans="1:8" x14ac:dyDescent="0.25">
      <c r="A1137" t="s">
        <v>1601</v>
      </c>
      <c r="B1137" t="s">
        <v>2418</v>
      </c>
      <c r="C1137" t="s">
        <v>2893</v>
      </c>
      <c r="D1137" t="s">
        <v>2445</v>
      </c>
      <c r="E1137" t="s">
        <v>1759</v>
      </c>
      <c r="F1137" t="s">
        <v>1926</v>
      </c>
      <c r="G1137" t="s">
        <v>3351</v>
      </c>
      <c r="H1137" t="s">
        <v>3326</v>
      </c>
    </row>
    <row r="1138" spans="1:8" x14ac:dyDescent="0.25">
      <c r="A1138" t="s">
        <v>1665</v>
      </c>
      <c r="B1138" t="s">
        <v>2419</v>
      </c>
      <c r="C1138" t="s">
        <v>2894</v>
      </c>
      <c r="D1138" t="s">
        <v>2947</v>
      </c>
      <c r="E1138" t="s">
        <v>1760</v>
      </c>
      <c r="F1138" t="s">
        <v>1927</v>
      </c>
      <c r="G1138" t="s">
        <v>3013</v>
      </c>
      <c r="H1138" t="s">
        <v>3217</v>
      </c>
    </row>
    <row r="1139" spans="1:8" x14ac:dyDescent="0.25">
      <c r="A1139" t="s">
        <v>1602</v>
      </c>
      <c r="B1139" t="s">
        <v>3087</v>
      </c>
      <c r="C1139" t="s">
        <v>2895</v>
      </c>
      <c r="D1139" t="s">
        <v>2948</v>
      </c>
      <c r="E1139" t="s">
        <v>1761</v>
      </c>
      <c r="F1139" t="s">
        <v>3334</v>
      </c>
      <c r="G1139" t="s">
        <v>1926</v>
      </c>
      <c r="H1139" t="s">
        <v>3328</v>
      </c>
    </row>
    <row r="1140" spans="1:8" x14ac:dyDescent="0.25">
      <c r="A1140" t="s">
        <v>1603</v>
      </c>
      <c r="B1140" t="s">
        <v>2420</v>
      </c>
      <c r="C1140" t="s">
        <v>2896</v>
      </c>
      <c r="D1140" t="s">
        <v>2949</v>
      </c>
      <c r="E1140" t="s">
        <v>2457</v>
      </c>
      <c r="F1140" t="s">
        <v>3308</v>
      </c>
      <c r="G1140" t="s">
        <v>1927</v>
      </c>
      <c r="H1140" t="s">
        <v>3218</v>
      </c>
    </row>
    <row r="1141" spans="1:8" x14ac:dyDescent="0.25">
      <c r="A1141" t="s">
        <v>1606</v>
      </c>
      <c r="B1141" t="s">
        <v>3088</v>
      </c>
      <c r="C1141" t="s">
        <v>2897</v>
      </c>
      <c r="D1141" t="s">
        <v>2950</v>
      </c>
      <c r="E1141" t="s">
        <v>2971</v>
      </c>
      <c r="F1141" t="s">
        <v>3268</v>
      </c>
      <c r="G1141" t="s">
        <v>3334</v>
      </c>
      <c r="H1141" t="s">
        <v>3330</v>
      </c>
    </row>
    <row r="1142" spans="1:8" x14ac:dyDescent="0.25">
      <c r="A1142" t="s">
        <v>1607</v>
      </c>
      <c r="B1142" t="s">
        <v>2934</v>
      </c>
      <c r="C1142" t="s">
        <v>1620</v>
      </c>
      <c r="D1142" t="s">
        <v>2951</v>
      </c>
      <c r="E1142" t="s">
        <v>1762</v>
      </c>
      <c r="F1142" t="s">
        <v>3017</v>
      </c>
      <c r="G1142" t="s">
        <v>3268</v>
      </c>
      <c r="H1142" t="s">
        <v>1836</v>
      </c>
    </row>
    <row r="1143" spans="1:8" x14ac:dyDescent="0.25">
      <c r="A1143" t="s">
        <v>2414</v>
      </c>
      <c r="B1143" t="s">
        <v>3089</v>
      </c>
      <c r="C1143" t="s">
        <v>2898</v>
      </c>
      <c r="D1143" t="s">
        <v>2952</v>
      </c>
      <c r="E1143" t="s">
        <v>1763</v>
      </c>
      <c r="F1143" t="s">
        <v>3145</v>
      </c>
      <c r="G1143" t="s">
        <v>3017</v>
      </c>
      <c r="H1143" t="s">
        <v>1825</v>
      </c>
    </row>
    <row r="1144" spans="1:8" x14ac:dyDescent="0.25">
      <c r="A1144" t="s">
        <v>2415</v>
      </c>
      <c r="B1144" t="s">
        <v>2937</v>
      </c>
      <c r="C1144" t="s">
        <v>1585</v>
      </c>
      <c r="D1144" t="s">
        <v>1726</v>
      </c>
      <c r="E1144" t="s">
        <v>1764</v>
      </c>
      <c r="F1144" t="s">
        <v>3222</v>
      </c>
      <c r="G1144" t="s">
        <v>3222</v>
      </c>
      <c r="H1144" t="s">
        <v>3219</v>
      </c>
    </row>
    <row r="1145" spans="1:8" x14ac:dyDescent="0.25">
      <c r="A1145" t="s">
        <v>2905</v>
      </c>
      <c r="B1145" t="s">
        <v>2938</v>
      </c>
      <c r="C1145" t="s">
        <v>1586</v>
      </c>
      <c r="D1145" t="s">
        <v>1727</v>
      </c>
      <c r="E1145" t="s">
        <v>1765</v>
      </c>
      <c r="F1145" t="s">
        <v>3309</v>
      </c>
      <c r="G1145" t="s">
        <v>3309</v>
      </c>
      <c r="H1145" t="s">
        <v>1857</v>
      </c>
    </row>
    <row r="1146" spans="1:8" x14ac:dyDescent="0.25">
      <c r="A1146" t="s">
        <v>2906</v>
      </c>
      <c r="B1146" t="s">
        <v>2421</v>
      </c>
      <c r="C1146" t="s">
        <v>1587</v>
      </c>
      <c r="D1146" t="s">
        <v>1728</v>
      </c>
      <c r="E1146" t="s">
        <v>1766</v>
      </c>
      <c r="F1146" t="s">
        <v>3177</v>
      </c>
      <c r="G1146" t="s">
        <v>3177</v>
      </c>
      <c r="H1146" t="s">
        <v>1829</v>
      </c>
    </row>
    <row r="1147" spans="1:8" x14ac:dyDescent="0.25">
      <c r="A1147" t="s">
        <v>2907</v>
      </c>
      <c r="B1147" t="s">
        <v>2939</v>
      </c>
      <c r="C1147" t="s">
        <v>1588</v>
      </c>
      <c r="D1147" t="s">
        <v>1729</v>
      </c>
      <c r="E1147" t="s">
        <v>1775</v>
      </c>
      <c r="F1147" t="s">
        <v>1928</v>
      </c>
      <c r="G1147" t="s">
        <v>1928</v>
      </c>
      <c r="H1147" t="s">
        <v>1831</v>
      </c>
    </row>
    <row r="1148" spans="1:8" x14ac:dyDescent="0.25">
      <c r="A1148" t="s">
        <v>2908</v>
      </c>
      <c r="B1148" t="s">
        <v>2941</v>
      </c>
      <c r="C1148" t="s">
        <v>2899</v>
      </c>
      <c r="D1148" t="s">
        <v>1730</v>
      </c>
      <c r="E1148" t="s">
        <v>1776</v>
      </c>
      <c r="F1148" t="s">
        <v>1930</v>
      </c>
      <c r="G1148" t="s">
        <v>2491</v>
      </c>
      <c r="H1148" t="s">
        <v>1832</v>
      </c>
    </row>
    <row r="1149" spans="1:8" x14ac:dyDescent="0.25">
      <c r="A1149" t="s">
        <v>2909</v>
      </c>
      <c r="B1149" t="s">
        <v>2422</v>
      </c>
      <c r="C1149" t="s">
        <v>2900</v>
      </c>
      <c r="D1149" t="s">
        <v>1731</v>
      </c>
      <c r="E1149" t="s">
        <v>1777</v>
      </c>
      <c r="F1149" t="s">
        <v>1931</v>
      </c>
      <c r="G1149" t="s">
        <v>1930</v>
      </c>
      <c r="H1149" t="s">
        <v>1834</v>
      </c>
    </row>
    <row r="1150" spans="1:8" x14ac:dyDescent="0.25">
      <c r="A1150" t="s">
        <v>2910</v>
      </c>
      <c r="B1150" t="s">
        <v>2942</v>
      </c>
      <c r="C1150" t="s">
        <v>3131</v>
      </c>
      <c r="D1150" t="s">
        <v>1732</v>
      </c>
      <c r="E1150" t="s">
        <v>1799</v>
      </c>
      <c r="F1150" t="s">
        <v>1932</v>
      </c>
      <c r="G1150" t="s">
        <v>1931</v>
      </c>
      <c r="H1150" t="s">
        <v>1835</v>
      </c>
    </row>
    <row r="1151" spans="1:8" x14ac:dyDescent="0.25">
      <c r="A1151" t="s">
        <v>2911</v>
      </c>
      <c r="B1151" t="s">
        <v>2943</v>
      </c>
      <c r="C1151" t="s">
        <v>2408</v>
      </c>
      <c r="D1151" t="s">
        <v>1733</v>
      </c>
      <c r="E1151" t="s">
        <v>1781</v>
      </c>
      <c r="F1151" t="s">
        <v>1933</v>
      </c>
      <c r="G1151" t="s">
        <v>1932</v>
      </c>
      <c r="H1151" t="s">
        <v>1837</v>
      </c>
    </row>
    <row r="1152" spans="1:8" x14ac:dyDescent="0.25">
      <c r="A1152" t="s">
        <v>1608</v>
      </c>
      <c r="B1152" t="s">
        <v>2423</v>
      </c>
      <c r="C1152" t="s">
        <v>1589</v>
      </c>
      <c r="D1152" t="s">
        <v>1734</v>
      </c>
      <c r="E1152" t="s">
        <v>1803</v>
      </c>
      <c r="F1152" t="s">
        <v>1934</v>
      </c>
      <c r="G1152" t="s">
        <v>1933</v>
      </c>
      <c r="H1152" t="s">
        <v>1838</v>
      </c>
    </row>
    <row r="1153" spans="1:8" x14ac:dyDescent="0.25">
      <c r="A1153" t="s">
        <v>2912</v>
      </c>
      <c r="B1153" t="s">
        <v>2944</v>
      </c>
      <c r="C1153" t="s">
        <v>3132</v>
      </c>
      <c r="D1153" t="s">
        <v>1735</v>
      </c>
      <c r="E1153" t="s">
        <v>1783</v>
      </c>
      <c r="F1153" t="s">
        <v>1936</v>
      </c>
      <c r="G1153" t="s">
        <v>1934</v>
      </c>
      <c r="H1153" t="s">
        <v>1839</v>
      </c>
    </row>
    <row r="1154" spans="1:8" x14ac:dyDescent="0.25">
      <c r="A1154" t="s">
        <v>1609</v>
      </c>
      <c r="B1154" t="s">
        <v>2945</v>
      </c>
      <c r="C1154" t="s">
        <v>1590</v>
      </c>
      <c r="D1154" t="s">
        <v>1736</v>
      </c>
      <c r="E1154" t="s">
        <v>1786</v>
      </c>
      <c r="F1154" t="s">
        <v>1937</v>
      </c>
      <c r="G1154" t="s">
        <v>1936</v>
      </c>
      <c r="H1154" t="s">
        <v>1840</v>
      </c>
    </row>
    <row r="1155" spans="1:8" x14ac:dyDescent="0.25">
      <c r="A1155" t="s">
        <v>1611</v>
      </c>
      <c r="B1155" t="s">
        <v>2424</v>
      </c>
      <c r="C1155" t="s">
        <v>2410</v>
      </c>
      <c r="D1155" t="s">
        <v>1737</v>
      </c>
      <c r="E1155" t="s">
        <v>1778</v>
      </c>
      <c r="F1155" t="s">
        <v>1938</v>
      </c>
      <c r="G1155" t="s">
        <v>1937</v>
      </c>
      <c r="H1155" t="s">
        <v>1841</v>
      </c>
    </row>
    <row r="1156" spans="1:8" x14ac:dyDescent="0.25">
      <c r="A1156" t="s">
        <v>1612</v>
      </c>
      <c r="B1156" t="s">
        <v>2425</v>
      </c>
      <c r="C1156" t="s">
        <v>2411</v>
      </c>
      <c r="D1156" t="s">
        <v>2953</v>
      </c>
      <c r="E1156" t="s">
        <v>1780</v>
      </c>
      <c r="F1156" t="s">
        <v>1939</v>
      </c>
      <c r="G1156" t="s">
        <v>1938</v>
      </c>
      <c r="H1156" t="s">
        <v>1842</v>
      </c>
    </row>
    <row r="1157" spans="1:8" x14ac:dyDescent="0.25">
      <c r="A1157" t="s">
        <v>1613</v>
      </c>
      <c r="B1157" t="s">
        <v>3090</v>
      </c>
      <c r="C1157" t="s">
        <v>2412</v>
      </c>
      <c r="D1157" t="s">
        <v>2954</v>
      </c>
      <c r="E1157" t="s">
        <v>1809</v>
      </c>
      <c r="F1157" t="s">
        <v>1940</v>
      </c>
      <c r="G1157" t="s">
        <v>1939</v>
      </c>
      <c r="H1157" t="s">
        <v>1843</v>
      </c>
    </row>
    <row r="1158" spans="1:8" x14ac:dyDescent="0.25">
      <c r="A1158" t="s">
        <v>1614</v>
      </c>
      <c r="B1158" t="s">
        <v>3091</v>
      </c>
      <c r="C1158" t="s">
        <v>1591</v>
      </c>
      <c r="D1158" t="s">
        <v>2955</v>
      </c>
      <c r="E1158" t="s">
        <v>1790</v>
      </c>
      <c r="F1158" t="s">
        <v>1941</v>
      </c>
      <c r="G1158" t="s">
        <v>1940</v>
      </c>
      <c r="H1158" t="s">
        <v>1844</v>
      </c>
    </row>
    <row r="1159" spans="1:8" x14ac:dyDescent="0.25">
      <c r="A1159" t="s">
        <v>1616</v>
      </c>
      <c r="B1159" t="s">
        <v>1667</v>
      </c>
      <c r="C1159" t="s">
        <v>3173</v>
      </c>
      <c r="D1159" t="s">
        <v>2956</v>
      </c>
      <c r="E1159" t="s">
        <v>1793</v>
      </c>
      <c r="F1159" t="s">
        <v>1943</v>
      </c>
      <c r="G1159" t="s">
        <v>1941</v>
      </c>
      <c r="H1159" t="s">
        <v>1846</v>
      </c>
    </row>
    <row r="1160" spans="1:8" x14ac:dyDescent="0.25">
      <c r="A1160" t="s">
        <v>1617</v>
      </c>
      <c r="B1160" t="s">
        <v>1668</v>
      </c>
      <c r="C1160" t="s">
        <v>2413</v>
      </c>
      <c r="D1160" t="s">
        <v>2957</v>
      </c>
      <c r="E1160" t="s">
        <v>2972</v>
      </c>
      <c r="F1160" t="s">
        <v>1944</v>
      </c>
      <c r="G1160" t="s">
        <v>1943</v>
      </c>
      <c r="H1160" t="s">
        <v>1847</v>
      </c>
    </row>
    <row r="1161" spans="1:8" x14ac:dyDescent="0.25">
      <c r="A1161" t="s">
        <v>1618</v>
      </c>
      <c r="B1161" t="s">
        <v>1669</v>
      </c>
      <c r="C1161" t="s">
        <v>1594</v>
      </c>
      <c r="D1161" t="s">
        <v>2958</v>
      </c>
      <c r="E1161" t="s">
        <v>2973</v>
      </c>
      <c r="F1161" t="s">
        <v>1945</v>
      </c>
      <c r="G1161" t="s">
        <v>1944</v>
      </c>
      <c r="H1161" t="s">
        <v>1848</v>
      </c>
    </row>
    <row r="1162" spans="1:8" x14ac:dyDescent="0.25">
      <c r="A1162" t="s">
        <v>1619</v>
      </c>
      <c r="B1162" t="s">
        <v>1670</v>
      </c>
      <c r="C1162" t="s">
        <v>1596</v>
      </c>
      <c r="D1162" t="s">
        <v>1738</v>
      </c>
      <c r="E1162" t="s">
        <v>2974</v>
      </c>
      <c r="F1162" t="s">
        <v>1946</v>
      </c>
      <c r="G1162" t="s">
        <v>1945</v>
      </c>
      <c r="H1162" t="s">
        <v>1849</v>
      </c>
    </row>
    <row r="1163" spans="1:8" x14ac:dyDescent="0.25">
      <c r="A1163" t="s">
        <v>1621</v>
      </c>
      <c r="B1163" t="s">
        <v>1671</v>
      </c>
      <c r="C1163" t="s">
        <v>1597</v>
      </c>
      <c r="D1163" t="s">
        <v>1739</v>
      </c>
      <c r="E1163" t="s">
        <v>2975</v>
      </c>
      <c r="F1163" t="s">
        <v>1949</v>
      </c>
      <c r="G1163" t="s">
        <v>1946</v>
      </c>
      <c r="H1163" t="s">
        <v>1851</v>
      </c>
    </row>
    <row r="1164" spans="1:8" x14ac:dyDescent="0.25">
      <c r="A1164" t="s">
        <v>2913</v>
      </c>
      <c r="B1164" t="s">
        <v>1672</v>
      </c>
      <c r="C1164" t="s">
        <v>2902</v>
      </c>
      <c r="D1164" t="s">
        <v>1740</v>
      </c>
      <c r="E1164" t="s">
        <v>2977</v>
      </c>
      <c r="F1164" t="s">
        <v>1951</v>
      </c>
      <c r="G1164" t="s">
        <v>1948</v>
      </c>
      <c r="H1164" t="s">
        <v>1852</v>
      </c>
    </row>
    <row r="1165" spans="1:8" x14ac:dyDescent="0.25">
      <c r="A1165" t="s">
        <v>2914</v>
      </c>
      <c r="B1165" t="s">
        <v>1673</v>
      </c>
      <c r="C1165" t="s">
        <v>2903</v>
      </c>
      <c r="D1165" t="s">
        <v>1741</v>
      </c>
      <c r="E1165" t="s">
        <v>2978</v>
      </c>
      <c r="F1165" t="s">
        <v>1952</v>
      </c>
      <c r="G1165" t="s">
        <v>1949</v>
      </c>
      <c r="H1165" t="s">
        <v>1853</v>
      </c>
    </row>
    <row r="1166" spans="1:8" x14ac:dyDescent="0.25">
      <c r="A1166" t="s">
        <v>2915</v>
      </c>
      <c r="B1166" t="s">
        <v>1674</v>
      </c>
      <c r="C1166" t="s">
        <v>3213</v>
      </c>
      <c r="D1166" t="s">
        <v>1742</v>
      </c>
      <c r="E1166" t="s">
        <v>2980</v>
      </c>
      <c r="F1166" t="s">
        <v>1955</v>
      </c>
      <c r="G1166" t="s">
        <v>1951</v>
      </c>
      <c r="H1166" t="s">
        <v>1854</v>
      </c>
    </row>
    <row r="1167" spans="1:8" x14ac:dyDescent="0.25">
      <c r="A1167" t="s">
        <v>2916</v>
      </c>
      <c r="B1167" t="s">
        <v>2426</v>
      </c>
      <c r="C1167" t="s">
        <v>1649</v>
      </c>
      <c r="D1167" t="s">
        <v>1743</v>
      </c>
      <c r="E1167" t="s">
        <v>2981</v>
      </c>
      <c r="F1167" t="s">
        <v>1960</v>
      </c>
      <c r="G1167" t="s">
        <v>1952</v>
      </c>
      <c r="H1167" t="s">
        <v>1856</v>
      </c>
    </row>
    <row r="1168" spans="1:8" x14ac:dyDescent="0.25">
      <c r="A1168" t="s">
        <v>2917</v>
      </c>
      <c r="B1168" t="s">
        <v>1675</v>
      </c>
      <c r="C1168" t="s">
        <v>1599</v>
      </c>
      <c r="D1168" t="s">
        <v>2959</v>
      </c>
      <c r="E1168" t="s">
        <v>2982</v>
      </c>
      <c r="F1168" t="s">
        <v>1961</v>
      </c>
      <c r="G1168" t="s">
        <v>1953</v>
      </c>
      <c r="H1168" t="s">
        <v>1858</v>
      </c>
    </row>
    <row r="1169" spans="1:8" x14ac:dyDescent="0.25">
      <c r="A1169" t="s">
        <v>2416</v>
      </c>
      <c r="B1169" t="s">
        <v>1676</v>
      </c>
      <c r="C1169" t="s">
        <v>1653</v>
      </c>
      <c r="D1169" t="s">
        <v>2960</v>
      </c>
      <c r="E1169" t="s">
        <v>2983</v>
      </c>
      <c r="F1169" t="s">
        <v>2008</v>
      </c>
      <c r="G1169" t="s">
        <v>1954</v>
      </c>
      <c r="H1169" t="s">
        <v>1859</v>
      </c>
    </row>
    <row r="1170" spans="1:8" x14ac:dyDescent="0.25">
      <c r="A1170" t="s">
        <v>2918</v>
      </c>
      <c r="B1170" t="s">
        <v>1720</v>
      </c>
      <c r="C1170" t="s">
        <v>1652</v>
      </c>
      <c r="D1170" t="s">
        <v>2447</v>
      </c>
      <c r="E1170" t="s">
        <v>2984</v>
      </c>
      <c r="F1170" t="s">
        <v>2011</v>
      </c>
      <c r="G1170" t="s">
        <v>1955</v>
      </c>
      <c r="H1170" t="s">
        <v>1860</v>
      </c>
    </row>
    <row r="1171" spans="1:8" x14ac:dyDescent="0.25">
      <c r="A1171" t="s">
        <v>2919</v>
      </c>
      <c r="B1171" t="s">
        <v>2427</v>
      </c>
      <c r="C1171" t="s">
        <v>1658</v>
      </c>
      <c r="D1171" t="s">
        <v>1744</v>
      </c>
      <c r="E1171" t="s">
        <v>2986</v>
      </c>
      <c r="F1171" t="s">
        <v>1965</v>
      </c>
      <c r="G1171" t="s">
        <v>1958</v>
      </c>
      <c r="H1171" t="s">
        <v>1862</v>
      </c>
    </row>
    <row r="1172" spans="1:8" x14ac:dyDescent="0.25">
      <c r="A1172" t="s">
        <v>2920</v>
      </c>
      <c r="B1172" t="s">
        <v>2428</v>
      </c>
      <c r="C1172" t="s">
        <v>1657</v>
      </c>
      <c r="D1172" t="s">
        <v>1745</v>
      </c>
      <c r="E1172" t="s">
        <v>2987</v>
      </c>
      <c r="F1172" t="s">
        <v>1966</v>
      </c>
      <c r="G1172" t="s">
        <v>1960</v>
      </c>
      <c r="H1172" t="s">
        <v>1863</v>
      </c>
    </row>
    <row r="1173" spans="1:8" x14ac:dyDescent="0.25">
      <c r="A1173" t="s">
        <v>2921</v>
      </c>
      <c r="B1173" t="s">
        <v>1677</v>
      </c>
      <c r="C1173" t="s">
        <v>1600</v>
      </c>
      <c r="D1173" t="s">
        <v>2961</v>
      </c>
      <c r="E1173" t="s">
        <v>2460</v>
      </c>
      <c r="F1173" t="s">
        <v>1967</v>
      </c>
      <c r="G1173" t="s">
        <v>1961</v>
      </c>
      <c r="H1173" t="s">
        <v>1864</v>
      </c>
    </row>
    <row r="1174" spans="1:8" x14ac:dyDescent="0.25">
      <c r="A1174" t="s">
        <v>2922</v>
      </c>
      <c r="B1174" t="s">
        <v>1678</v>
      </c>
      <c r="C1174" t="s">
        <v>1615</v>
      </c>
      <c r="D1174" t="s">
        <v>2448</v>
      </c>
      <c r="E1174" t="s">
        <v>1782</v>
      </c>
      <c r="F1174" t="s">
        <v>1968</v>
      </c>
      <c r="G1174" t="s">
        <v>2008</v>
      </c>
      <c r="H1174" t="s">
        <v>1873</v>
      </c>
    </row>
    <row r="1175" spans="1:8" x14ac:dyDescent="0.25">
      <c r="A1175" t="s">
        <v>2923</v>
      </c>
      <c r="B1175" t="s">
        <v>1698</v>
      </c>
      <c r="C1175" t="s">
        <v>1601</v>
      </c>
      <c r="D1175" t="s">
        <v>2962</v>
      </c>
      <c r="E1175" t="s">
        <v>1785</v>
      </c>
      <c r="F1175" t="s">
        <v>1969</v>
      </c>
      <c r="G1175" t="s">
        <v>2011</v>
      </c>
      <c r="H1175" t="s">
        <v>1865</v>
      </c>
    </row>
    <row r="1176" spans="1:8" x14ac:dyDescent="0.25">
      <c r="A1176" t="s">
        <v>2924</v>
      </c>
      <c r="B1176" t="s">
        <v>1679</v>
      </c>
      <c r="C1176" t="s">
        <v>1665</v>
      </c>
      <c r="D1176" t="s">
        <v>2963</v>
      </c>
      <c r="E1176" t="s">
        <v>1787</v>
      </c>
      <c r="F1176" t="s">
        <v>1970</v>
      </c>
      <c r="G1176" t="s">
        <v>1965</v>
      </c>
      <c r="H1176" t="s">
        <v>2992</v>
      </c>
    </row>
    <row r="1177" spans="1:8" x14ac:dyDescent="0.25">
      <c r="A1177" t="s">
        <v>1622</v>
      </c>
      <c r="B1177" t="s">
        <v>1680</v>
      </c>
      <c r="C1177" t="s">
        <v>1602</v>
      </c>
      <c r="D1177" t="s">
        <v>2964</v>
      </c>
      <c r="E1177" t="s">
        <v>1788</v>
      </c>
      <c r="F1177" t="s">
        <v>1971</v>
      </c>
      <c r="G1177" t="s">
        <v>1966</v>
      </c>
      <c r="H1177" t="s">
        <v>1867</v>
      </c>
    </row>
    <row r="1178" spans="1:8" x14ac:dyDescent="0.25">
      <c r="A1178" t="s">
        <v>1624</v>
      </c>
      <c r="B1178" t="s">
        <v>1682</v>
      </c>
      <c r="C1178" t="s">
        <v>1603</v>
      </c>
      <c r="D1178" t="s">
        <v>2965</v>
      </c>
      <c r="E1178" t="s">
        <v>1789</v>
      </c>
      <c r="F1178" t="s">
        <v>1976</v>
      </c>
      <c r="G1178" t="s">
        <v>1967</v>
      </c>
      <c r="H1178" t="s">
        <v>1868</v>
      </c>
    </row>
    <row r="1179" spans="1:8" x14ac:dyDescent="0.25">
      <c r="A1179" t="s">
        <v>2925</v>
      </c>
      <c r="B1179" t="s">
        <v>1683</v>
      </c>
      <c r="C1179" t="s">
        <v>1606</v>
      </c>
      <c r="D1179" t="s">
        <v>2966</v>
      </c>
      <c r="E1179" t="s">
        <v>3139</v>
      </c>
      <c r="F1179" t="s">
        <v>1975</v>
      </c>
      <c r="G1179" t="s">
        <v>1968</v>
      </c>
      <c r="H1179" t="s">
        <v>2468</v>
      </c>
    </row>
    <row r="1180" spans="1:8" x14ac:dyDescent="0.25">
      <c r="A1180" t="s">
        <v>2926</v>
      </c>
      <c r="B1180" t="s">
        <v>1685</v>
      </c>
      <c r="C1180" t="s">
        <v>1607</v>
      </c>
      <c r="D1180" t="s">
        <v>1746</v>
      </c>
      <c r="E1180" t="s">
        <v>3140</v>
      </c>
      <c r="F1180" t="s">
        <v>1977</v>
      </c>
      <c r="G1180" t="s">
        <v>1969</v>
      </c>
      <c r="H1180" t="s">
        <v>2469</v>
      </c>
    </row>
    <row r="1181" spans="1:8" x14ac:dyDescent="0.25">
      <c r="A1181" t="s">
        <v>2927</v>
      </c>
      <c r="B1181" t="s">
        <v>1686</v>
      </c>
      <c r="C1181" t="s">
        <v>2415</v>
      </c>
      <c r="D1181" t="s">
        <v>2967</v>
      </c>
      <c r="E1181" t="s">
        <v>1791</v>
      </c>
      <c r="F1181" t="s">
        <v>2493</v>
      </c>
      <c r="G1181" t="s">
        <v>1970</v>
      </c>
      <c r="H1181" t="s">
        <v>2470</v>
      </c>
    </row>
    <row r="1182" spans="1:8" x14ac:dyDescent="0.25">
      <c r="A1182" t="s">
        <v>2928</v>
      </c>
      <c r="B1182" t="s">
        <v>1687</v>
      </c>
      <c r="C1182" t="s">
        <v>2905</v>
      </c>
      <c r="D1182" t="s">
        <v>1747</v>
      </c>
      <c r="E1182" t="s">
        <v>1794</v>
      </c>
      <c r="F1182" t="s">
        <v>1978</v>
      </c>
      <c r="G1182" t="s">
        <v>1971</v>
      </c>
      <c r="H1182" t="s">
        <v>2471</v>
      </c>
    </row>
    <row r="1183" spans="1:8" x14ac:dyDescent="0.25">
      <c r="A1183" t="s">
        <v>2929</v>
      </c>
      <c r="B1183" t="s">
        <v>2429</v>
      </c>
      <c r="C1183" t="s">
        <v>2906</v>
      </c>
      <c r="D1183" t="s">
        <v>1748</v>
      </c>
      <c r="E1183" t="s">
        <v>1795</v>
      </c>
      <c r="F1183" t="s">
        <v>1979</v>
      </c>
      <c r="G1183" t="s">
        <v>3021</v>
      </c>
      <c r="H1183" t="s">
        <v>2472</v>
      </c>
    </row>
    <row r="1184" spans="1:8" x14ac:dyDescent="0.25">
      <c r="A1184" t="s">
        <v>2930</v>
      </c>
      <c r="B1184" t="s">
        <v>1688</v>
      </c>
      <c r="C1184" t="s">
        <v>2907</v>
      </c>
      <c r="D1184" t="s">
        <v>2453</v>
      </c>
      <c r="E1184" t="s">
        <v>2461</v>
      </c>
      <c r="F1184" t="s">
        <v>1980</v>
      </c>
      <c r="G1184" t="s">
        <v>1976</v>
      </c>
      <c r="H1184" t="s">
        <v>3143</v>
      </c>
    </row>
    <row r="1185" spans="1:8" x14ac:dyDescent="0.25">
      <c r="A1185" t="s">
        <v>1625</v>
      </c>
      <c r="B1185" t="s">
        <v>1689</v>
      </c>
      <c r="C1185" t="s">
        <v>2908</v>
      </c>
      <c r="D1185" t="s">
        <v>3138</v>
      </c>
      <c r="E1185" t="s">
        <v>1796</v>
      </c>
      <c r="F1185" t="s">
        <v>1981</v>
      </c>
      <c r="G1185" t="s">
        <v>1975</v>
      </c>
      <c r="H1185" t="s">
        <v>3267</v>
      </c>
    </row>
    <row r="1186" spans="1:8" x14ac:dyDescent="0.25">
      <c r="A1186" t="s">
        <v>1626</v>
      </c>
      <c r="B1186" t="s">
        <v>1690</v>
      </c>
      <c r="C1186" t="s">
        <v>2909</v>
      </c>
      <c r="D1186" t="s">
        <v>2454</v>
      </c>
      <c r="E1186" t="s">
        <v>1797</v>
      </c>
      <c r="F1186" t="s">
        <v>2513</v>
      </c>
      <c r="G1186" t="s">
        <v>1977</v>
      </c>
      <c r="H1186" t="s">
        <v>2994</v>
      </c>
    </row>
    <row r="1187" spans="1:8" x14ac:dyDescent="0.25">
      <c r="A1187" t="s">
        <v>1627</v>
      </c>
      <c r="B1187" t="s">
        <v>1691</v>
      </c>
      <c r="C1187" t="s">
        <v>2910</v>
      </c>
      <c r="D1187" t="s">
        <v>1749</v>
      </c>
      <c r="E1187" t="s">
        <v>1798</v>
      </c>
      <c r="F1187" t="s">
        <v>2521</v>
      </c>
      <c r="G1187" t="s">
        <v>2493</v>
      </c>
      <c r="H1187" t="s">
        <v>1869</v>
      </c>
    </row>
    <row r="1188" spans="1:8" x14ac:dyDescent="0.25">
      <c r="A1188" t="s">
        <v>1628</v>
      </c>
      <c r="B1188" t="s">
        <v>2430</v>
      </c>
      <c r="C1188" t="s">
        <v>2911</v>
      </c>
      <c r="D1188" t="s">
        <v>1751</v>
      </c>
      <c r="E1188" t="s">
        <v>1845</v>
      </c>
      <c r="F1188" t="s">
        <v>2522</v>
      </c>
      <c r="G1188" t="s">
        <v>1978</v>
      </c>
      <c r="H1188" t="s">
        <v>1870</v>
      </c>
    </row>
    <row r="1189" spans="1:8" x14ac:dyDescent="0.25">
      <c r="A1189" t="s">
        <v>1630</v>
      </c>
      <c r="B1189" t="s">
        <v>1692</v>
      </c>
      <c r="C1189" t="s">
        <v>1608</v>
      </c>
      <c r="D1189" t="s">
        <v>2969</v>
      </c>
      <c r="E1189" t="s">
        <v>1800</v>
      </c>
      <c r="F1189" t="s">
        <v>2525</v>
      </c>
      <c r="G1189" t="s">
        <v>1979</v>
      </c>
      <c r="H1189" t="s">
        <v>1871</v>
      </c>
    </row>
    <row r="1190" spans="1:8" x14ac:dyDescent="0.25">
      <c r="A1190" t="s">
        <v>1631</v>
      </c>
      <c r="B1190" t="s">
        <v>1693</v>
      </c>
      <c r="C1190" t="s">
        <v>2912</v>
      </c>
      <c r="D1190" t="s">
        <v>3265</v>
      </c>
      <c r="E1190" t="s">
        <v>1802</v>
      </c>
      <c r="F1190" t="s">
        <v>2526</v>
      </c>
      <c r="G1190" t="s">
        <v>1980</v>
      </c>
      <c r="H1190" t="s">
        <v>1872</v>
      </c>
    </row>
    <row r="1191" spans="1:8" x14ac:dyDescent="0.25">
      <c r="A1191" t="s">
        <v>1656</v>
      </c>
      <c r="B1191" t="s">
        <v>1694</v>
      </c>
      <c r="C1191" t="s">
        <v>1609</v>
      </c>
      <c r="D1191" t="s">
        <v>1752</v>
      </c>
      <c r="E1191" t="s">
        <v>1804</v>
      </c>
      <c r="F1191" t="s">
        <v>2527</v>
      </c>
      <c r="G1191" t="s">
        <v>1981</v>
      </c>
      <c r="H1191" t="s">
        <v>1874</v>
      </c>
    </row>
    <row r="1192" spans="1:8" x14ac:dyDescent="0.25">
      <c r="A1192" t="s">
        <v>1695</v>
      </c>
      <c r="B1192" t="s">
        <v>1696</v>
      </c>
      <c r="C1192" t="s">
        <v>1611</v>
      </c>
      <c r="D1192" t="s">
        <v>1753</v>
      </c>
      <c r="E1192" t="s">
        <v>1850</v>
      </c>
      <c r="F1192" t="s">
        <v>2528</v>
      </c>
      <c r="G1192" t="s">
        <v>2513</v>
      </c>
      <c r="H1192" t="s">
        <v>1875</v>
      </c>
    </row>
    <row r="1193" spans="1:8" x14ac:dyDescent="0.25">
      <c r="A1193" t="s">
        <v>1633</v>
      </c>
      <c r="B1193" t="s">
        <v>1697</v>
      </c>
      <c r="C1193" t="s">
        <v>1612</v>
      </c>
      <c r="D1193" t="s">
        <v>1754</v>
      </c>
      <c r="E1193" t="s">
        <v>1805</v>
      </c>
      <c r="F1193" t="s">
        <v>3335</v>
      </c>
      <c r="G1193" t="s">
        <v>2521</v>
      </c>
      <c r="H1193" t="s">
        <v>1876</v>
      </c>
    </row>
    <row r="1194" spans="1:8" x14ac:dyDescent="0.25">
      <c r="A1194" t="s">
        <v>1635</v>
      </c>
      <c r="B1194" t="s">
        <v>1699</v>
      </c>
      <c r="C1194" t="s">
        <v>1613</v>
      </c>
      <c r="D1194" t="s">
        <v>1755</v>
      </c>
      <c r="E1194" t="s">
        <v>1806</v>
      </c>
      <c r="F1194" t="s">
        <v>3336</v>
      </c>
      <c r="G1194" t="s">
        <v>2522</v>
      </c>
      <c r="H1194" t="s">
        <v>1877</v>
      </c>
    </row>
    <row r="1195" spans="1:8" x14ac:dyDescent="0.25">
      <c r="A1195" t="s">
        <v>2931</v>
      </c>
      <c r="B1195" t="s">
        <v>1700</v>
      </c>
      <c r="C1195" t="s">
        <v>1614</v>
      </c>
      <c r="D1195" t="s">
        <v>1757</v>
      </c>
      <c r="E1195" t="s">
        <v>1807</v>
      </c>
      <c r="F1195" t="s">
        <v>1987</v>
      </c>
      <c r="G1195" t="s">
        <v>2525</v>
      </c>
      <c r="H1195" t="s">
        <v>1878</v>
      </c>
    </row>
    <row r="1196" spans="1:8" x14ac:dyDescent="0.25">
      <c r="A1196" t="s">
        <v>1637</v>
      </c>
      <c r="B1196" t="s">
        <v>2431</v>
      </c>
      <c r="C1196" t="s">
        <v>1616</v>
      </c>
      <c r="D1196" t="s">
        <v>1758</v>
      </c>
      <c r="E1196" t="s">
        <v>1855</v>
      </c>
      <c r="F1196" t="s">
        <v>3147</v>
      </c>
      <c r="G1196" t="s">
        <v>2526</v>
      </c>
      <c r="H1196" t="s">
        <v>1879</v>
      </c>
    </row>
    <row r="1197" spans="1:8" x14ac:dyDescent="0.25">
      <c r="A1197" t="s">
        <v>1639</v>
      </c>
      <c r="B1197" t="s">
        <v>1701</v>
      </c>
      <c r="C1197" t="s">
        <v>1617</v>
      </c>
      <c r="D1197" t="s">
        <v>2456</v>
      </c>
      <c r="E1197" t="s">
        <v>1808</v>
      </c>
      <c r="F1197" t="s">
        <v>3337</v>
      </c>
      <c r="G1197" t="s">
        <v>2527</v>
      </c>
      <c r="H1197" t="s">
        <v>1880</v>
      </c>
    </row>
    <row r="1198" spans="1:8" x14ac:dyDescent="0.25">
      <c r="A1198" t="s">
        <v>1641</v>
      </c>
      <c r="B1198" t="s">
        <v>1702</v>
      </c>
      <c r="C1198" t="s">
        <v>1618</v>
      </c>
      <c r="D1198" t="s">
        <v>1759</v>
      </c>
      <c r="E1198" t="s">
        <v>1810</v>
      </c>
      <c r="F1198" t="s">
        <v>2010</v>
      </c>
      <c r="G1198" t="s">
        <v>2528</v>
      </c>
      <c r="H1198" t="s">
        <v>2476</v>
      </c>
    </row>
    <row r="1199" spans="1:8" x14ac:dyDescent="0.25">
      <c r="A1199" t="s">
        <v>1643</v>
      </c>
      <c r="B1199" t="s">
        <v>2432</v>
      </c>
      <c r="C1199" t="s">
        <v>1619</v>
      </c>
      <c r="D1199" t="s">
        <v>1760</v>
      </c>
      <c r="E1199" t="s">
        <v>1811</v>
      </c>
      <c r="F1199" t="s">
        <v>2013</v>
      </c>
      <c r="G1199" t="s">
        <v>3022</v>
      </c>
      <c r="H1199" t="s">
        <v>1881</v>
      </c>
    </row>
    <row r="1200" spans="1:8" x14ac:dyDescent="0.25">
      <c r="A1200" t="s">
        <v>1645</v>
      </c>
      <c r="B1200" t="s">
        <v>1703</v>
      </c>
      <c r="C1200" t="s">
        <v>1621</v>
      </c>
      <c r="D1200" t="s">
        <v>2457</v>
      </c>
      <c r="E1200" t="s">
        <v>1861</v>
      </c>
      <c r="F1200" t="s">
        <v>2531</v>
      </c>
      <c r="G1200" t="s">
        <v>3147</v>
      </c>
      <c r="H1200" t="s">
        <v>1883</v>
      </c>
    </row>
    <row r="1201" spans="1:8" x14ac:dyDescent="0.25">
      <c r="A1201" t="s">
        <v>1647</v>
      </c>
      <c r="B1201" t="s">
        <v>2433</v>
      </c>
      <c r="C1201" t="s">
        <v>2915</v>
      </c>
      <c r="D1201" t="s">
        <v>2971</v>
      </c>
      <c r="E1201" t="s">
        <v>1813</v>
      </c>
      <c r="F1201" t="s">
        <v>2532</v>
      </c>
      <c r="G1201" t="s">
        <v>3337</v>
      </c>
      <c r="H1201" t="s">
        <v>1884</v>
      </c>
    </row>
    <row r="1202" spans="1:8" x14ac:dyDescent="0.25">
      <c r="A1202" t="s">
        <v>1650</v>
      </c>
      <c r="B1202" t="s">
        <v>2434</v>
      </c>
      <c r="C1202" t="s">
        <v>2916</v>
      </c>
      <c r="D1202" t="s">
        <v>1762</v>
      </c>
      <c r="E1202" t="s">
        <v>1814</v>
      </c>
      <c r="F1202" t="s">
        <v>1988</v>
      </c>
      <c r="G1202" t="s">
        <v>2532</v>
      </c>
      <c r="H1202" t="s">
        <v>1885</v>
      </c>
    </row>
    <row r="1203" spans="1:8" x14ac:dyDescent="0.25">
      <c r="A1203" t="s">
        <v>1651</v>
      </c>
      <c r="B1203" t="s">
        <v>1704</v>
      </c>
      <c r="C1203" t="s">
        <v>2917</v>
      </c>
      <c r="D1203" t="s">
        <v>1763</v>
      </c>
      <c r="E1203" t="s">
        <v>1815</v>
      </c>
      <c r="F1203" t="s">
        <v>3148</v>
      </c>
      <c r="G1203" t="s">
        <v>1988</v>
      </c>
      <c r="H1203" t="s">
        <v>1886</v>
      </c>
    </row>
    <row r="1204" spans="1:8" x14ac:dyDescent="0.25">
      <c r="A1204" t="s">
        <v>1654</v>
      </c>
      <c r="B1204" t="s">
        <v>1705</v>
      </c>
      <c r="C1204" t="s">
        <v>2416</v>
      </c>
      <c r="D1204" t="s">
        <v>1764</v>
      </c>
      <c r="E1204" t="s">
        <v>1866</v>
      </c>
      <c r="F1204" t="s">
        <v>2533</v>
      </c>
      <c r="G1204" t="s">
        <v>3148</v>
      </c>
      <c r="H1204" t="s">
        <v>1887</v>
      </c>
    </row>
    <row r="1205" spans="1:8" x14ac:dyDescent="0.25">
      <c r="A1205" t="s">
        <v>2932</v>
      </c>
      <c r="B1205" t="s">
        <v>1706</v>
      </c>
      <c r="C1205" t="s">
        <v>2918</v>
      </c>
      <c r="D1205" t="s">
        <v>1775</v>
      </c>
      <c r="E1205" t="s">
        <v>1816</v>
      </c>
      <c r="F1205" t="s">
        <v>2534</v>
      </c>
      <c r="G1205" t="s">
        <v>2533</v>
      </c>
      <c r="H1205" t="s">
        <v>2995</v>
      </c>
    </row>
    <row r="1206" spans="1:8" x14ac:dyDescent="0.25">
      <c r="A1206" t="s">
        <v>1655</v>
      </c>
      <c r="B1206" t="s">
        <v>1707</v>
      </c>
      <c r="C1206" t="s">
        <v>2919</v>
      </c>
      <c r="D1206" t="s">
        <v>1781</v>
      </c>
      <c r="E1206" t="s">
        <v>1817</v>
      </c>
      <c r="F1206" t="s">
        <v>1989</v>
      </c>
      <c r="G1206" t="s">
        <v>2534</v>
      </c>
      <c r="H1206" t="s">
        <v>1892</v>
      </c>
    </row>
    <row r="1207" spans="1:8" x14ac:dyDescent="0.25">
      <c r="A1207" t="s">
        <v>1659</v>
      </c>
      <c r="B1207" t="s">
        <v>2435</v>
      </c>
      <c r="C1207" t="s">
        <v>2920</v>
      </c>
      <c r="D1207" t="s">
        <v>1803</v>
      </c>
      <c r="E1207" t="s">
        <v>1819</v>
      </c>
      <c r="F1207" t="s">
        <v>2535</v>
      </c>
      <c r="G1207" t="s">
        <v>1989</v>
      </c>
      <c r="H1207" t="s">
        <v>1935</v>
      </c>
    </row>
    <row r="1208" spans="1:8" x14ac:dyDescent="0.25">
      <c r="A1208" t="s">
        <v>1661</v>
      </c>
      <c r="B1208" t="s">
        <v>2436</v>
      </c>
      <c r="C1208" t="s">
        <v>2921</v>
      </c>
      <c r="D1208" t="s">
        <v>1783</v>
      </c>
      <c r="E1208" t="s">
        <v>2988</v>
      </c>
      <c r="F1208" t="s">
        <v>1994</v>
      </c>
      <c r="G1208" t="s">
        <v>2535</v>
      </c>
      <c r="H1208" t="s">
        <v>1893</v>
      </c>
    </row>
    <row r="1209" spans="1:8" x14ac:dyDescent="0.25">
      <c r="A1209" t="s">
        <v>1662</v>
      </c>
      <c r="B1209" t="s">
        <v>2437</v>
      </c>
      <c r="C1209" t="s">
        <v>2922</v>
      </c>
      <c r="D1209" t="s">
        <v>1786</v>
      </c>
      <c r="E1209" t="s">
        <v>2989</v>
      </c>
      <c r="F1209" t="s">
        <v>2000</v>
      </c>
      <c r="G1209" t="s">
        <v>1990</v>
      </c>
      <c r="H1209" t="s">
        <v>1894</v>
      </c>
    </row>
    <row r="1210" spans="1:8" x14ac:dyDescent="0.25">
      <c r="A1210" t="s">
        <v>1681</v>
      </c>
      <c r="B1210" t="s">
        <v>1708</v>
      </c>
      <c r="C1210" t="s">
        <v>2923</v>
      </c>
      <c r="D1210" t="s">
        <v>1779</v>
      </c>
      <c r="E1210" t="s">
        <v>1820</v>
      </c>
      <c r="F1210" t="s">
        <v>1995</v>
      </c>
      <c r="G1210" t="s">
        <v>1991</v>
      </c>
      <c r="H1210" t="s">
        <v>1896</v>
      </c>
    </row>
    <row r="1211" spans="1:8" x14ac:dyDescent="0.25">
      <c r="A1211" t="s">
        <v>2417</v>
      </c>
      <c r="B1211" t="s">
        <v>1709</v>
      </c>
      <c r="C1211" t="s">
        <v>2924</v>
      </c>
      <c r="D1211" t="s">
        <v>1780</v>
      </c>
      <c r="E1211" t="s">
        <v>1821</v>
      </c>
      <c r="F1211" t="s">
        <v>1996</v>
      </c>
      <c r="G1211" t="s">
        <v>1992</v>
      </c>
      <c r="H1211" t="s">
        <v>1942</v>
      </c>
    </row>
    <row r="1212" spans="1:8" x14ac:dyDescent="0.25">
      <c r="A1212" t="s">
        <v>1663</v>
      </c>
      <c r="B1212" t="s">
        <v>1710</v>
      </c>
      <c r="C1212" t="s">
        <v>1622</v>
      </c>
      <c r="D1212" t="s">
        <v>1809</v>
      </c>
      <c r="E1212" t="s">
        <v>1822</v>
      </c>
      <c r="F1212" t="s">
        <v>3024</v>
      </c>
      <c r="G1212" t="s">
        <v>1993</v>
      </c>
      <c r="H1212" t="s">
        <v>1909</v>
      </c>
    </row>
    <row r="1213" spans="1:8" x14ac:dyDescent="0.25">
      <c r="A1213" t="s">
        <v>1684</v>
      </c>
      <c r="B1213" t="s">
        <v>1711</v>
      </c>
      <c r="C1213" t="s">
        <v>1624</v>
      </c>
      <c r="D1213" t="s">
        <v>1790</v>
      </c>
      <c r="E1213" t="s">
        <v>1823</v>
      </c>
      <c r="F1213" t="s">
        <v>3025</v>
      </c>
      <c r="G1213" t="s">
        <v>1994</v>
      </c>
      <c r="H1213" t="s">
        <v>2997</v>
      </c>
    </row>
    <row r="1214" spans="1:8" x14ac:dyDescent="0.25">
      <c r="A1214" t="s">
        <v>2933</v>
      </c>
      <c r="B1214" t="s">
        <v>2438</v>
      </c>
      <c r="C1214" t="s">
        <v>2925</v>
      </c>
      <c r="D1214" t="s">
        <v>1793</v>
      </c>
      <c r="E1214" t="s">
        <v>1833</v>
      </c>
      <c r="F1214" t="s">
        <v>3026</v>
      </c>
      <c r="G1214" t="s">
        <v>2000</v>
      </c>
      <c r="H1214" t="s">
        <v>2999</v>
      </c>
    </row>
    <row r="1215" spans="1:8" x14ac:dyDescent="0.25">
      <c r="A1215" t="s">
        <v>2418</v>
      </c>
      <c r="B1215" t="s">
        <v>1712</v>
      </c>
      <c r="C1215" t="s">
        <v>2926</v>
      </c>
      <c r="D1215" t="s">
        <v>2972</v>
      </c>
      <c r="E1215" t="s">
        <v>1824</v>
      </c>
      <c r="F1215" t="s">
        <v>3027</v>
      </c>
      <c r="G1215" t="s">
        <v>1995</v>
      </c>
      <c r="H1215" t="s">
        <v>3144</v>
      </c>
    </row>
    <row r="1216" spans="1:8" x14ac:dyDescent="0.25">
      <c r="A1216" t="s">
        <v>2419</v>
      </c>
      <c r="B1216" t="s">
        <v>1713</v>
      </c>
      <c r="C1216" t="s">
        <v>2927</v>
      </c>
      <c r="D1216" t="s">
        <v>2973</v>
      </c>
      <c r="E1216" t="s">
        <v>3216</v>
      </c>
      <c r="F1216" t="s">
        <v>3028</v>
      </c>
      <c r="G1216" t="s">
        <v>1996</v>
      </c>
      <c r="H1216" t="s">
        <v>3000</v>
      </c>
    </row>
    <row r="1217" spans="1:8" x14ac:dyDescent="0.25">
      <c r="A1217" t="s">
        <v>2420</v>
      </c>
      <c r="B1217" t="s">
        <v>1714</v>
      </c>
      <c r="C1217" t="s">
        <v>2928</v>
      </c>
      <c r="D1217" t="s">
        <v>2974</v>
      </c>
      <c r="E1217" t="s">
        <v>3217</v>
      </c>
      <c r="F1217" t="s">
        <v>3029</v>
      </c>
      <c r="G1217" t="s">
        <v>3024</v>
      </c>
      <c r="H1217" t="s">
        <v>3001</v>
      </c>
    </row>
    <row r="1218" spans="1:8" x14ac:dyDescent="0.25">
      <c r="A1218" t="s">
        <v>2934</v>
      </c>
      <c r="B1218" t="s">
        <v>1715</v>
      </c>
      <c r="C1218" t="s">
        <v>1625</v>
      </c>
      <c r="D1218" t="s">
        <v>2975</v>
      </c>
      <c r="E1218" t="s">
        <v>3218</v>
      </c>
      <c r="F1218" t="s">
        <v>3030</v>
      </c>
      <c r="G1218" t="s">
        <v>3025</v>
      </c>
      <c r="H1218" t="s">
        <v>3348</v>
      </c>
    </row>
    <row r="1219" spans="1:8" x14ac:dyDescent="0.25">
      <c r="A1219" t="s">
        <v>2935</v>
      </c>
      <c r="B1219" t="s">
        <v>1716</v>
      </c>
      <c r="C1219" t="s">
        <v>1626</v>
      </c>
      <c r="D1219" t="s">
        <v>2977</v>
      </c>
      <c r="E1219" t="s">
        <v>1836</v>
      </c>
      <c r="F1219" t="s">
        <v>3031</v>
      </c>
      <c r="G1219" t="s">
        <v>3026</v>
      </c>
      <c r="H1219" t="s">
        <v>1901</v>
      </c>
    </row>
    <row r="1220" spans="1:8" x14ac:dyDescent="0.25">
      <c r="A1220" t="s">
        <v>2936</v>
      </c>
      <c r="B1220" t="s">
        <v>1717</v>
      </c>
      <c r="C1220" t="s">
        <v>1627</v>
      </c>
      <c r="D1220" t="s">
        <v>2978</v>
      </c>
      <c r="E1220" t="s">
        <v>1825</v>
      </c>
      <c r="F1220" t="s">
        <v>3032</v>
      </c>
      <c r="G1220" t="s">
        <v>3027</v>
      </c>
      <c r="H1220" t="s">
        <v>2477</v>
      </c>
    </row>
    <row r="1221" spans="1:8" x14ac:dyDescent="0.25">
      <c r="A1221" t="s">
        <v>2937</v>
      </c>
      <c r="B1221" t="s">
        <v>1718</v>
      </c>
      <c r="C1221" t="s">
        <v>1628</v>
      </c>
      <c r="D1221" t="s">
        <v>2979</v>
      </c>
      <c r="E1221" t="s">
        <v>3273</v>
      </c>
      <c r="F1221" t="s">
        <v>3033</v>
      </c>
      <c r="G1221" t="s">
        <v>3028</v>
      </c>
      <c r="H1221" t="s">
        <v>1902</v>
      </c>
    </row>
    <row r="1222" spans="1:8" x14ac:dyDescent="0.25">
      <c r="A1222" t="s">
        <v>2938</v>
      </c>
      <c r="B1222" t="s">
        <v>1719</v>
      </c>
      <c r="C1222" t="s">
        <v>1630</v>
      </c>
      <c r="D1222" t="s">
        <v>2981</v>
      </c>
      <c r="E1222" t="s">
        <v>3219</v>
      </c>
      <c r="F1222" t="s">
        <v>3034</v>
      </c>
      <c r="G1222" t="s">
        <v>3029</v>
      </c>
      <c r="H1222" t="s">
        <v>1903</v>
      </c>
    </row>
    <row r="1223" spans="1:8" x14ac:dyDescent="0.25">
      <c r="A1223" t="s">
        <v>2421</v>
      </c>
      <c r="B1223" t="s">
        <v>1721</v>
      </c>
      <c r="C1223" t="s">
        <v>1631</v>
      </c>
      <c r="D1223" t="s">
        <v>2982</v>
      </c>
      <c r="E1223" t="s">
        <v>2991</v>
      </c>
      <c r="F1223" t="s">
        <v>3035</v>
      </c>
      <c r="G1223" t="s">
        <v>3030</v>
      </c>
      <c r="H1223" t="s">
        <v>1904</v>
      </c>
    </row>
    <row r="1224" spans="1:8" x14ac:dyDescent="0.25">
      <c r="A1224" t="s">
        <v>2939</v>
      </c>
      <c r="B1224" t="s">
        <v>2440</v>
      </c>
      <c r="C1224" t="s">
        <v>3137</v>
      </c>
      <c r="D1224" t="s">
        <v>2983</v>
      </c>
      <c r="E1224" t="s">
        <v>1827</v>
      </c>
      <c r="F1224" t="s">
        <v>3036</v>
      </c>
      <c r="G1224" t="s">
        <v>3031</v>
      </c>
      <c r="H1224" t="s">
        <v>1906</v>
      </c>
    </row>
    <row r="1225" spans="1:8" x14ac:dyDescent="0.25">
      <c r="A1225" t="s">
        <v>2940</v>
      </c>
      <c r="B1225" t="s">
        <v>2441</v>
      </c>
      <c r="C1225" t="s">
        <v>1656</v>
      </c>
      <c r="D1225" t="s">
        <v>2984</v>
      </c>
      <c r="E1225" t="s">
        <v>1828</v>
      </c>
      <c r="F1225" t="s">
        <v>3037</v>
      </c>
      <c r="G1225" t="s">
        <v>3032</v>
      </c>
      <c r="H1225" t="s">
        <v>1907</v>
      </c>
    </row>
    <row r="1226" spans="1:8" x14ac:dyDescent="0.25">
      <c r="A1226" t="s">
        <v>2941</v>
      </c>
      <c r="B1226" t="s">
        <v>2442</v>
      </c>
      <c r="C1226" t="s">
        <v>1695</v>
      </c>
      <c r="D1226" t="s">
        <v>2986</v>
      </c>
      <c r="E1226" t="s">
        <v>1829</v>
      </c>
      <c r="F1226" t="s">
        <v>3038</v>
      </c>
      <c r="G1226" t="s">
        <v>3033</v>
      </c>
      <c r="H1226" t="s">
        <v>1908</v>
      </c>
    </row>
    <row r="1227" spans="1:8" x14ac:dyDescent="0.25">
      <c r="A1227" t="s">
        <v>2422</v>
      </c>
      <c r="B1227" t="s">
        <v>2443</v>
      </c>
      <c r="C1227" t="s">
        <v>1633</v>
      </c>
      <c r="D1227" t="s">
        <v>2987</v>
      </c>
      <c r="E1227" t="s">
        <v>1831</v>
      </c>
      <c r="F1227" t="s">
        <v>3039</v>
      </c>
      <c r="G1227" t="s">
        <v>3034</v>
      </c>
      <c r="H1227" t="s">
        <v>1911</v>
      </c>
    </row>
    <row r="1228" spans="1:8" x14ac:dyDescent="0.25">
      <c r="A1228" t="s">
        <v>2942</v>
      </c>
      <c r="B1228" t="s">
        <v>1722</v>
      </c>
      <c r="C1228" t="s">
        <v>1635</v>
      </c>
      <c r="D1228" t="s">
        <v>2460</v>
      </c>
      <c r="E1228" t="s">
        <v>1832</v>
      </c>
      <c r="F1228" t="s">
        <v>3040</v>
      </c>
      <c r="G1228" t="s">
        <v>3035</v>
      </c>
      <c r="H1228" t="s">
        <v>2480</v>
      </c>
    </row>
    <row r="1229" spans="1:8" x14ac:dyDescent="0.25">
      <c r="A1229" t="s">
        <v>2943</v>
      </c>
      <c r="B1229" t="s">
        <v>1723</v>
      </c>
      <c r="C1229" t="s">
        <v>2931</v>
      </c>
      <c r="D1229" t="s">
        <v>1782</v>
      </c>
      <c r="E1229" t="s">
        <v>1834</v>
      </c>
      <c r="F1229" t="s">
        <v>3041</v>
      </c>
      <c r="G1229" t="s">
        <v>3036</v>
      </c>
      <c r="H1229" t="s">
        <v>2481</v>
      </c>
    </row>
    <row r="1230" spans="1:8" x14ac:dyDescent="0.25">
      <c r="A1230" t="s">
        <v>2423</v>
      </c>
      <c r="B1230" t="s">
        <v>1724</v>
      </c>
      <c r="C1230" t="s">
        <v>1637</v>
      </c>
      <c r="D1230" t="s">
        <v>1785</v>
      </c>
      <c r="E1230" t="s">
        <v>1835</v>
      </c>
      <c r="F1230" t="s">
        <v>2036</v>
      </c>
      <c r="G1230" t="s">
        <v>3037</v>
      </c>
      <c r="H1230" t="s">
        <v>2482</v>
      </c>
    </row>
    <row r="1231" spans="1:8" x14ac:dyDescent="0.25">
      <c r="A1231" t="s">
        <v>2944</v>
      </c>
      <c r="B1231" t="s">
        <v>1725</v>
      </c>
      <c r="C1231" t="s">
        <v>1639</v>
      </c>
      <c r="D1231" t="s">
        <v>1787</v>
      </c>
      <c r="E1231" t="s">
        <v>1837</v>
      </c>
      <c r="F1231" t="s">
        <v>2038</v>
      </c>
      <c r="G1231" t="s">
        <v>3038</v>
      </c>
      <c r="H1231" t="s">
        <v>1912</v>
      </c>
    </row>
    <row r="1232" spans="1:8" x14ac:dyDescent="0.25">
      <c r="A1232" t="s">
        <v>2945</v>
      </c>
      <c r="B1232" t="s">
        <v>2444</v>
      </c>
      <c r="C1232" t="s">
        <v>1641</v>
      </c>
      <c r="D1232" t="s">
        <v>1788</v>
      </c>
      <c r="E1232" t="s">
        <v>1838</v>
      </c>
      <c r="F1232" t="s">
        <v>3042</v>
      </c>
      <c r="G1232" t="s">
        <v>3039</v>
      </c>
      <c r="H1232" t="s">
        <v>3314</v>
      </c>
    </row>
    <row r="1233" spans="1:8" x14ac:dyDescent="0.25">
      <c r="A1233" t="s">
        <v>2424</v>
      </c>
      <c r="B1233" t="s">
        <v>2445</v>
      </c>
      <c r="C1233" t="s">
        <v>1643</v>
      </c>
      <c r="D1233" t="s">
        <v>1789</v>
      </c>
      <c r="E1233" t="s">
        <v>1839</v>
      </c>
      <c r="F1233" t="s">
        <v>2040</v>
      </c>
      <c r="G1233" t="s">
        <v>3040</v>
      </c>
      <c r="H1233" t="s">
        <v>1913</v>
      </c>
    </row>
    <row r="1234" spans="1:8" x14ac:dyDescent="0.25">
      <c r="A1234" t="s">
        <v>2425</v>
      </c>
      <c r="B1234" t="s">
        <v>2947</v>
      </c>
      <c r="C1234" t="s">
        <v>1645</v>
      </c>
      <c r="D1234" t="s">
        <v>3139</v>
      </c>
      <c r="E1234" t="s">
        <v>1840</v>
      </c>
      <c r="F1234" t="s">
        <v>1998</v>
      </c>
      <c r="G1234" t="s">
        <v>3041</v>
      </c>
      <c r="H1234" t="s">
        <v>3357</v>
      </c>
    </row>
    <row r="1235" spans="1:8" x14ac:dyDescent="0.25">
      <c r="A1235" t="s">
        <v>1667</v>
      </c>
      <c r="B1235" t="s">
        <v>2948</v>
      </c>
      <c r="C1235" t="s">
        <v>1647</v>
      </c>
      <c r="D1235" t="s">
        <v>3140</v>
      </c>
      <c r="E1235" t="s">
        <v>1841</v>
      </c>
      <c r="F1235" t="s">
        <v>2001</v>
      </c>
      <c r="G1235" t="s">
        <v>2036</v>
      </c>
      <c r="H1235" t="s">
        <v>1914</v>
      </c>
    </row>
    <row r="1236" spans="1:8" x14ac:dyDescent="0.25">
      <c r="A1236" t="s">
        <v>1668</v>
      </c>
      <c r="B1236" t="s">
        <v>2949</v>
      </c>
      <c r="C1236" t="s">
        <v>1650</v>
      </c>
      <c r="D1236" t="s">
        <v>1791</v>
      </c>
      <c r="E1236" t="s">
        <v>1842</v>
      </c>
      <c r="F1236" t="s">
        <v>3043</v>
      </c>
      <c r="G1236" t="s">
        <v>2038</v>
      </c>
      <c r="H1236" t="s">
        <v>1915</v>
      </c>
    </row>
    <row r="1237" spans="1:8" x14ac:dyDescent="0.25">
      <c r="A1237" t="s">
        <v>1669</v>
      </c>
      <c r="B1237" t="s">
        <v>2950</v>
      </c>
      <c r="C1237" t="s">
        <v>1651</v>
      </c>
      <c r="D1237" t="s">
        <v>1794</v>
      </c>
      <c r="E1237" t="s">
        <v>1843</v>
      </c>
      <c r="F1237" t="s">
        <v>3044</v>
      </c>
      <c r="G1237" t="s">
        <v>3042</v>
      </c>
      <c r="H1237" t="s">
        <v>1916</v>
      </c>
    </row>
    <row r="1238" spans="1:8" x14ac:dyDescent="0.25">
      <c r="A1238" t="s">
        <v>1670</v>
      </c>
      <c r="B1238" t="s">
        <v>2951</v>
      </c>
      <c r="C1238" t="s">
        <v>1654</v>
      </c>
      <c r="D1238" t="s">
        <v>1795</v>
      </c>
      <c r="E1238" t="s">
        <v>1844</v>
      </c>
      <c r="F1238" t="s">
        <v>3045</v>
      </c>
      <c r="G1238" t="s">
        <v>2040</v>
      </c>
      <c r="H1238" t="s">
        <v>1917</v>
      </c>
    </row>
    <row r="1239" spans="1:8" x14ac:dyDescent="0.25">
      <c r="A1239" t="s">
        <v>1671</v>
      </c>
      <c r="B1239" t="s">
        <v>2952</v>
      </c>
      <c r="C1239" t="s">
        <v>2932</v>
      </c>
      <c r="D1239" t="s">
        <v>2461</v>
      </c>
      <c r="E1239" t="s">
        <v>1846</v>
      </c>
      <c r="F1239" t="s">
        <v>2042</v>
      </c>
      <c r="G1239" t="s">
        <v>1998</v>
      </c>
      <c r="H1239" t="s">
        <v>1918</v>
      </c>
    </row>
    <row r="1240" spans="1:8" x14ac:dyDescent="0.25">
      <c r="A1240" t="s">
        <v>1672</v>
      </c>
      <c r="B1240" t="s">
        <v>1726</v>
      </c>
      <c r="C1240" t="s">
        <v>1655</v>
      </c>
      <c r="D1240" t="s">
        <v>1796</v>
      </c>
      <c r="E1240" t="s">
        <v>1847</v>
      </c>
      <c r="F1240" t="s">
        <v>2044</v>
      </c>
      <c r="G1240" t="s">
        <v>2001</v>
      </c>
      <c r="H1240" t="s">
        <v>3349</v>
      </c>
    </row>
    <row r="1241" spans="1:8" x14ac:dyDescent="0.25">
      <c r="A1241" t="s">
        <v>1673</v>
      </c>
      <c r="B1241" t="s">
        <v>1727</v>
      </c>
      <c r="C1241" t="s">
        <v>1659</v>
      </c>
      <c r="D1241" t="s">
        <v>1797</v>
      </c>
      <c r="E1241" t="s">
        <v>1848</v>
      </c>
      <c r="F1241" t="s">
        <v>3046</v>
      </c>
      <c r="G1241" t="s">
        <v>3043</v>
      </c>
      <c r="H1241" t="s">
        <v>3350</v>
      </c>
    </row>
    <row r="1242" spans="1:8" x14ac:dyDescent="0.25">
      <c r="A1242" t="s">
        <v>1674</v>
      </c>
      <c r="B1242" t="s">
        <v>1728</v>
      </c>
      <c r="C1242" t="s">
        <v>1661</v>
      </c>
      <c r="D1242" t="s">
        <v>1798</v>
      </c>
      <c r="E1242" t="s">
        <v>1849</v>
      </c>
      <c r="F1242" t="s">
        <v>3047</v>
      </c>
      <c r="G1242" t="s">
        <v>3044</v>
      </c>
      <c r="H1242" t="s">
        <v>3332</v>
      </c>
    </row>
    <row r="1243" spans="1:8" x14ac:dyDescent="0.25">
      <c r="A1243" t="s">
        <v>2426</v>
      </c>
      <c r="B1243" t="s">
        <v>1729</v>
      </c>
      <c r="C1243" t="s">
        <v>1662</v>
      </c>
      <c r="D1243" t="s">
        <v>1845</v>
      </c>
      <c r="E1243" t="s">
        <v>1851</v>
      </c>
      <c r="F1243" t="s">
        <v>3048</v>
      </c>
      <c r="G1243" t="s">
        <v>3045</v>
      </c>
      <c r="H1243" t="s">
        <v>2485</v>
      </c>
    </row>
    <row r="1244" spans="1:8" x14ac:dyDescent="0.25">
      <c r="A1244" t="s">
        <v>2946</v>
      </c>
      <c r="B1244" t="s">
        <v>1730</v>
      </c>
      <c r="C1244" t="s">
        <v>1681</v>
      </c>
      <c r="D1244" t="s">
        <v>1800</v>
      </c>
      <c r="E1244" t="s">
        <v>1852</v>
      </c>
      <c r="F1244" t="s">
        <v>2003</v>
      </c>
      <c r="G1244" t="s">
        <v>2042</v>
      </c>
      <c r="H1244" t="s">
        <v>3333</v>
      </c>
    </row>
    <row r="1245" spans="1:8" x14ac:dyDescent="0.25">
      <c r="A1245" t="s">
        <v>1675</v>
      </c>
      <c r="B1245" t="s">
        <v>1731</v>
      </c>
      <c r="C1245" t="s">
        <v>2417</v>
      </c>
      <c r="D1245" t="s">
        <v>1802</v>
      </c>
      <c r="E1245" t="s">
        <v>1853</v>
      </c>
      <c r="F1245" t="s">
        <v>3049</v>
      </c>
      <c r="G1245" t="s">
        <v>2044</v>
      </c>
      <c r="H1245" t="s">
        <v>3004</v>
      </c>
    </row>
    <row r="1246" spans="1:8" x14ac:dyDescent="0.25">
      <c r="A1246" t="s">
        <v>1676</v>
      </c>
      <c r="B1246" t="s">
        <v>1732</v>
      </c>
      <c r="C1246" t="s">
        <v>1663</v>
      </c>
      <c r="D1246" t="s">
        <v>1804</v>
      </c>
      <c r="E1246" t="s">
        <v>1854</v>
      </c>
      <c r="F1246" t="s">
        <v>3050</v>
      </c>
      <c r="G1246" t="s">
        <v>3046</v>
      </c>
      <c r="H1246" t="s">
        <v>3005</v>
      </c>
    </row>
    <row r="1247" spans="1:8" x14ac:dyDescent="0.25">
      <c r="A1247" t="s">
        <v>1720</v>
      </c>
      <c r="B1247" t="s">
        <v>1733</v>
      </c>
      <c r="C1247" t="s">
        <v>1684</v>
      </c>
      <c r="D1247" t="s">
        <v>1850</v>
      </c>
      <c r="E1247" t="s">
        <v>1856</v>
      </c>
      <c r="F1247" t="s">
        <v>3051</v>
      </c>
      <c r="G1247" t="s">
        <v>3047</v>
      </c>
      <c r="H1247" t="s">
        <v>3007</v>
      </c>
    </row>
    <row r="1248" spans="1:8" x14ac:dyDescent="0.25">
      <c r="A1248" t="s">
        <v>2427</v>
      </c>
      <c r="B1248" t="s">
        <v>1734</v>
      </c>
      <c r="C1248" t="s">
        <v>3086</v>
      </c>
      <c r="D1248" t="s">
        <v>1805</v>
      </c>
      <c r="E1248" t="s">
        <v>1858</v>
      </c>
      <c r="F1248" t="s">
        <v>3052</v>
      </c>
      <c r="G1248" t="s">
        <v>3048</v>
      </c>
      <c r="H1248" t="s">
        <v>3008</v>
      </c>
    </row>
    <row r="1249" spans="1:8" x14ac:dyDescent="0.25">
      <c r="A1249" t="s">
        <v>2428</v>
      </c>
      <c r="B1249" t="s">
        <v>1735</v>
      </c>
      <c r="C1249" t="s">
        <v>2933</v>
      </c>
      <c r="D1249" t="s">
        <v>1806</v>
      </c>
      <c r="E1249" t="s">
        <v>1859</v>
      </c>
      <c r="F1249" t="s">
        <v>3053</v>
      </c>
      <c r="G1249" t="s">
        <v>2003</v>
      </c>
      <c r="H1249" t="s">
        <v>3009</v>
      </c>
    </row>
    <row r="1250" spans="1:8" x14ac:dyDescent="0.25">
      <c r="A1250" t="s">
        <v>1677</v>
      </c>
      <c r="B1250" t="s">
        <v>1736</v>
      </c>
      <c r="C1250" t="s">
        <v>2418</v>
      </c>
      <c r="D1250" t="s">
        <v>1807</v>
      </c>
      <c r="E1250" t="s">
        <v>1860</v>
      </c>
      <c r="F1250" t="s">
        <v>3054</v>
      </c>
      <c r="G1250" t="s">
        <v>3049</v>
      </c>
      <c r="H1250" t="s">
        <v>3010</v>
      </c>
    </row>
    <row r="1251" spans="1:8" x14ac:dyDescent="0.25">
      <c r="A1251" t="s">
        <v>1678</v>
      </c>
      <c r="B1251" t="s">
        <v>1737</v>
      </c>
      <c r="C1251" t="s">
        <v>2419</v>
      </c>
      <c r="D1251" t="s">
        <v>1855</v>
      </c>
      <c r="E1251" t="s">
        <v>1862</v>
      </c>
      <c r="F1251" t="s">
        <v>3055</v>
      </c>
      <c r="G1251" t="s">
        <v>3050</v>
      </c>
      <c r="H1251" t="s">
        <v>1919</v>
      </c>
    </row>
    <row r="1252" spans="1:8" x14ac:dyDescent="0.25">
      <c r="A1252" t="s">
        <v>1698</v>
      </c>
      <c r="B1252" t="s">
        <v>2953</v>
      </c>
      <c r="C1252" t="s">
        <v>3087</v>
      </c>
      <c r="D1252" t="s">
        <v>1808</v>
      </c>
      <c r="E1252" t="s">
        <v>1863</v>
      </c>
      <c r="F1252" t="s">
        <v>3224</v>
      </c>
      <c r="G1252" t="s">
        <v>3051</v>
      </c>
      <c r="H1252" t="s">
        <v>3011</v>
      </c>
    </row>
    <row r="1253" spans="1:8" x14ac:dyDescent="0.25">
      <c r="A1253" t="s">
        <v>1680</v>
      </c>
      <c r="B1253" t="s">
        <v>2954</v>
      </c>
      <c r="C1253" t="s">
        <v>2420</v>
      </c>
      <c r="D1253" t="s">
        <v>1810</v>
      </c>
      <c r="E1253" t="s">
        <v>1864</v>
      </c>
      <c r="F1253" t="s">
        <v>3225</v>
      </c>
      <c r="G1253" t="s">
        <v>3052</v>
      </c>
      <c r="H1253" t="s">
        <v>3012</v>
      </c>
    </row>
    <row r="1254" spans="1:8" x14ac:dyDescent="0.25">
      <c r="A1254" t="s">
        <v>1682</v>
      </c>
      <c r="B1254" t="s">
        <v>2955</v>
      </c>
      <c r="C1254" t="s">
        <v>2934</v>
      </c>
      <c r="D1254" t="s">
        <v>1811</v>
      </c>
      <c r="E1254" t="s">
        <v>1873</v>
      </c>
      <c r="F1254" t="s">
        <v>3057</v>
      </c>
      <c r="G1254" t="s">
        <v>3053</v>
      </c>
      <c r="H1254" t="s">
        <v>1921</v>
      </c>
    </row>
    <row r="1255" spans="1:8" x14ac:dyDescent="0.25">
      <c r="A1255" t="s">
        <v>1683</v>
      </c>
      <c r="B1255" t="s">
        <v>2956</v>
      </c>
      <c r="C1255" t="s">
        <v>2937</v>
      </c>
      <c r="D1255" t="s">
        <v>1861</v>
      </c>
      <c r="E1255" t="s">
        <v>1865</v>
      </c>
      <c r="F1255" t="s">
        <v>3058</v>
      </c>
      <c r="G1255" t="s">
        <v>3054</v>
      </c>
      <c r="H1255" t="s">
        <v>1923</v>
      </c>
    </row>
    <row r="1256" spans="1:8" x14ac:dyDescent="0.25">
      <c r="A1256" t="s">
        <v>1685</v>
      </c>
      <c r="B1256" t="s">
        <v>2957</v>
      </c>
      <c r="C1256" t="s">
        <v>2938</v>
      </c>
      <c r="D1256" t="s">
        <v>1813</v>
      </c>
      <c r="E1256" t="s">
        <v>2992</v>
      </c>
      <c r="F1256" t="s">
        <v>3270</v>
      </c>
      <c r="G1256" t="s">
        <v>3055</v>
      </c>
      <c r="H1256" t="s">
        <v>3374</v>
      </c>
    </row>
    <row r="1257" spans="1:8" x14ac:dyDescent="0.25">
      <c r="A1257" t="s">
        <v>1686</v>
      </c>
      <c r="B1257" t="s">
        <v>2958</v>
      </c>
      <c r="C1257" t="s">
        <v>2939</v>
      </c>
      <c r="D1257" t="s">
        <v>1814</v>
      </c>
      <c r="E1257" t="s">
        <v>1867</v>
      </c>
      <c r="F1257" t="s">
        <v>3226</v>
      </c>
      <c r="G1257" t="s">
        <v>3224</v>
      </c>
      <c r="H1257" t="s">
        <v>1925</v>
      </c>
    </row>
    <row r="1258" spans="1:8" x14ac:dyDescent="0.25">
      <c r="A1258" t="s">
        <v>1687</v>
      </c>
      <c r="B1258" t="s">
        <v>1738</v>
      </c>
      <c r="C1258" t="s">
        <v>3174</v>
      </c>
      <c r="D1258" t="s">
        <v>1815</v>
      </c>
      <c r="E1258" t="s">
        <v>1868</v>
      </c>
      <c r="F1258" t="s">
        <v>3227</v>
      </c>
      <c r="G1258" t="s">
        <v>3225</v>
      </c>
      <c r="H1258" t="s">
        <v>3351</v>
      </c>
    </row>
    <row r="1259" spans="1:8" x14ac:dyDescent="0.25">
      <c r="A1259" t="s">
        <v>2429</v>
      </c>
      <c r="B1259" t="s">
        <v>1739</v>
      </c>
      <c r="C1259" t="s">
        <v>3214</v>
      </c>
      <c r="D1259" t="s">
        <v>1866</v>
      </c>
      <c r="E1259" t="s">
        <v>2468</v>
      </c>
      <c r="F1259" t="s">
        <v>3060</v>
      </c>
      <c r="G1259" t="s">
        <v>3056</v>
      </c>
      <c r="H1259" t="s">
        <v>3013</v>
      </c>
    </row>
    <row r="1260" spans="1:8" x14ac:dyDescent="0.25">
      <c r="A1260" t="s">
        <v>1688</v>
      </c>
      <c r="B1260" t="s">
        <v>1740</v>
      </c>
      <c r="C1260" t="s">
        <v>2941</v>
      </c>
      <c r="D1260" t="s">
        <v>1816</v>
      </c>
      <c r="E1260" t="s">
        <v>3220</v>
      </c>
      <c r="F1260" t="s">
        <v>3061</v>
      </c>
      <c r="G1260" t="s">
        <v>3057</v>
      </c>
      <c r="H1260" t="s">
        <v>3371</v>
      </c>
    </row>
    <row r="1261" spans="1:8" x14ac:dyDescent="0.25">
      <c r="A1261" t="s">
        <v>1689</v>
      </c>
      <c r="B1261" t="s">
        <v>1741</v>
      </c>
      <c r="C1261" t="s">
        <v>2422</v>
      </c>
      <c r="D1261" t="s">
        <v>1817</v>
      </c>
      <c r="E1261" t="s">
        <v>2469</v>
      </c>
      <c r="F1261" t="s">
        <v>3271</v>
      </c>
      <c r="G1261" t="s">
        <v>3058</v>
      </c>
      <c r="H1261" t="s">
        <v>1926</v>
      </c>
    </row>
    <row r="1262" spans="1:8" x14ac:dyDescent="0.25">
      <c r="A1262" t="s">
        <v>1690</v>
      </c>
      <c r="B1262" t="s">
        <v>1742</v>
      </c>
      <c r="C1262" t="s">
        <v>2942</v>
      </c>
      <c r="D1262" t="s">
        <v>1818</v>
      </c>
      <c r="E1262" t="s">
        <v>2470</v>
      </c>
      <c r="F1262" t="s">
        <v>1997</v>
      </c>
      <c r="G1262" t="s">
        <v>3270</v>
      </c>
      <c r="H1262" t="s">
        <v>1927</v>
      </c>
    </row>
    <row r="1263" spans="1:8" x14ac:dyDescent="0.25">
      <c r="A1263" t="s">
        <v>1691</v>
      </c>
      <c r="B1263" t="s">
        <v>1743</v>
      </c>
      <c r="C1263" t="s">
        <v>2943</v>
      </c>
      <c r="D1263" t="s">
        <v>1819</v>
      </c>
      <c r="E1263" t="s">
        <v>2472</v>
      </c>
      <c r="F1263" t="s">
        <v>1999</v>
      </c>
      <c r="G1263" t="s">
        <v>3226</v>
      </c>
      <c r="H1263" t="s">
        <v>3268</v>
      </c>
    </row>
    <row r="1264" spans="1:8" x14ac:dyDescent="0.25">
      <c r="A1264" t="s">
        <v>2430</v>
      </c>
      <c r="B1264" t="s">
        <v>2959</v>
      </c>
      <c r="C1264" t="s">
        <v>2423</v>
      </c>
      <c r="D1264" t="s">
        <v>2988</v>
      </c>
      <c r="E1264" t="s">
        <v>2993</v>
      </c>
      <c r="F1264" t="s">
        <v>2005</v>
      </c>
      <c r="G1264" t="s">
        <v>3227</v>
      </c>
      <c r="H1264" t="s">
        <v>3017</v>
      </c>
    </row>
    <row r="1265" spans="1:8" x14ac:dyDescent="0.25">
      <c r="A1265" t="s">
        <v>1692</v>
      </c>
      <c r="B1265" t="s">
        <v>2446</v>
      </c>
      <c r="C1265" t="s">
        <v>2944</v>
      </c>
      <c r="D1265" t="s">
        <v>2989</v>
      </c>
      <c r="E1265" t="s">
        <v>3266</v>
      </c>
      <c r="F1265" t="s">
        <v>3062</v>
      </c>
      <c r="G1265" t="s">
        <v>3059</v>
      </c>
      <c r="H1265" t="s">
        <v>3145</v>
      </c>
    </row>
    <row r="1266" spans="1:8" x14ac:dyDescent="0.25">
      <c r="A1266" t="s">
        <v>1693</v>
      </c>
      <c r="B1266" t="s">
        <v>2960</v>
      </c>
      <c r="C1266" t="s">
        <v>2945</v>
      </c>
      <c r="D1266" t="s">
        <v>1820</v>
      </c>
      <c r="E1266" t="s">
        <v>3143</v>
      </c>
      <c r="F1266" t="s">
        <v>2006</v>
      </c>
      <c r="G1266" t="s">
        <v>3060</v>
      </c>
      <c r="H1266" t="s">
        <v>3222</v>
      </c>
    </row>
    <row r="1267" spans="1:8" x14ac:dyDescent="0.25">
      <c r="A1267" t="s">
        <v>1694</v>
      </c>
      <c r="B1267" t="s">
        <v>2447</v>
      </c>
      <c r="C1267" t="s">
        <v>2424</v>
      </c>
      <c r="D1267" t="s">
        <v>1821</v>
      </c>
      <c r="E1267" t="s">
        <v>3267</v>
      </c>
      <c r="F1267" t="s">
        <v>2007</v>
      </c>
      <c r="G1267" t="s">
        <v>3061</v>
      </c>
      <c r="H1267" t="s">
        <v>3309</v>
      </c>
    </row>
    <row r="1268" spans="1:8" x14ac:dyDescent="0.25">
      <c r="A1268" t="s">
        <v>1696</v>
      </c>
      <c r="B1268" t="s">
        <v>1744</v>
      </c>
      <c r="C1268" t="s">
        <v>2425</v>
      </c>
      <c r="D1268" t="s">
        <v>1822</v>
      </c>
      <c r="E1268" t="s">
        <v>2994</v>
      </c>
      <c r="F1268" t="s">
        <v>2009</v>
      </c>
      <c r="G1268" t="s">
        <v>3271</v>
      </c>
      <c r="H1268" t="s">
        <v>3177</v>
      </c>
    </row>
    <row r="1269" spans="1:8" x14ac:dyDescent="0.25">
      <c r="A1269" t="s">
        <v>1697</v>
      </c>
      <c r="B1269" t="s">
        <v>1745</v>
      </c>
      <c r="C1269" t="s">
        <v>3090</v>
      </c>
      <c r="D1269" t="s">
        <v>1823</v>
      </c>
      <c r="E1269" t="s">
        <v>1869</v>
      </c>
      <c r="F1269" t="s">
        <v>2015</v>
      </c>
      <c r="G1269" t="s">
        <v>1997</v>
      </c>
      <c r="H1269" t="s">
        <v>1928</v>
      </c>
    </row>
    <row r="1270" spans="1:8" x14ac:dyDescent="0.25">
      <c r="A1270" t="s">
        <v>1699</v>
      </c>
      <c r="B1270" t="s">
        <v>2961</v>
      </c>
      <c r="C1270" t="s">
        <v>3091</v>
      </c>
      <c r="D1270" t="s">
        <v>1833</v>
      </c>
      <c r="E1270" t="s">
        <v>1870</v>
      </c>
      <c r="F1270" t="s">
        <v>2016</v>
      </c>
      <c r="G1270" t="s">
        <v>1999</v>
      </c>
      <c r="H1270" t="s">
        <v>1930</v>
      </c>
    </row>
    <row r="1271" spans="1:8" x14ac:dyDescent="0.25">
      <c r="A1271" t="s">
        <v>1700</v>
      </c>
      <c r="B1271" t="s">
        <v>2448</v>
      </c>
      <c r="C1271" t="s">
        <v>3215</v>
      </c>
      <c r="D1271" t="s">
        <v>1824</v>
      </c>
      <c r="E1271" t="s">
        <v>1871</v>
      </c>
      <c r="F1271" t="s">
        <v>2017</v>
      </c>
      <c r="G1271" t="s">
        <v>2002</v>
      </c>
      <c r="H1271" t="s">
        <v>1931</v>
      </c>
    </row>
    <row r="1272" spans="1:8" x14ac:dyDescent="0.25">
      <c r="A1272" t="s">
        <v>2431</v>
      </c>
      <c r="B1272" t="s">
        <v>2962</v>
      </c>
      <c r="C1272" t="s">
        <v>1667</v>
      </c>
      <c r="D1272" t="s">
        <v>1836</v>
      </c>
      <c r="E1272" t="s">
        <v>1872</v>
      </c>
      <c r="F1272" t="s">
        <v>2022</v>
      </c>
      <c r="G1272" t="s">
        <v>2005</v>
      </c>
      <c r="H1272" t="s">
        <v>1932</v>
      </c>
    </row>
    <row r="1273" spans="1:8" x14ac:dyDescent="0.25">
      <c r="A1273" t="s">
        <v>1701</v>
      </c>
      <c r="B1273" t="s">
        <v>2963</v>
      </c>
      <c r="C1273" t="s">
        <v>1668</v>
      </c>
      <c r="D1273" t="s">
        <v>2990</v>
      </c>
      <c r="E1273" t="s">
        <v>1874</v>
      </c>
      <c r="F1273" t="s">
        <v>2030</v>
      </c>
      <c r="G1273" t="s">
        <v>3062</v>
      </c>
      <c r="H1273" t="s">
        <v>1933</v>
      </c>
    </row>
    <row r="1274" spans="1:8" x14ac:dyDescent="0.25">
      <c r="A1274" t="s">
        <v>1702</v>
      </c>
      <c r="B1274" t="s">
        <v>2450</v>
      </c>
      <c r="C1274" t="s">
        <v>1669</v>
      </c>
      <c r="D1274" t="s">
        <v>1825</v>
      </c>
      <c r="E1274" t="s">
        <v>1875</v>
      </c>
      <c r="F1274" t="s">
        <v>2039</v>
      </c>
      <c r="G1274" t="s">
        <v>2006</v>
      </c>
      <c r="H1274" t="s">
        <v>1934</v>
      </c>
    </row>
    <row r="1275" spans="1:8" x14ac:dyDescent="0.25">
      <c r="A1275" t="s">
        <v>2432</v>
      </c>
      <c r="B1275" t="s">
        <v>2964</v>
      </c>
      <c r="C1275" t="s">
        <v>1670</v>
      </c>
      <c r="D1275" t="s">
        <v>3219</v>
      </c>
      <c r="E1275" t="s">
        <v>1876</v>
      </c>
      <c r="F1275" t="s">
        <v>2048</v>
      </c>
      <c r="G1275" t="s">
        <v>2007</v>
      </c>
      <c r="H1275" t="s">
        <v>1936</v>
      </c>
    </row>
    <row r="1276" spans="1:8" x14ac:dyDescent="0.25">
      <c r="A1276" t="s">
        <v>1703</v>
      </c>
      <c r="B1276" t="s">
        <v>2965</v>
      </c>
      <c r="C1276" t="s">
        <v>1671</v>
      </c>
      <c r="D1276" t="s">
        <v>1827</v>
      </c>
      <c r="E1276" t="s">
        <v>1877</v>
      </c>
      <c r="F1276" t="s">
        <v>2051</v>
      </c>
      <c r="G1276" t="s">
        <v>2009</v>
      </c>
      <c r="H1276" t="s">
        <v>1937</v>
      </c>
    </row>
    <row r="1277" spans="1:8" x14ac:dyDescent="0.25">
      <c r="A1277" t="s">
        <v>2433</v>
      </c>
      <c r="B1277" t="s">
        <v>2966</v>
      </c>
      <c r="C1277" t="s">
        <v>1672</v>
      </c>
      <c r="D1277" t="s">
        <v>1828</v>
      </c>
      <c r="E1277" t="s">
        <v>1878</v>
      </c>
      <c r="F1277" t="s">
        <v>2052</v>
      </c>
      <c r="G1277" t="s">
        <v>2012</v>
      </c>
      <c r="H1277" t="s">
        <v>1938</v>
      </c>
    </row>
    <row r="1278" spans="1:8" x14ac:dyDescent="0.25">
      <c r="A1278" t="s">
        <v>2434</v>
      </c>
      <c r="B1278" t="s">
        <v>2452</v>
      </c>
      <c r="C1278" t="s">
        <v>1673</v>
      </c>
      <c r="D1278" t="s">
        <v>1829</v>
      </c>
      <c r="E1278" t="s">
        <v>1879</v>
      </c>
      <c r="F1278" t="s">
        <v>2053</v>
      </c>
      <c r="G1278" t="s">
        <v>2015</v>
      </c>
      <c r="H1278" t="s">
        <v>1939</v>
      </c>
    </row>
    <row r="1279" spans="1:8" x14ac:dyDescent="0.25">
      <c r="A1279" t="s">
        <v>1704</v>
      </c>
      <c r="B1279" t="s">
        <v>1746</v>
      </c>
      <c r="C1279" t="s">
        <v>1674</v>
      </c>
      <c r="D1279" t="s">
        <v>1831</v>
      </c>
      <c r="E1279" t="s">
        <v>1880</v>
      </c>
      <c r="F1279" t="s">
        <v>2054</v>
      </c>
      <c r="G1279" t="s">
        <v>2016</v>
      </c>
      <c r="H1279" t="s">
        <v>1940</v>
      </c>
    </row>
    <row r="1280" spans="1:8" x14ac:dyDescent="0.25">
      <c r="A1280" t="s">
        <v>1705</v>
      </c>
      <c r="B1280" t="s">
        <v>1784</v>
      </c>
      <c r="C1280" t="s">
        <v>2426</v>
      </c>
      <c r="D1280" t="s">
        <v>1832</v>
      </c>
      <c r="E1280" t="s">
        <v>2476</v>
      </c>
      <c r="F1280" t="s">
        <v>2055</v>
      </c>
      <c r="G1280" t="s">
        <v>2017</v>
      </c>
      <c r="H1280" t="s">
        <v>1941</v>
      </c>
    </row>
    <row r="1281" spans="1:8" x14ac:dyDescent="0.25">
      <c r="A1281" t="s">
        <v>1706</v>
      </c>
      <c r="B1281" t="s">
        <v>2967</v>
      </c>
      <c r="C1281" t="s">
        <v>1675</v>
      </c>
      <c r="D1281" t="s">
        <v>1834</v>
      </c>
      <c r="E1281" t="s">
        <v>1881</v>
      </c>
      <c r="F1281" t="s">
        <v>2056</v>
      </c>
      <c r="G1281" t="s">
        <v>2022</v>
      </c>
      <c r="H1281" t="s">
        <v>1943</v>
      </c>
    </row>
    <row r="1282" spans="1:8" x14ac:dyDescent="0.25">
      <c r="A1282" t="s">
        <v>1707</v>
      </c>
      <c r="B1282" t="s">
        <v>1747</v>
      </c>
      <c r="C1282" t="s">
        <v>1676</v>
      </c>
      <c r="D1282" t="s">
        <v>1835</v>
      </c>
      <c r="E1282" t="s">
        <v>1883</v>
      </c>
      <c r="F1282" t="s">
        <v>3146</v>
      </c>
      <c r="G1282" t="s">
        <v>2030</v>
      </c>
      <c r="H1282" t="s">
        <v>1944</v>
      </c>
    </row>
    <row r="1283" spans="1:8" x14ac:dyDescent="0.25">
      <c r="A1283" t="s">
        <v>2435</v>
      </c>
      <c r="B1283" t="s">
        <v>1748</v>
      </c>
      <c r="C1283" t="s">
        <v>1720</v>
      </c>
      <c r="D1283" t="s">
        <v>1837</v>
      </c>
      <c r="E1283" t="s">
        <v>1884</v>
      </c>
      <c r="F1283" t="s">
        <v>2057</v>
      </c>
      <c r="G1283" t="s">
        <v>2039</v>
      </c>
      <c r="H1283" t="s">
        <v>1945</v>
      </c>
    </row>
    <row r="1284" spans="1:8" x14ac:dyDescent="0.25">
      <c r="A1284" t="s">
        <v>2436</v>
      </c>
      <c r="B1284" t="s">
        <v>2453</v>
      </c>
      <c r="C1284" t="s">
        <v>2427</v>
      </c>
      <c r="D1284" t="s">
        <v>1838</v>
      </c>
      <c r="E1284" t="s">
        <v>1885</v>
      </c>
      <c r="F1284" t="s">
        <v>2058</v>
      </c>
      <c r="G1284" t="s">
        <v>2048</v>
      </c>
      <c r="H1284" t="s">
        <v>1946</v>
      </c>
    </row>
    <row r="1285" spans="1:8" x14ac:dyDescent="0.25">
      <c r="A1285" t="s">
        <v>2437</v>
      </c>
      <c r="B1285" t="s">
        <v>3138</v>
      </c>
      <c r="C1285" t="s">
        <v>2428</v>
      </c>
      <c r="D1285" t="s">
        <v>1839</v>
      </c>
      <c r="E1285" t="s">
        <v>1886</v>
      </c>
      <c r="F1285" t="s">
        <v>2059</v>
      </c>
      <c r="G1285" t="s">
        <v>2051</v>
      </c>
      <c r="H1285" t="s">
        <v>1949</v>
      </c>
    </row>
    <row r="1286" spans="1:8" x14ac:dyDescent="0.25">
      <c r="A1286" t="s">
        <v>1708</v>
      </c>
      <c r="B1286" t="s">
        <v>2454</v>
      </c>
      <c r="C1286" t="s">
        <v>1677</v>
      </c>
      <c r="D1286" t="s">
        <v>1840</v>
      </c>
      <c r="E1286" t="s">
        <v>1887</v>
      </c>
      <c r="F1286" t="s">
        <v>2060</v>
      </c>
      <c r="G1286" t="s">
        <v>2052</v>
      </c>
      <c r="H1286" t="s">
        <v>1951</v>
      </c>
    </row>
    <row r="1287" spans="1:8" x14ac:dyDescent="0.25">
      <c r="A1287" t="s">
        <v>1709</v>
      </c>
      <c r="B1287" t="s">
        <v>1749</v>
      </c>
      <c r="C1287" t="s">
        <v>1678</v>
      </c>
      <c r="D1287" t="s">
        <v>1841</v>
      </c>
      <c r="E1287" t="s">
        <v>1888</v>
      </c>
      <c r="F1287" t="s">
        <v>2061</v>
      </c>
      <c r="G1287" t="s">
        <v>2053</v>
      </c>
      <c r="H1287" t="s">
        <v>1952</v>
      </c>
    </row>
    <row r="1288" spans="1:8" x14ac:dyDescent="0.25">
      <c r="A1288" t="s">
        <v>1710</v>
      </c>
      <c r="B1288" t="s">
        <v>1750</v>
      </c>
      <c r="C1288" t="s">
        <v>1698</v>
      </c>
      <c r="D1288" t="s">
        <v>1842</v>
      </c>
      <c r="E1288" t="s">
        <v>1891</v>
      </c>
      <c r="F1288" t="s">
        <v>2062</v>
      </c>
      <c r="G1288" t="s">
        <v>2054</v>
      </c>
      <c r="H1288" t="s">
        <v>1955</v>
      </c>
    </row>
    <row r="1289" spans="1:8" x14ac:dyDescent="0.25">
      <c r="A1289" t="s">
        <v>1711</v>
      </c>
      <c r="B1289" t="s">
        <v>1751</v>
      </c>
      <c r="C1289" t="s">
        <v>1679</v>
      </c>
      <c r="D1289" t="s">
        <v>1843</v>
      </c>
      <c r="E1289" t="s">
        <v>2995</v>
      </c>
      <c r="F1289" t="s">
        <v>2063</v>
      </c>
      <c r="G1289" t="s">
        <v>2055</v>
      </c>
      <c r="H1289" t="s">
        <v>2008</v>
      </c>
    </row>
    <row r="1290" spans="1:8" x14ac:dyDescent="0.25">
      <c r="A1290" t="s">
        <v>2438</v>
      </c>
      <c r="B1290" t="s">
        <v>2969</v>
      </c>
      <c r="C1290" t="s">
        <v>1680</v>
      </c>
      <c r="D1290" t="s">
        <v>1844</v>
      </c>
      <c r="E1290" t="s">
        <v>1935</v>
      </c>
      <c r="F1290" t="s">
        <v>2064</v>
      </c>
      <c r="G1290" t="s">
        <v>2056</v>
      </c>
      <c r="H1290" t="s">
        <v>2011</v>
      </c>
    </row>
    <row r="1291" spans="1:8" x14ac:dyDescent="0.25">
      <c r="A1291" t="s">
        <v>1712</v>
      </c>
      <c r="B1291" t="s">
        <v>1752</v>
      </c>
      <c r="C1291" t="s">
        <v>1682</v>
      </c>
      <c r="D1291" t="s">
        <v>1846</v>
      </c>
      <c r="E1291" t="s">
        <v>1942</v>
      </c>
      <c r="F1291" t="s">
        <v>3064</v>
      </c>
      <c r="G1291" t="s">
        <v>3146</v>
      </c>
      <c r="H1291" t="s">
        <v>1965</v>
      </c>
    </row>
    <row r="1292" spans="1:8" x14ac:dyDescent="0.25">
      <c r="A1292" t="s">
        <v>1713</v>
      </c>
      <c r="B1292" t="s">
        <v>1753</v>
      </c>
      <c r="C1292" t="s">
        <v>1683</v>
      </c>
      <c r="D1292" t="s">
        <v>1847</v>
      </c>
      <c r="E1292" t="s">
        <v>1909</v>
      </c>
      <c r="F1292" t="s">
        <v>2065</v>
      </c>
      <c r="G1292" t="s">
        <v>2057</v>
      </c>
      <c r="H1292" t="s">
        <v>1966</v>
      </c>
    </row>
    <row r="1293" spans="1:8" x14ac:dyDescent="0.25">
      <c r="A1293" t="s">
        <v>1714</v>
      </c>
      <c r="B1293" t="s">
        <v>1754</v>
      </c>
      <c r="C1293" t="s">
        <v>1685</v>
      </c>
      <c r="D1293" t="s">
        <v>1848</v>
      </c>
      <c r="E1293" t="s">
        <v>2997</v>
      </c>
      <c r="F1293" t="s">
        <v>2066</v>
      </c>
      <c r="G1293" t="s">
        <v>2058</v>
      </c>
      <c r="H1293" t="s">
        <v>1967</v>
      </c>
    </row>
    <row r="1294" spans="1:8" x14ac:dyDescent="0.25">
      <c r="A1294" t="s">
        <v>1715</v>
      </c>
      <c r="B1294" t="s">
        <v>1755</v>
      </c>
      <c r="C1294" t="s">
        <v>1686</v>
      </c>
      <c r="D1294" t="s">
        <v>1849</v>
      </c>
      <c r="E1294" t="s">
        <v>2999</v>
      </c>
      <c r="F1294" t="s">
        <v>2067</v>
      </c>
      <c r="G1294" t="s">
        <v>2059</v>
      </c>
      <c r="H1294" t="s">
        <v>1968</v>
      </c>
    </row>
    <row r="1295" spans="1:8" x14ac:dyDescent="0.25">
      <c r="A1295" t="s">
        <v>1716</v>
      </c>
      <c r="B1295" t="s">
        <v>1757</v>
      </c>
      <c r="C1295" t="s">
        <v>1687</v>
      </c>
      <c r="D1295" t="s">
        <v>1851</v>
      </c>
      <c r="E1295" t="s">
        <v>3144</v>
      </c>
      <c r="F1295" t="s">
        <v>2068</v>
      </c>
      <c r="G1295" t="s">
        <v>2060</v>
      </c>
      <c r="H1295" t="s">
        <v>1969</v>
      </c>
    </row>
    <row r="1296" spans="1:8" x14ac:dyDescent="0.25">
      <c r="A1296" t="s">
        <v>1717</v>
      </c>
      <c r="B1296" t="s">
        <v>1758</v>
      </c>
      <c r="C1296" t="s">
        <v>2429</v>
      </c>
      <c r="D1296" t="s">
        <v>1852</v>
      </c>
      <c r="E1296" t="s">
        <v>3000</v>
      </c>
      <c r="F1296" t="s">
        <v>2069</v>
      </c>
      <c r="G1296" t="s">
        <v>2061</v>
      </c>
      <c r="H1296" t="s">
        <v>1970</v>
      </c>
    </row>
    <row r="1297" spans="1:8" x14ac:dyDescent="0.25">
      <c r="A1297" t="s">
        <v>1718</v>
      </c>
      <c r="B1297" t="s">
        <v>2456</v>
      </c>
      <c r="C1297" t="s">
        <v>1688</v>
      </c>
      <c r="D1297" t="s">
        <v>1853</v>
      </c>
      <c r="E1297" t="s">
        <v>3001</v>
      </c>
      <c r="F1297" t="s">
        <v>2071</v>
      </c>
      <c r="G1297" t="s">
        <v>2062</v>
      </c>
      <c r="H1297" t="s">
        <v>1971</v>
      </c>
    </row>
    <row r="1298" spans="1:8" x14ac:dyDescent="0.25">
      <c r="A1298" t="s">
        <v>2439</v>
      </c>
      <c r="B1298" t="s">
        <v>1759</v>
      </c>
      <c r="C1298" t="s">
        <v>1689</v>
      </c>
      <c r="D1298" t="s">
        <v>1854</v>
      </c>
      <c r="E1298" t="s">
        <v>1901</v>
      </c>
      <c r="F1298" t="s">
        <v>3299</v>
      </c>
      <c r="G1298" t="s">
        <v>2063</v>
      </c>
      <c r="H1298" t="s">
        <v>1976</v>
      </c>
    </row>
    <row r="1299" spans="1:8" x14ac:dyDescent="0.25">
      <c r="A1299" t="s">
        <v>1719</v>
      </c>
      <c r="B1299" t="s">
        <v>1760</v>
      </c>
      <c r="C1299" t="s">
        <v>1690</v>
      </c>
      <c r="D1299" t="s">
        <v>1856</v>
      </c>
      <c r="E1299" t="s">
        <v>2477</v>
      </c>
      <c r="F1299" t="s">
        <v>2072</v>
      </c>
      <c r="G1299" t="s">
        <v>2064</v>
      </c>
      <c r="H1299" t="s">
        <v>1975</v>
      </c>
    </row>
    <row r="1300" spans="1:8" x14ac:dyDescent="0.25">
      <c r="A1300" t="s">
        <v>1721</v>
      </c>
      <c r="B1300" t="s">
        <v>2970</v>
      </c>
      <c r="C1300" t="s">
        <v>1691</v>
      </c>
      <c r="D1300" t="s">
        <v>1858</v>
      </c>
      <c r="E1300" t="s">
        <v>1902</v>
      </c>
      <c r="F1300" t="s">
        <v>2073</v>
      </c>
      <c r="G1300" t="s">
        <v>3064</v>
      </c>
      <c r="H1300" t="s">
        <v>1977</v>
      </c>
    </row>
    <row r="1301" spans="1:8" x14ac:dyDescent="0.25">
      <c r="A1301" t="s">
        <v>2440</v>
      </c>
      <c r="B1301" t="s">
        <v>2457</v>
      </c>
      <c r="C1301" t="s">
        <v>2430</v>
      </c>
      <c r="D1301" t="s">
        <v>1859</v>
      </c>
      <c r="E1301" t="s">
        <v>1903</v>
      </c>
      <c r="F1301" t="s">
        <v>2074</v>
      </c>
      <c r="G1301" t="s">
        <v>2065</v>
      </c>
      <c r="H1301" t="s">
        <v>2493</v>
      </c>
    </row>
    <row r="1302" spans="1:8" x14ac:dyDescent="0.25">
      <c r="A1302" t="s">
        <v>2441</v>
      </c>
      <c r="B1302" t="s">
        <v>2971</v>
      </c>
      <c r="C1302" t="s">
        <v>1692</v>
      </c>
      <c r="D1302" t="s">
        <v>1860</v>
      </c>
      <c r="E1302" t="s">
        <v>2478</v>
      </c>
      <c r="F1302" t="s">
        <v>2075</v>
      </c>
      <c r="G1302" t="s">
        <v>2066</v>
      </c>
      <c r="H1302" t="s">
        <v>1978</v>
      </c>
    </row>
    <row r="1303" spans="1:8" x14ac:dyDescent="0.25">
      <c r="A1303" t="s">
        <v>2442</v>
      </c>
      <c r="B1303" t="s">
        <v>1762</v>
      </c>
      <c r="C1303" t="s">
        <v>1693</v>
      </c>
      <c r="D1303" t="s">
        <v>1862</v>
      </c>
      <c r="E1303" t="s">
        <v>1907</v>
      </c>
      <c r="F1303" t="s">
        <v>2077</v>
      </c>
      <c r="G1303" t="s">
        <v>2067</v>
      </c>
      <c r="H1303" t="s">
        <v>1979</v>
      </c>
    </row>
    <row r="1304" spans="1:8" x14ac:dyDescent="0.25">
      <c r="A1304" t="s">
        <v>2443</v>
      </c>
      <c r="B1304" t="s">
        <v>1763</v>
      </c>
      <c r="C1304" t="s">
        <v>1694</v>
      </c>
      <c r="D1304" t="s">
        <v>1863</v>
      </c>
      <c r="E1304" t="s">
        <v>1908</v>
      </c>
      <c r="F1304" t="s">
        <v>2078</v>
      </c>
      <c r="G1304" t="s">
        <v>2068</v>
      </c>
      <c r="H1304" t="s">
        <v>1980</v>
      </c>
    </row>
    <row r="1305" spans="1:8" x14ac:dyDescent="0.25">
      <c r="A1305" t="s">
        <v>1722</v>
      </c>
      <c r="B1305" t="s">
        <v>1764</v>
      </c>
      <c r="C1305" t="s">
        <v>1696</v>
      </c>
      <c r="D1305" t="s">
        <v>1864</v>
      </c>
      <c r="E1305" t="s">
        <v>2479</v>
      </c>
      <c r="F1305" t="s">
        <v>2079</v>
      </c>
      <c r="G1305" t="s">
        <v>2069</v>
      </c>
      <c r="H1305" t="s">
        <v>1983</v>
      </c>
    </row>
    <row r="1306" spans="1:8" x14ac:dyDescent="0.25">
      <c r="A1306" t="s">
        <v>1723</v>
      </c>
      <c r="B1306" t="s">
        <v>1767</v>
      </c>
      <c r="C1306" t="s">
        <v>1697</v>
      </c>
      <c r="D1306" t="s">
        <v>1873</v>
      </c>
      <c r="E1306" t="s">
        <v>1911</v>
      </c>
      <c r="F1306" t="s">
        <v>2080</v>
      </c>
      <c r="G1306" t="s">
        <v>2071</v>
      </c>
      <c r="H1306" t="s">
        <v>1981</v>
      </c>
    </row>
    <row r="1307" spans="1:8" x14ac:dyDescent="0.25">
      <c r="A1307" t="s">
        <v>1724</v>
      </c>
      <c r="B1307" t="s">
        <v>1769</v>
      </c>
      <c r="C1307" t="s">
        <v>1699</v>
      </c>
      <c r="D1307" t="s">
        <v>1865</v>
      </c>
      <c r="E1307" t="s">
        <v>2480</v>
      </c>
      <c r="F1307" t="s">
        <v>2081</v>
      </c>
      <c r="G1307" t="s">
        <v>3299</v>
      </c>
      <c r="H1307" t="s">
        <v>2495</v>
      </c>
    </row>
    <row r="1308" spans="1:8" x14ac:dyDescent="0.25">
      <c r="A1308" t="s">
        <v>1725</v>
      </c>
      <c r="B1308" t="s">
        <v>1772</v>
      </c>
      <c r="C1308" t="s">
        <v>1700</v>
      </c>
      <c r="D1308" t="s">
        <v>2992</v>
      </c>
      <c r="E1308" t="s">
        <v>2481</v>
      </c>
      <c r="F1308" t="s">
        <v>2082</v>
      </c>
      <c r="G1308" t="s">
        <v>2072</v>
      </c>
      <c r="H1308" t="s">
        <v>2496</v>
      </c>
    </row>
    <row r="1309" spans="1:8" x14ac:dyDescent="0.25">
      <c r="A1309" t="s">
        <v>2444</v>
      </c>
      <c r="B1309" t="s">
        <v>1774</v>
      </c>
      <c r="C1309" t="s">
        <v>2431</v>
      </c>
      <c r="D1309" t="s">
        <v>1867</v>
      </c>
      <c r="E1309" t="s">
        <v>2482</v>
      </c>
      <c r="F1309" t="s">
        <v>2084</v>
      </c>
      <c r="G1309" t="s">
        <v>2073</v>
      </c>
      <c r="H1309" t="s">
        <v>2513</v>
      </c>
    </row>
    <row r="1310" spans="1:8" x14ac:dyDescent="0.25">
      <c r="A1310" t="s">
        <v>2445</v>
      </c>
      <c r="B1310" t="s">
        <v>2459</v>
      </c>
      <c r="C1310" t="s">
        <v>1701</v>
      </c>
      <c r="D1310" t="s">
        <v>1868</v>
      </c>
      <c r="E1310" t="s">
        <v>1912</v>
      </c>
      <c r="F1310" t="s">
        <v>2085</v>
      </c>
      <c r="G1310" t="s">
        <v>2074</v>
      </c>
      <c r="H1310" t="s">
        <v>2521</v>
      </c>
    </row>
    <row r="1311" spans="1:8" x14ac:dyDescent="0.25">
      <c r="A1311" t="s">
        <v>2947</v>
      </c>
      <c r="B1311" t="s">
        <v>1775</v>
      </c>
      <c r="C1311" t="s">
        <v>1702</v>
      </c>
      <c r="D1311" t="s">
        <v>2468</v>
      </c>
      <c r="E1311" t="s">
        <v>2483</v>
      </c>
      <c r="F1311" t="s">
        <v>2086</v>
      </c>
      <c r="G1311" t="s">
        <v>2075</v>
      </c>
      <c r="H1311" t="s">
        <v>2522</v>
      </c>
    </row>
    <row r="1312" spans="1:8" x14ac:dyDescent="0.25">
      <c r="A1312" t="s">
        <v>2948</v>
      </c>
      <c r="B1312" t="s">
        <v>1776</v>
      </c>
      <c r="C1312" t="s">
        <v>2432</v>
      </c>
      <c r="D1312" t="s">
        <v>2469</v>
      </c>
      <c r="E1312" t="s">
        <v>1913</v>
      </c>
      <c r="F1312" t="s">
        <v>2087</v>
      </c>
      <c r="G1312" t="s">
        <v>2077</v>
      </c>
      <c r="H1312" t="s">
        <v>2525</v>
      </c>
    </row>
    <row r="1313" spans="1:8" x14ac:dyDescent="0.25">
      <c r="A1313" t="s">
        <v>2949</v>
      </c>
      <c r="B1313" t="s">
        <v>1777</v>
      </c>
      <c r="C1313" t="s">
        <v>1703</v>
      </c>
      <c r="D1313" t="s">
        <v>2470</v>
      </c>
      <c r="E1313" t="s">
        <v>1914</v>
      </c>
      <c r="F1313" t="s">
        <v>2088</v>
      </c>
      <c r="G1313" t="s">
        <v>2078</v>
      </c>
      <c r="H1313" t="s">
        <v>2526</v>
      </c>
    </row>
    <row r="1314" spans="1:8" x14ac:dyDescent="0.25">
      <c r="A1314" t="s">
        <v>2950</v>
      </c>
      <c r="B1314" t="s">
        <v>1781</v>
      </c>
      <c r="C1314" t="s">
        <v>2433</v>
      </c>
      <c r="D1314" t="s">
        <v>2472</v>
      </c>
      <c r="E1314" t="s">
        <v>1915</v>
      </c>
      <c r="F1314" t="s">
        <v>2089</v>
      </c>
      <c r="G1314" t="s">
        <v>2079</v>
      </c>
      <c r="H1314" t="s">
        <v>2527</v>
      </c>
    </row>
    <row r="1315" spans="1:8" x14ac:dyDescent="0.25">
      <c r="A1315" t="s">
        <v>2951</v>
      </c>
      <c r="B1315" t="s">
        <v>1803</v>
      </c>
      <c r="C1315" t="s">
        <v>2434</v>
      </c>
      <c r="D1315" t="s">
        <v>2993</v>
      </c>
      <c r="E1315" t="s">
        <v>1916</v>
      </c>
      <c r="F1315" t="s">
        <v>2091</v>
      </c>
      <c r="G1315" t="s">
        <v>2080</v>
      </c>
      <c r="H1315" t="s">
        <v>2528</v>
      </c>
    </row>
    <row r="1316" spans="1:8" x14ac:dyDescent="0.25">
      <c r="A1316" t="s">
        <v>2952</v>
      </c>
      <c r="B1316" t="s">
        <v>1783</v>
      </c>
      <c r="C1316" t="s">
        <v>1704</v>
      </c>
      <c r="D1316" t="s">
        <v>3266</v>
      </c>
      <c r="E1316" t="s">
        <v>1917</v>
      </c>
      <c r="F1316" t="s">
        <v>2092</v>
      </c>
      <c r="G1316" t="s">
        <v>2081</v>
      </c>
      <c r="H1316" t="s">
        <v>3022</v>
      </c>
    </row>
    <row r="1317" spans="1:8" x14ac:dyDescent="0.25">
      <c r="A1317" t="s">
        <v>1726</v>
      </c>
      <c r="B1317" t="s">
        <v>1786</v>
      </c>
      <c r="C1317" t="s">
        <v>1705</v>
      </c>
      <c r="D1317" t="s">
        <v>3143</v>
      </c>
      <c r="E1317" t="s">
        <v>1918</v>
      </c>
      <c r="F1317" t="s">
        <v>2093</v>
      </c>
      <c r="G1317" t="s">
        <v>2082</v>
      </c>
      <c r="H1317" t="s">
        <v>3023</v>
      </c>
    </row>
    <row r="1318" spans="1:8" x14ac:dyDescent="0.25">
      <c r="A1318" t="s">
        <v>1727</v>
      </c>
      <c r="B1318" t="s">
        <v>1778</v>
      </c>
      <c r="C1318" t="s">
        <v>1706</v>
      </c>
      <c r="D1318" t="s">
        <v>3267</v>
      </c>
      <c r="E1318" t="s">
        <v>2485</v>
      </c>
      <c r="F1318" t="s">
        <v>2094</v>
      </c>
      <c r="G1318" t="s">
        <v>2084</v>
      </c>
      <c r="H1318" t="s">
        <v>3335</v>
      </c>
    </row>
    <row r="1319" spans="1:8" x14ac:dyDescent="0.25">
      <c r="A1319" t="s">
        <v>1728</v>
      </c>
      <c r="B1319" t="s">
        <v>1780</v>
      </c>
      <c r="C1319" t="s">
        <v>1707</v>
      </c>
      <c r="D1319" t="s">
        <v>2994</v>
      </c>
      <c r="E1319" t="s">
        <v>3006</v>
      </c>
      <c r="F1319" t="s">
        <v>2095</v>
      </c>
      <c r="G1319" t="s">
        <v>2085</v>
      </c>
      <c r="H1319" t="s">
        <v>3147</v>
      </c>
    </row>
    <row r="1320" spans="1:8" x14ac:dyDescent="0.25">
      <c r="A1320" t="s">
        <v>1729</v>
      </c>
      <c r="B1320" t="s">
        <v>1809</v>
      </c>
      <c r="C1320" t="s">
        <v>2435</v>
      </c>
      <c r="D1320" t="s">
        <v>1869</v>
      </c>
      <c r="E1320" t="s">
        <v>3007</v>
      </c>
      <c r="G1320" t="s">
        <v>2086</v>
      </c>
      <c r="H1320" t="s">
        <v>3337</v>
      </c>
    </row>
    <row r="1321" spans="1:8" x14ac:dyDescent="0.25">
      <c r="A1321" t="s">
        <v>1730</v>
      </c>
      <c r="B1321" t="s">
        <v>1790</v>
      </c>
      <c r="C1321" t="s">
        <v>2436</v>
      </c>
      <c r="D1321" t="s">
        <v>1870</v>
      </c>
      <c r="E1321" t="s">
        <v>3008</v>
      </c>
      <c r="G1321" t="s">
        <v>2087</v>
      </c>
      <c r="H1321" t="s">
        <v>2531</v>
      </c>
    </row>
    <row r="1322" spans="1:8" x14ac:dyDescent="0.25">
      <c r="A1322" t="s">
        <v>1731</v>
      </c>
      <c r="B1322" t="s">
        <v>1793</v>
      </c>
      <c r="C1322" t="s">
        <v>2437</v>
      </c>
      <c r="D1322" t="s">
        <v>1871</v>
      </c>
      <c r="E1322" t="s">
        <v>3009</v>
      </c>
      <c r="G1322" t="s">
        <v>2088</v>
      </c>
      <c r="H1322" t="s">
        <v>2532</v>
      </c>
    </row>
    <row r="1323" spans="1:8" x14ac:dyDescent="0.25">
      <c r="A1323" t="s">
        <v>1732</v>
      </c>
      <c r="B1323" t="s">
        <v>1830</v>
      </c>
      <c r="C1323" t="s">
        <v>1708</v>
      </c>
      <c r="D1323" t="s">
        <v>1872</v>
      </c>
      <c r="E1323" t="s">
        <v>3010</v>
      </c>
      <c r="G1323" t="s">
        <v>2089</v>
      </c>
      <c r="H1323" t="s">
        <v>3148</v>
      </c>
    </row>
    <row r="1324" spans="1:8" x14ac:dyDescent="0.25">
      <c r="A1324" t="s">
        <v>1733</v>
      </c>
      <c r="B1324" t="s">
        <v>2972</v>
      </c>
      <c r="C1324" t="s">
        <v>1709</v>
      </c>
      <c r="D1324" t="s">
        <v>1874</v>
      </c>
      <c r="E1324" t="s">
        <v>1919</v>
      </c>
      <c r="G1324" t="s">
        <v>2091</v>
      </c>
      <c r="H1324" t="s">
        <v>2533</v>
      </c>
    </row>
    <row r="1325" spans="1:8" x14ac:dyDescent="0.25">
      <c r="A1325" t="s">
        <v>1734</v>
      </c>
      <c r="B1325" t="s">
        <v>2973</v>
      </c>
      <c r="C1325" t="s">
        <v>1710</v>
      </c>
      <c r="D1325" t="s">
        <v>1875</v>
      </c>
      <c r="E1325" t="s">
        <v>3011</v>
      </c>
      <c r="G1325" t="s">
        <v>2092</v>
      </c>
      <c r="H1325" t="s">
        <v>2534</v>
      </c>
    </row>
    <row r="1326" spans="1:8" x14ac:dyDescent="0.25">
      <c r="A1326" t="s">
        <v>1735</v>
      </c>
      <c r="B1326" t="s">
        <v>2974</v>
      </c>
      <c r="C1326" t="s">
        <v>1711</v>
      </c>
      <c r="D1326" t="s">
        <v>1876</v>
      </c>
      <c r="E1326" t="s">
        <v>3012</v>
      </c>
      <c r="G1326" t="s">
        <v>2093</v>
      </c>
      <c r="H1326" t="s">
        <v>2535</v>
      </c>
    </row>
    <row r="1327" spans="1:8" x14ac:dyDescent="0.25">
      <c r="A1327" t="s">
        <v>1736</v>
      </c>
      <c r="B1327" t="s">
        <v>2975</v>
      </c>
      <c r="C1327" t="s">
        <v>2438</v>
      </c>
      <c r="D1327" t="s">
        <v>1877</v>
      </c>
      <c r="E1327" t="s">
        <v>1921</v>
      </c>
      <c r="G1327" t="s">
        <v>2094</v>
      </c>
      <c r="H1327" t="s">
        <v>1990</v>
      </c>
    </row>
    <row r="1328" spans="1:8" x14ac:dyDescent="0.25">
      <c r="A1328" t="s">
        <v>1737</v>
      </c>
      <c r="B1328" t="s">
        <v>2977</v>
      </c>
      <c r="C1328" t="s">
        <v>1712</v>
      </c>
      <c r="D1328" t="s">
        <v>1878</v>
      </c>
      <c r="E1328" t="s">
        <v>1923</v>
      </c>
      <c r="G1328" t="s">
        <v>2095</v>
      </c>
      <c r="H1328" t="s">
        <v>1991</v>
      </c>
    </row>
    <row r="1329" spans="1:8" x14ac:dyDescent="0.25">
      <c r="A1329" t="s">
        <v>2953</v>
      </c>
      <c r="B1329" t="s">
        <v>2978</v>
      </c>
      <c r="C1329" t="s">
        <v>1713</v>
      </c>
      <c r="D1329" t="s">
        <v>1879</v>
      </c>
      <c r="E1329" t="s">
        <v>1924</v>
      </c>
      <c r="G1329" t="s">
        <v>2101</v>
      </c>
      <c r="H1329" t="s">
        <v>1992</v>
      </c>
    </row>
    <row r="1330" spans="1:8" x14ac:dyDescent="0.25">
      <c r="A1330" t="s">
        <v>2954</v>
      </c>
      <c r="B1330" t="s">
        <v>2979</v>
      </c>
      <c r="C1330" t="s">
        <v>1714</v>
      </c>
      <c r="D1330" t="s">
        <v>1880</v>
      </c>
      <c r="E1330" t="s">
        <v>1925</v>
      </c>
      <c r="G1330" t="s">
        <v>2110</v>
      </c>
      <c r="H1330" t="s">
        <v>1993</v>
      </c>
    </row>
    <row r="1331" spans="1:8" x14ac:dyDescent="0.25">
      <c r="A1331" t="s">
        <v>2955</v>
      </c>
      <c r="B1331" t="s">
        <v>2980</v>
      </c>
      <c r="C1331" t="s">
        <v>1715</v>
      </c>
      <c r="D1331" t="s">
        <v>2476</v>
      </c>
      <c r="E1331" t="s">
        <v>3013</v>
      </c>
      <c r="G1331" t="s">
        <v>2119</v>
      </c>
      <c r="H1331" t="s">
        <v>1994</v>
      </c>
    </row>
    <row r="1332" spans="1:8" x14ac:dyDescent="0.25">
      <c r="A1332" t="s">
        <v>2956</v>
      </c>
      <c r="B1332" t="s">
        <v>2981</v>
      </c>
      <c r="C1332" t="s">
        <v>1716</v>
      </c>
      <c r="D1332" t="s">
        <v>1881</v>
      </c>
      <c r="E1332" t="s">
        <v>2486</v>
      </c>
      <c r="G1332" t="s">
        <v>2128</v>
      </c>
      <c r="H1332" t="s">
        <v>2000</v>
      </c>
    </row>
    <row r="1333" spans="1:8" x14ac:dyDescent="0.25">
      <c r="A1333" t="s">
        <v>2957</v>
      </c>
      <c r="B1333" t="s">
        <v>2982</v>
      </c>
      <c r="C1333" t="s">
        <v>1717</v>
      </c>
      <c r="D1333" t="s">
        <v>1883</v>
      </c>
      <c r="E1333" t="s">
        <v>3014</v>
      </c>
      <c r="H1333" t="s">
        <v>1995</v>
      </c>
    </row>
    <row r="1334" spans="1:8" x14ac:dyDescent="0.25">
      <c r="A1334" t="s">
        <v>2958</v>
      </c>
      <c r="B1334" t="s">
        <v>2983</v>
      </c>
      <c r="C1334" t="s">
        <v>1718</v>
      </c>
      <c r="D1334" t="s">
        <v>1884</v>
      </c>
      <c r="E1334" t="s">
        <v>1926</v>
      </c>
      <c r="H1334" t="s">
        <v>1996</v>
      </c>
    </row>
    <row r="1335" spans="1:8" x14ac:dyDescent="0.25">
      <c r="A1335" t="s">
        <v>1738</v>
      </c>
      <c r="B1335" t="s">
        <v>2984</v>
      </c>
      <c r="C1335" t="s">
        <v>1719</v>
      </c>
      <c r="D1335" t="s">
        <v>1885</v>
      </c>
      <c r="E1335" t="s">
        <v>3268</v>
      </c>
      <c r="H1335" t="s">
        <v>3025</v>
      </c>
    </row>
    <row r="1336" spans="1:8" x14ac:dyDescent="0.25">
      <c r="A1336" t="s">
        <v>1739</v>
      </c>
      <c r="B1336" t="s">
        <v>2986</v>
      </c>
      <c r="C1336" t="s">
        <v>1721</v>
      </c>
      <c r="D1336" t="s">
        <v>1886</v>
      </c>
      <c r="E1336" t="s">
        <v>3017</v>
      </c>
      <c r="H1336" t="s">
        <v>3027</v>
      </c>
    </row>
    <row r="1337" spans="1:8" x14ac:dyDescent="0.25">
      <c r="A1337" t="s">
        <v>1740</v>
      </c>
      <c r="B1337" t="s">
        <v>2987</v>
      </c>
      <c r="C1337" t="s">
        <v>2440</v>
      </c>
      <c r="D1337" t="s">
        <v>1887</v>
      </c>
      <c r="E1337" t="s">
        <v>3145</v>
      </c>
      <c r="H1337" t="s">
        <v>3029</v>
      </c>
    </row>
    <row r="1338" spans="1:8" x14ac:dyDescent="0.25">
      <c r="A1338" t="s">
        <v>1741</v>
      </c>
      <c r="B1338" t="s">
        <v>2460</v>
      </c>
      <c r="C1338" t="s">
        <v>2441</v>
      </c>
      <c r="D1338" t="s">
        <v>1888</v>
      </c>
      <c r="E1338" t="s">
        <v>3177</v>
      </c>
      <c r="H1338" t="s">
        <v>3030</v>
      </c>
    </row>
    <row r="1339" spans="1:8" x14ac:dyDescent="0.25">
      <c r="A1339" t="s">
        <v>1742</v>
      </c>
      <c r="B1339" t="s">
        <v>1782</v>
      </c>
      <c r="C1339" t="s">
        <v>2443</v>
      </c>
      <c r="D1339" t="s">
        <v>1889</v>
      </c>
      <c r="E1339" t="s">
        <v>1928</v>
      </c>
      <c r="H1339" t="s">
        <v>3031</v>
      </c>
    </row>
    <row r="1340" spans="1:8" x14ac:dyDescent="0.25">
      <c r="A1340" t="s">
        <v>1743</v>
      </c>
      <c r="B1340" t="s">
        <v>1785</v>
      </c>
      <c r="C1340" t="s">
        <v>1722</v>
      </c>
      <c r="D1340" t="s">
        <v>1890</v>
      </c>
      <c r="E1340" t="s">
        <v>1930</v>
      </c>
      <c r="H1340" t="s">
        <v>3032</v>
      </c>
    </row>
    <row r="1341" spans="1:8" x14ac:dyDescent="0.25">
      <c r="A1341" t="s">
        <v>2959</v>
      </c>
      <c r="B1341" t="s">
        <v>1787</v>
      </c>
      <c r="C1341" t="s">
        <v>1723</v>
      </c>
      <c r="D1341" t="s">
        <v>1891</v>
      </c>
      <c r="E1341" t="s">
        <v>1931</v>
      </c>
      <c r="H1341" t="s">
        <v>3033</v>
      </c>
    </row>
    <row r="1342" spans="1:8" x14ac:dyDescent="0.25">
      <c r="A1342" t="s">
        <v>2446</v>
      </c>
      <c r="B1342" t="s">
        <v>1788</v>
      </c>
      <c r="C1342" t="s">
        <v>1724</v>
      </c>
      <c r="D1342" t="s">
        <v>1942</v>
      </c>
      <c r="E1342" t="s">
        <v>1932</v>
      </c>
      <c r="H1342" t="s">
        <v>3035</v>
      </c>
    </row>
    <row r="1343" spans="1:8" x14ac:dyDescent="0.25">
      <c r="A1343" t="s">
        <v>2960</v>
      </c>
      <c r="B1343" t="s">
        <v>1789</v>
      </c>
      <c r="C1343" t="s">
        <v>1725</v>
      </c>
      <c r="D1343" t="s">
        <v>1909</v>
      </c>
      <c r="E1343" t="s">
        <v>1933</v>
      </c>
      <c r="H1343" t="s">
        <v>3037</v>
      </c>
    </row>
    <row r="1344" spans="1:8" x14ac:dyDescent="0.25">
      <c r="A1344" t="s">
        <v>2447</v>
      </c>
      <c r="B1344" t="s">
        <v>3139</v>
      </c>
      <c r="C1344" t="s">
        <v>2444</v>
      </c>
      <c r="D1344" t="s">
        <v>2997</v>
      </c>
      <c r="E1344" t="s">
        <v>1934</v>
      </c>
      <c r="H1344" t="s">
        <v>3039</v>
      </c>
    </row>
    <row r="1345" spans="1:8" x14ac:dyDescent="0.25">
      <c r="A1345" t="s">
        <v>1744</v>
      </c>
      <c r="B1345" t="s">
        <v>3140</v>
      </c>
      <c r="C1345" t="s">
        <v>2445</v>
      </c>
      <c r="D1345" t="s">
        <v>2999</v>
      </c>
      <c r="E1345" t="s">
        <v>1936</v>
      </c>
      <c r="H1345" t="s">
        <v>3040</v>
      </c>
    </row>
    <row r="1346" spans="1:8" x14ac:dyDescent="0.25">
      <c r="A1346" t="s">
        <v>1745</v>
      </c>
      <c r="B1346" t="s">
        <v>1791</v>
      </c>
      <c r="C1346" t="s">
        <v>2947</v>
      </c>
      <c r="D1346" t="s">
        <v>3144</v>
      </c>
      <c r="E1346" t="s">
        <v>1937</v>
      </c>
      <c r="H1346" t="s">
        <v>3041</v>
      </c>
    </row>
    <row r="1347" spans="1:8" x14ac:dyDescent="0.25">
      <c r="A1347" t="s">
        <v>2961</v>
      </c>
      <c r="B1347" t="s">
        <v>1794</v>
      </c>
      <c r="C1347" t="s">
        <v>2948</v>
      </c>
      <c r="D1347" t="s">
        <v>3001</v>
      </c>
      <c r="E1347" t="s">
        <v>1938</v>
      </c>
      <c r="H1347" t="s">
        <v>2036</v>
      </c>
    </row>
    <row r="1348" spans="1:8" x14ac:dyDescent="0.25">
      <c r="A1348" t="s">
        <v>2448</v>
      </c>
      <c r="B1348" t="s">
        <v>1795</v>
      </c>
      <c r="C1348" t="s">
        <v>2949</v>
      </c>
      <c r="D1348" t="s">
        <v>1901</v>
      </c>
      <c r="E1348" t="s">
        <v>1939</v>
      </c>
      <c r="H1348" t="s">
        <v>2038</v>
      </c>
    </row>
    <row r="1349" spans="1:8" x14ac:dyDescent="0.25">
      <c r="A1349" t="s">
        <v>2962</v>
      </c>
      <c r="B1349" t="s">
        <v>2461</v>
      </c>
      <c r="C1349" t="s">
        <v>2950</v>
      </c>
      <c r="D1349" t="s">
        <v>2477</v>
      </c>
      <c r="E1349" t="s">
        <v>1940</v>
      </c>
      <c r="H1349" t="s">
        <v>2040</v>
      </c>
    </row>
    <row r="1350" spans="1:8" x14ac:dyDescent="0.25">
      <c r="A1350" t="s">
        <v>2449</v>
      </c>
      <c r="B1350" t="s">
        <v>1796</v>
      </c>
      <c r="C1350" t="s">
        <v>2951</v>
      </c>
      <c r="D1350" t="s">
        <v>1902</v>
      </c>
      <c r="E1350" t="s">
        <v>1941</v>
      </c>
      <c r="H1350" t="s">
        <v>2001</v>
      </c>
    </row>
    <row r="1351" spans="1:8" x14ac:dyDescent="0.25">
      <c r="A1351" t="s">
        <v>2963</v>
      </c>
      <c r="B1351" t="s">
        <v>1797</v>
      </c>
      <c r="C1351" t="s">
        <v>2952</v>
      </c>
      <c r="D1351" t="s">
        <v>1903</v>
      </c>
      <c r="E1351" t="s">
        <v>1943</v>
      </c>
      <c r="H1351" t="s">
        <v>3044</v>
      </c>
    </row>
    <row r="1352" spans="1:8" x14ac:dyDescent="0.25">
      <c r="A1352" t="s">
        <v>2450</v>
      </c>
      <c r="B1352" t="s">
        <v>1798</v>
      </c>
      <c r="C1352" t="s">
        <v>1726</v>
      </c>
      <c r="D1352" t="s">
        <v>2478</v>
      </c>
      <c r="E1352" t="s">
        <v>1944</v>
      </c>
      <c r="H1352" t="s">
        <v>3045</v>
      </c>
    </row>
    <row r="1353" spans="1:8" x14ac:dyDescent="0.25">
      <c r="A1353" t="s">
        <v>2964</v>
      </c>
      <c r="B1353" t="s">
        <v>1845</v>
      </c>
      <c r="C1353" t="s">
        <v>1727</v>
      </c>
      <c r="D1353" t="s">
        <v>1907</v>
      </c>
      <c r="E1353" t="s">
        <v>1945</v>
      </c>
      <c r="H1353" t="s">
        <v>2042</v>
      </c>
    </row>
    <row r="1354" spans="1:8" x14ac:dyDescent="0.25">
      <c r="A1354" t="s">
        <v>2451</v>
      </c>
      <c r="B1354" t="s">
        <v>2463</v>
      </c>
      <c r="C1354" t="s">
        <v>1728</v>
      </c>
      <c r="D1354" t="s">
        <v>1908</v>
      </c>
      <c r="E1354" t="s">
        <v>1946</v>
      </c>
      <c r="H1354" t="s">
        <v>2044</v>
      </c>
    </row>
    <row r="1355" spans="1:8" x14ac:dyDescent="0.25">
      <c r="A1355" t="s">
        <v>2965</v>
      </c>
      <c r="B1355" t="s">
        <v>1800</v>
      </c>
      <c r="C1355" t="s">
        <v>1729</v>
      </c>
      <c r="D1355" t="s">
        <v>2479</v>
      </c>
      <c r="E1355" t="s">
        <v>1948</v>
      </c>
      <c r="H1355" t="s">
        <v>3046</v>
      </c>
    </row>
    <row r="1356" spans="1:8" x14ac:dyDescent="0.25">
      <c r="A1356" t="s">
        <v>2966</v>
      </c>
      <c r="B1356" t="s">
        <v>1802</v>
      </c>
      <c r="C1356" t="s">
        <v>1730</v>
      </c>
      <c r="D1356" t="s">
        <v>1911</v>
      </c>
      <c r="E1356" t="s">
        <v>1949</v>
      </c>
      <c r="H1356" t="s">
        <v>3048</v>
      </c>
    </row>
    <row r="1357" spans="1:8" x14ac:dyDescent="0.25">
      <c r="A1357" t="s">
        <v>2452</v>
      </c>
      <c r="B1357" t="s">
        <v>1804</v>
      </c>
      <c r="C1357" t="s">
        <v>1731</v>
      </c>
      <c r="D1357" t="s">
        <v>2480</v>
      </c>
      <c r="E1357" t="s">
        <v>1951</v>
      </c>
      <c r="H1357" t="s">
        <v>3049</v>
      </c>
    </row>
    <row r="1358" spans="1:8" x14ac:dyDescent="0.25">
      <c r="A1358" t="s">
        <v>1746</v>
      </c>
      <c r="B1358" t="s">
        <v>1850</v>
      </c>
      <c r="C1358" t="s">
        <v>1732</v>
      </c>
      <c r="D1358" t="s">
        <v>2481</v>
      </c>
      <c r="E1358" t="s">
        <v>1952</v>
      </c>
      <c r="H1358" t="s">
        <v>3051</v>
      </c>
    </row>
    <row r="1359" spans="1:8" x14ac:dyDescent="0.25">
      <c r="A1359" t="s">
        <v>2967</v>
      </c>
      <c r="B1359" t="s">
        <v>1805</v>
      </c>
      <c r="C1359" t="s">
        <v>1733</v>
      </c>
      <c r="D1359" t="s">
        <v>2482</v>
      </c>
      <c r="E1359" t="s">
        <v>1953</v>
      </c>
      <c r="H1359" t="s">
        <v>3052</v>
      </c>
    </row>
    <row r="1360" spans="1:8" x14ac:dyDescent="0.25">
      <c r="A1360" t="s">
        <v>1747</v>
      </c>
      <c r="B1360" t="s">
        <v>1806</v>
      </c>
      <c r="C1360" t="s">
        <v>1734</v>
      </c>
      <c r="D1360" t="s">
        <v>1912</v>
      </c>
      <c r="E1360" t="s">
        <v>1954</v>
      </c>
      <c r="H1360" t="s">
        <v>3053</v>
      </c>
    </row>
    <row r="1361" spans="1:8" x14ac:dyDescent="0.25">
      <c r="A1361" t="s">
        <v>1748</v>
      </c>
      <c r="B1361" t="s">
        <v>1807</v>
      </c>
      <c r="C1361" t="s">
        <v>1735</v>
      </c>
      <c r="D1361" t="s">
        <v>2483</v>
      </c>
      <c r="E1361" t="s">
        <v>1955</v>
      </c>
      <c r="H1361" t="s">
        <v>3054</v>
      </c>
    </row>
    <row r="1362" spans="1:8" x14ac:dyDescent="0.25">
      <c r="A1362" t="s">
        <v>2453</v>
      </c>
      <c r="B1362" t="s">
        <v>1855</v>
      </c>
      <c r="C1362" t="s">
        <v>1736</v>
      </c>
      <c r="D1362" t="s">
        <v>1913</v>
      </c>
      <c r="E1362" t="s">
        <v>1957</v>
      </c>
      <c r="H1362" t="s">
        <v>3055</v>
      </c>
    </row>
    <row r="1363" spans="1:8" x14ac:dyDescent="0.25">
      <c r="A1363" t="s">
        <v>2968</v>
      </c>
      <c r="B1363" t="s">
        <v>2465</v>
      </c>
      <c r="C1363" t="s">
        <v>1737</v>
      </c>
      <c r="D1363" t="s">
        <v>1914</v>
      </c>
      <c r="E1363" t="s">
        <v>1958</v>
      </c>
      <c r="H1363" t="s">
        <v>3224</v>
      </c>
    </row>
    <row r="1364" spans="1:8" x14ac:dyDescent="0.25">
      <c r="A1364" t="s">
        <v>2454</v>
      </c>
      <c r="B1364" t="s">
        <v>1808</v>
      </c>
      <c r="C1364" t="s">
        <v>2953</v>
      </c>
      <c r="D1364" t="s">
        <v>1915</v>
      </c>
      <c r="E1364" t="s">
        <v>1960</v>
      </c>
      <c r="H1364" t="s">
        <v>3225</v>
      </c>
    </row>
    <row r="1365" spans="1:8" x14ac:dyDescent="0.25">
      <c r="A1365" t="s">
        <v>1749</v>
      </c>
      <c r="B1365" t="s">
        <v>1810</v>
      </c>
      <c r="C1365" t="s">
        <v>2954</v>
      </c>
      <c r="D1365" t="s">
        <v>1916</v>
      </c>
      <c r="E1365" t="s">
        <v>1961</v>
      </c>
      <c r="H1365" t="s">
        <v>3056</v>
      </c>
    </row>
    <row r="1366" spans="1:8" x14ac:dyDescent="0.25">
      <c r="A1366" t="s">
        <v>1750</v>
      </c>
      <c r="B1366" t="s">
        <v>1811</v>
      </c>
      <c r="C1366" t="s">
        <v>2955</v>
      </c>
      <c r="D1366" t="s">
        <v>1917</v>
      </c>
      <c r="E1366" t="s">
        <v>3020</v>
      </c>
      <c r="H1366" t="s">
        <v>3057</v>
      </c>
    </row>
    <row r="1367" spans="1:8" x14ac:dyDescent="0.25">
      <c r="A1367" t="s">
        <v>1751</v>
      </c>
      <c r="B1367" t="s">
        <v>1861</v>
      </c>
      <c r="C1367" t="s">
        <v>2957</v>
      </c>
      <c r="D1367" t="s">
        <v>1918</v>
      </c>
      <c r="E1367" t="s">
        <v>2008</v>
      </c>
      <c r="H1367" t="s">
        <v>3058</v>
      </c>
    </row>
    <row r="1368" spans="1:8" x14ac:dyDescent="0.25">
      <c r="A1368" t="s">
        <v>2969</v>
      </c>
      <c r="B1368" t="s">
        <v>1813</v>
      </c>
      <c r="C1368" t="s">
        <v>2958</v>
      </c>
      <c r="D1368" t="s">
        <v>2485</v>
      </c>
      <c r="E1368" t="s">
        <v>2011</v>
      </c>
      <c r="H1368" t="s">
        <v>3270</v>
      </c>
    </row>
    <row r="1369" spans="1:8" x14ac:dyDescent="0.25">
      <c r="A1369" t="s">
        <v>1752</v>
      </c>
      <c r="B1369" t="s">
        <v>1814</v>
      </c>
      <c r="C1369" t="s">
        <v>1738</v>
      </c>
      <c r="D1369" t="s">
        <v>3005</v>
      </c>
      <c r="E1369" t="s">
        <v>1965</v>
      </c>
      <c r="H1369" t="s">
        <v>3226</v>
      </c>
    </row>
    <row r="1370" spans="1:8" x14ac:dyDescent="0.25">
      <c r="A1370" t="s">
        <v>1753</v>
      </c>
      <c r="B1370" t="s">
        <v>1815</v>
      </c>
      <c r="C1370" t="s">
        <v>1739</v>
      </c>
      <c r="D1370" t="s">
        <v>3006</v>
      </c>
      <c r="E1370" t="s">
        <v>1966</v>
      </c>
      <c r="H1370" t="s">
        <v>3227</v>
      </c>
    </row>
    <row r="1371" spans="1:8" x14ac:dyDescent="0.25">
      <c r="A1371" t="s">
        <v>2455</v>
      </c>
      <c r="B1371" t="s">
        <v>1866</v>
      </c>
      <c r="C1371" t="s">
        <v>1740</v>
      </c>
      <c r="D1371" t="s">
        <v>3007</v>
      </c>
      <c r="E1371" t="s">
        <v>1967</v>
      </c>
      <c r="H1371" t="s">
        <v>3059</v>
      </c>
    </row>
    <row r="1372" spans="1:8" x14ac:dyDescent="0.25">
      <c r="A1372" t="s">
        <v>1754</v>
      </c>
      <c r="B1372" t="s">
        <v>2467</v>
      </c>
      <c r="C1372" t="s">
        <v>1741</v>
      </c>
      <c r="D1372" t="s">
        <v>3008</v>
      </c>
      <c r="E1372" t="s">
        <v>1968</v>
      </c>
      <c r="H1372" t="s">
        <v>3060</v>
      </c>
    </row>
    <row r="1373" spans="1:8" x14ac:dyDescent="0.25">
      <c r="A1373" t="s">
        <v>1755</v>
      </c>
      <c r="B1373" t="s">
        <v>1816</v>
      </c>
      <c r="C1373" t="s">
        <v>1742</v>
      </c>
      <c r="D1373" t="s">
        <v>3009</v>
      </c>
      <c r="E1373" t="s">
        <v>1969</v>
      </c>
      <c r="H1373" t="s">
        <v>3061</v>
      </c>
    </row>
    <row r="1374" spans="1:8" x14ac:dyDescent="0.25">
      <c r="A1374" t="s">
        <v>1757</v>
      </c>
      <c r="B1374" t="s">
        <v>1817</v>
      </c>
      <c r="C1374" t="s">
        <v>1743</v>
      </c>
      <c r="D1374" t="s">
        <v>3010</v>
      </c>
      <c r="E1374" t="s">
        <v>1970</v>
      </c>
      <c r="H1374" t="s">
        <v>3271</v>
      </c>
    </row>
    <row r="1375" spans="1:8" x14ac:dyDescent="0.25">
      <c r="A1375" t="s">
        <v>1758</v>
      </c>
      <c r="B1375" t="s">
        <v>1818</v>
      </c>
      <c r="C1375" t="s">
        <v>2959</v>
      </c>
      <c r="D1375" t="s">
        <v>1919</v>
      </c>
      <c r="E1375" t="s">
        <v>1971</v>
      </c>
      <c r="H1375" t="s">
        <v>1997</v>
      </c>
    </row>
    <row r="1376" spans="1:8" x14ac:dyDescent="0.25">
      <c r="A1376" t="s">
        <v>2456</v>
      </c>
      <c r="B1376" t="s">
        <v>1819</v>
      </c>
      <c r="C1376" t="s">
        <v>2446</v>
      </c>
      <c r="D1376" t="s">
        <v>3011</v>
      </c>
      <c r="E1376" t="s">
        <v>1976</v>
      </c>
      <c r="H1376" t="s">
        <v>1999</v>
      </c>
    </row>
    <row r="1377" spans="1:8" x14ac:dyDescent="0.25">
      <c r="A1377" t="s">
        <v>1759</v>
      </c>
      <c r="B1377" t="s">
        <v>2988</v>
      </c>
      <c r="C1377" t="s">
        <v>2960</v>
      </c>
      <c r="D1377" t="s">
        <v>3012</v>
      </c>
      <c r="E1377" t="s">
        <v>1975</v>
      </c>
      <c r="H1377" t="s">
        <v>2002</v>
      </c>
    </row>
    <row r="1378" spans="1:8" x14ac:dyDescent="0.25">
      <c r="A1378" t="s">
        <v>1760</v>
      </c>
      <c r="B1378" t="s">
        <v>2989</v>
      </c>
      <c r="C1378" t="s">
        <v>2447</v>
      </c>
      <c r="D1378" t="s">
        <v>1921</v>
      </c>
      <c r="E1378" t="s">
        <v>1977</v>
      </c>
      <c r="H1378" t="s">
        <v>2005</v>
      </c>
    </row>
    <row r="1379" spans="1:8" x14ac:dyDescent="0.25">
      <c r="A1379" t="s">
        <v>2970</v>
      </c>
      <c r="B1379" t="s">
        <v>1820</v>
      </c>
      <c r="C1379" t="s">
        <v>1744</v>
      </c>
      <c r="D1379" t="s">
        <v>1923</v>
      </c>
      <c r="E1379" t="s">
        <v>2493</v>
      </c>
      <c r="H1379" t="s">
        <v>3062</v>
      </c>
    </row>
    <row r="1380" spans="1:8" x14ac:dyDescent="0.25">
      <c r="A1380" t="s">
        <v>2457</v>
      </c>
      <c r="B1380" t="s">
        <v>1821</v>
      </c>
      <c r="C1380" t="s">
        <v>1745</v>
      </c>
      <c r="D1380" t="s">
        <v>1924</v>
      </c>
      <c r="E1380" t="s">
        <v>1978</v>
      </c>
      <c r="H1380" t="s">
        <v>2006</v>
      </c>
    </row>
    <row r="1381" spans="1:8" x14ac:dyDescent="0.25">
      <c r="A1381" t="s">
        <v>2971</v>
      </c>
      <c r="B1381" t="s">
        <v>1822</v>
      </c>
      <c r="C1381" t="s">
        <v>2961</v>
      </c>
      <c r="D1381" t="s">
        <v>1925</v>
      </c>
      <c r="E1381" t="s">
        <v>1979</v>
      </c>
      <c r="H1381" t="s">
        <v>2007</v>
      </c>
    </row>
    <row r="1382" spans="1:8" x14ac:dyDescent="0.25">
      <c r="A1382" t="s">
        <v>1762</v>
      </c>
      <c r="B1382" t="s">
        <v>1823</v>
      </c>
      <c r="C1382" t="s">
        <v>2448</v>
      </c>
      <c r="D1382" t="s">
        <v>3013</v>
      </c>
      <c r="E1382" t="s">
        <v>1980</v>
      </c>
      <c r="H1382" t="s">
        <v>2009</v>
      </c>
    </row>
    <row r="1383" spans="1:8" x14ac:dyDescent="0.25">
      <c r="A1383" t="s">
        <v>1812</v>
      </c>
      <c r="B1383" t="s">
        <v>1824</v>
      </c>
      <c r="C1383" t="s">
        <v>2962</v>
      </c>
      <c r="D1383" t="s">
        <v>2486</v>
      </c>
      <c r="E1383" t="s">
        <v>1983</v>
      </c>
      <c r="H1383" t="s">
        <v>2012</v>
      </c>
    </row>
    <row r="1384" spans="1:8" x14ac:dyDescent="0.25">
      <c r="A1384" t="s">
        <v>2458</v>
      </c>
      <c r="B1384" t="s">
        <v>3141</v>
      </c>
      <c r="C1384" t="s">
        <v>2963</v>
      </c>
      <c r="D1384" t="s">
        <v>3014</v>
      </c>
      <c r="E1384" t="s">
        <v>1981</v>
      </c>
      <c r="H1384" t="s">
        <v>2015</v>
      </c>
    </row>
    <row r="1385" spans="1:8" x14ac:dyDescent="0.25">
      <c r="A1385" t="s">
        <v>1763</v>
      </c>
      <c r="B1385" t="s">
        <v>1836</v>
      </c>
      <c r="C1385" t="s">
        <v>2964</v>
      </c>
      <c r="D1385" t="s">
        <v>3015</v>
      </c>
      <c r="E1385" t="s">
        <v>2513</v>
      </c>
      <c r="H1385" t="s">
        <v>2016</v>
      </c>
    </row>
    <row r="1386" spans="1:8" x14ac:dyDescent="0.25">
      <c r="A1386" t="s">
        <v>1764</v>
      </c>
      <c r="B1386" t="s">
        <v>2990</v>
      </c>
      <c r="C1386" t="s">
        <v>2965</v>
      </c>
      <c r="D1386" t="s">
        <v>1926</v>
      </c>
      <c r="E1386" t="s">
        <v>2521</v>
      </c>
      <c r="H1386" t="s">
        <v>2017</v>
      </c>
    </row>
    <row r="1387" spans="1:8" x14ac:dyDescent="0.25">
      <c r="A1387" t="s">
        <v>1767</v>
      </c>
      <c r="B1387" t="s">
        <v>1825</v>
      </c>
      <c r="C1387" t="s">
        <v>2966</v>
      </c>
      <c r="D1387" t="s">
        <v>1927</v>
      </c>
      <c r="E1387" t="s">
        <v>2522</v>
      </c>
      <c r="H1387" t="s">
        <v>2020</v>
      </c>
    </row>
    <row r="1388" spans="1:8" x14ac:dyDescent="0.25">
      <c r="A1388" t="s">
        <v>1768</v>
      </c>
      <c r="B1388" t="s">
        <v>2991</v>
      </c>
      <c r="C1388" t="s">
        <v>2452</v>
      </c>
      <c r="D1388" t="s">
        <v>3268</v>
      </c>
      <c r="E1388" t="s">
        <v>2525</v>
      </c>
      <c r="H1388" t="s">
        <v>2022</v>
      </c>
    </row>
    <row r="1389" spans="1:8" x14ac:dyDescent="0.25">
      <c r="A1389" t="s">
        <v>1769</v>
      </c>
      <c r="B1389" t="s">
        <v>1827</v>
      </c>
      <c r="C1389" t="s">
        <v>1746</v>
      </c>
      <c r="D1389" t="s">
        <v>3017</v>
      </c>
      <c r="E1389" t="s">
        <v>2526</v>
      </c>
      <c r="H1389" t="s">
        <v>2028</v>
      </c>
    </row>
    <row r="1390" spans="1:8" x14ac:dyDescent="0.25">
      <c r="A1390" t="s">
        <v>1772</v>
      </c>
      <c r="B1390" t="s">
        <v>1828</v>
      </c>
      <c r="C1390" t="s">
        <v>1784</v>
      </c>
      <c r="D1390" t="s">
        <v>3145</v>
      </c>
      <c r="E1390" t="s">
        <v>2527</v>
      </c>
      <c r="H1390" t="s">
        <v>2030</v>
      </c>
    </row>
    <row r="1391" spans="1:8" x14ac:dyDescent="0.25">
      <c r="A1391" t="s">
        <v>1774</v>
      </c>
      <c r="B1391" t="s">
        <v>1857</v>
      </c>
      <c r="C1391" t="s">
        <v>2967</v>
      </c>
      <c r="D1391" t="s">
        <v>3177</v>
      </c>
      <c r="E1391" t="s">
        <v>3147</v>
      </c>
      <c r="H1391" t="s">
        <v>2035</v>
      </c>
    </row>
    <row r="1392" spans="1:8" x14ac:dyDescent="0.25">
      <c r="A1392" t="s">
        <v>2459</v>
      </c>
      <c r="B1392" t="s">
        <v>1829</v>
      </c>
      <c r="C1392" t="s">
        <v>1747</v>
      </c>
      <c r="D1392" t="s">
        <v>2487</v>
      </c>
      <c r="E1392" t="s">
        <v>2531</v>
      </c>
      <c r="H1392" t="s">
        <v>2039</v>
      </c>
    </row>
    <row r="1393" spans="1:8" x14ac:dyDescent="0.25">
      <c r="A1393" t="s">
        <v>1775</v>
      </c>
      <c r="B1393" t="s">
        <v>1831</v>
      </c>
      <c r="C1393" t="s">
        <v>1748</v>
      </c>
      <c r="D1393" t="s">
        <v>1928</v>
      </c>
      <c r="E1393" t="s">
        <v>2532</v>
      </c>
      <c r="H1393" t="s">
        <v>3063</v>
      </c>
    </row>
    <row r="1394" spans="1:8" x14ac:dyDescent="0.25">
      <c r="A1394" t="s">
        <v>1776</v>
      </c>
      <c r="B1394" t="s">
        <v>1832</v>
      </c>
      <c r="C1394" t="s">
        <v>2453</v>
      </c>
      <c r="D1394" t="s">
        <v>2491</v>
      </c>
      <c r="E1394" t="s">
        <v>1988</v>
      </c>
      <c r="H1394" t="s">
        <v>2048</v>
      </c>
    </row>
    <row r="1395" spans="1:8" x14ac:dyDescent="0.25">
      <c r="A1395" t="s">
        <v>1777</v>
      </c>
      <c r="B1395" t="s">
        <v>1834</v>
      </c>
      <c r="C1395" t="s">
        <v>2968</v>
      </c>
      <c r="D1395" t="s">
        <v>1930</v>
      </c>
      <c r="E1395" t="s">
        <v>3148</v>
      </c>
      <c r="H1395" t="s">
        <v>2051</v>
      </c>
    </row>
    <row r="1396" spans="1:8" x14ac:dyDescent="0.25">
      <c r="A1396" t="s">
        <v>1799</v>
      </c>
      <c r="B1396" t="s">
        <v>1835</v>
      </c>
      <c r="C1396" t="s">
        <v>3138</v>
      </c>
      <c r="D1396" t="s">
        <v>1931</v>
      </c>
      <c r="E1396" t="s">
        <v>2533</v>
      </c>
      <c r="H1396" t="s">
        <v>2052</v>
      </c>
    </row>
    <row r="1397" spans="1:8" x14ac:dyDescent="0.25">
      <c r="A1397" t="s">
        <v>1781</v>
      </c>
      <c r="B1397" t="s">
        <v>1837</v>
      </c>
      <c r="C1397" t="s">
        <v>2454</v>
      </c>
      <c r="D1397" t="s">
        <v>1932</v>
      </c>
      <c r="E1397" t="s">
        <v>2534</v>
      </c>
      <c r="H1397" t="s">
        <v>2053</v>
      </c>
    </row>
    <row r="1398" spans="1:8" x14ac:dyDescent="0.25">
      <c r="A1398" t="s">
        <v>1803</v>
      </c>
      <c r="B1398" t="s">
        <v>1838</v>
      </c>
      <c r="C1398" t="s">
        <v>1749</v>
      </c>
      <c r="D1398" t="s">
        <v>1933</v>
      </c>
      <c r="E1398" t="s">
        <v>1989</v>
      </c>
      <c r="H1398" t="s">
        <v>2054</v>
      </c>
    </row>
    <row r="1399" spans="1:8" x14ac:dyDescent="0.25">
      <c r="A1399" t="s">
        <v>1783</v>
      </c>
      <c r="B1399" t="s">
        <v>1839</v>
      </c>
      <c r="C1399" t="s">
        <v>1750</v>
      </c>
      <c r="D1399" t="s">
        <v>1934</v>
      </c>
      <c r="E1399" t="s">
        <v>2535</v>
      </c>
      <c r="H1399" t="s">
        <v>2055</v>
      </c>
    </row>
    <row r="1400" spans="1:8" x14ac:dyDescent="0.25">
      <c r="A1400" t="s">
        <v>1786</v>
      </c>
      <c r="B1400" t="s">
        <v>1840</v>
      </c>
      <c r="C1400" t="s">
        <v>3175</v>
      </c>
      <c r="D1400" t="s">
        <v>1936</v>
      </c>
      <c r="E1400" t="s">
        <v>1990</v>
      </c>
      <c r="H1400" t="s">
        <v>2056</v>
      </c>
    </row>
    <row r="1401" spans="1:8" x14ac:dyDescent="0.25">
      <c r="A1401" t="s">
        <v>1778</v>
      </c>
      <c r="B1401" t="s">
        <v>1841</v>
      </c>
      <c r="C1401" t="s">
        <v>1751</v>
      </c>
      <c r="D1401" t="s">
        <v>1937</v>
      </c>
      <c r="E1401" t="s">
        <v>1991</v>
      </c>
      <c r="H1401" t="s">
        <v>3146</v>
      </c>
    </row>
    <row r="1402" spans="1:8" x14ac:dyDescent="0.25">
      <c r="A1402" t="s">
        <v>1780</v>
      </c>
      <c r="B1402" t="s">
        <v>1842</v>
      </c>
      <c r="C1402" t="s">
        <v>2969</v>
      </c>
      <c r="D1402" t="s">
        <v>1938</v>
      </c>
      <c r="E1402" t="s">
        <v>1992</v>
      </c>
      <c r="H1402" t="s">
        <v>2057</v>
      </c>
    </row>
    <row r="1403" spans="1:8" x14ac:dyDescent="0.25">
      <c r="A1403" t="s">
        <v>1809</v>
      </c>
      <c r="B1403" t="s">
        <v>1843</v>
      </c>
      <c r="C1403" t="s">
        <v>1752</v>
      </c>
      <c r="D1403" t="s">
        <v>1939</v>
      </c>
      <c r="E1403" t="s">
        <v>1993</v>
      </c>
      <c r="H1403" t="s">
        <v>2058</v>
      </c>
    </row>
    <row r="1404" spans="1:8" x14ac:dyDescent="0.25">
      <c r="A1404" t="s">
        <v>1790</v>
      </c>
      <c r="B1404" t="s">
        <v>1844</v>
      </c>
      <c r="C1404" t="s">
        <v>1753</v>
      </c>
      <c r="D1404" t="s">
        <v>1940</v>
      </c>
      <c r="E1404" t="s">
        <v>1994</v>
      </c>
      <c r="H1404" t="s">
        <v>2059</v>
      </c>
    </row>
    <row r="1405" spans="1:8" x14ac:dyDescent="0.25">
      <c r="A1405" t="s">
        <v>1793</v>
      </c>
      <c r="B1405" t="s">
        <v>1846</v>
      </c>
      <c r="C1405" t="s">
        <v>1754</v>
      </c>
      <c r="D1405" t="s">
        <v>1941</v>
      </c>
      <c r="E1405" t="s">
        <v>2000</v>
      </c>
      <c r="H1405" t="s">
        <v>2060</v>
      </c>
    </row>
    <row r="1406" spans="1:8" x14ac:dyDescent="0.25">
      <c r="A1406" t="s">
        <v>1830</v>
      </c>
      <c r="B1406" t="s">
        <v>1847</v>
      </c>
      <c r="C1406" t="s">
        <v>1755</v>
      </c>
      <c r="D1406" t="s">
        <v>1943</v>
      </c>
      <c r="E1406" t="s">
        <v>1995</v>
      </c>
      <c r="H1406" t="s">
        <v>2061</v>
      </c>
    </row>
    <row r="1407" spans="1:8" x14ac:dyDescent="0.25">
      <c r="A1407" t="s">
        <v>2972</v>
      </c>
      <c r="B1407" t="s">
        <v>1848</v>
      </c>
      <c r="C1407" t="s">
        <v>1757</v>
      </c>
      <c r="D1407" t="s">
        <v>1944</v>
      </c>
      <c r="E1407" t="s">
        <v>1996</v>
      </c>
      <c r="H1407" t="s">
        <v>2062</v>
      </c>
    </row>
    <row r="1408" spans="1:8" x14ac:dyDescent="0.25">
      <c r="A1408" t="s">
        <v>2973</v>
      </c>
      <c r="B1408" t="s">
        <v>1849</v>
      </c>
      <c r="C1408" t="s">
        <v>1758</v>
      </c>
      <c r="D1408" t="s">
        <v>1945</v>
      </c>
      <c r="E1408" t="s">
        <v>3223</v>
      </c>
      <c r="H1408" t="s">
        <v>2063</v>
      </c>
    </row>
    <row r="1409" spans="1:8" x14ac:dyDescent="0.25">
      <c r="A1409" t="s">
        <v>2974</v>
      </c>
      <c r="B1409" t="s">
        <v>1851</v>
      </c>
      <c r="C1409" t="s">
        <v>2456</v>
      </c>
      <c r="D1409" t="s">
        <v>1946</v>
      </c>
      <c r="E1409" t="s">
        <v>3269</v>
      </c>
      <c r="H1409" t="s">
        <v>2064</v>
      </c>
    </row>
    <row r="1410" spans="1:8" x14ac:dyDescent="0.25">
      <c r="A1410" t="s">
        <v>2975</v>
      </c>
      <c r="B1410" t="s">
        <v>1852</v>
      </c>
      <c r="C1410" t="s">
        <v>1759</v>
      </c>
      <c r="D1410" t="s">
        <v>1948</v>
      </c>
      <c r="E1410" t="s">
        <v>3024</v>
      </c>
      <c r="H1410" t="s">
        <v>3064</v>
      </c>
    </row>
    <row r="1411" spans="1:8" x14ac:dyDescent="0.25">
      <c r="A1411" t="s">
        <v>2976</v>
      </c>
      <c r="B1411" t="s">
        <v>1853</v>
      </c>
      <c r="C1411" t="s">
        <v>1760</v>
      </c>
      <c r="D1411" t="s">
        <v>1949</v>
      </c>
      <c r="E1411" t="s">
        <v>3025</v>
      </c>
      <c r="H1411" t="s">
        <v>2065</v>
      </c>
    </row>
    <row r="1412" spans="1:8" x14ac:dyDescent="0.25">
      <c r="A1412" t="s">
        <v>2977</v>
      </c>
      <c r="B1412" t="s">
        <v>1854</v>
      </c>
      <c r="C1412" t="s">
        <v>2970</v>
      </c>
      <c r="D1412" t="s">
        <v>1951</v>
      </c>
      <c r="E1412" t="s">
        <v>3027</v>
      </c>
      <c r="H1412" t="s">
        <v>2066</v>
      </c>
    </row>
    <row r="1413" spans="1:8" x14ac:dyDescent="0.25">
      <c r="A1413" t="s">
        <v>2978</v>
      </c>
      <c r="B1413" t="s">
        <v>1856</v>
      </c>
      <c r="C1413" t="s">
        <v>2457</v>
      </c>
      <c r="D1413" t="s">
        <v>1952</v>
      </c>
      <c r="E1413" t="s">
        <v>3028</v>
      </c>
      <c r="H1413" t="s">
        <v>2067</v>
      </c>
    </row>
    <row r="1414" spans="1:8" x14ac:dyDescent="0.25">
      <c r="A1414" t="s">
        <v>2979</v>
      </c>
      <c r="B1414" t="s">
        <v>1858</v>
      </c>
      <c r="C1414" t="s">
        <v>2971</v>
      </c>
      <c r="D1414" t="s">
        <v>1953</v>
      </c>
      <c r="E1414" t="s">
        <v>3029</v>
      </c>
      <c r="H1414" t="s">
        <v>2068</v>
      </c>
    </row>
    <row r="1415" spans="1:8" x14ac:dyDescent="0.25">
      <c r="A1415" t="s">
        <v>2980</v>
      </c>
      <c r="B1415" t="s">
        <v>1859</v>
      </c>
      <c r="C1415" t="s">
        <v>1762</v>
      </c>
      <c r="D1415" t="s">
        <v>1954</v>
      </c>
      <c r="E1415" t="s">
        <v>3030</v>
      </c>
      <c r="H1415" t="s">
        <v>2069</v>
      </c>
    </row>
    <row r="1416" spans="1:8" x14ac:dyDescent="0.25">
      <c r="A1416" t="s">
        <v>2981</v>
      </c>
      <c r="B1416" t="s">
        <v>1860</v>
      </c>
      <c r="C1416" t="s">
        <v>1812</v>
      </c>
      <c r="D1416" t="s">
        <v>1955</v>
      </c>
      <c r="E1416" t="s">
        <v>3031</v>
      </c>
      <c r="H1416" t="s">
        <v>2071</v>
      </c>
    </row>
    <row r="1417" spans="1:8" x14ac:dyDescent="0.25">
      <c r="A1417" t="s">
        <v>2982</v>
      </c>
      <c r="B1417" t="s">
        <v>1862</v>
      </c>
      <c r="C1417" t="s">
        <v>1763</v>
      </c>
      <c r="D1417" t="s">
        <v>3019</v>
      </c>
      <c r="E1417" t="s">
        <v>3032</v>
      </c>
      <c r="H1417" t="s">
        <v>2072</v>
      </c>
    </row>
    <row r="1418" spans="1:8" x14ac:dyDescent="0.25">
      <c r="A1418" t="s">
        <v>2983</v>
      </c>
      <c r="B1418" t="s">
        <v>1863</v>
      </c>
      <c r="C1418" t="s">
        <v>1764</v>
      </c>
      <c r="D1418" t="s">
        <v>1957</v>
      </c>
      <c r="E1418" t="s">
        <v>3033</v>
      </c>
      <c r="H1418" t="s">
        <v>2074</v>
      </c>
    </row>
    <row r="1419" spans="1:8" x14ac:dyDescent="0.25">
      <c r="A1419" t="s">
        <v>2984</v>
      </c>
      <c r="B1419" t="s">
        <v>1864</v>
      </c>
      <c r="C1419" t="s">
        <v>1766</v>
      </c>
      <c r="D1419" t="s">
        <v>1958</v>
      </c>
      <c r="E1419" t="s">
        <v>3034</v>
      </c>
      <c r="H1419" t="s">
        <v>2075</v>
      </c>
    </row>
    <row r="1420" spans="1:8" x14ac:dyDescent="0.25">
      <c r="A1420" t="s">
        <v>2985</v>
      </c>
      <c r="B1420" t="s">
        <v>1873</v>
      </c>
      <c r="C1420" t="s">
        <v>1767</v>
      </c>
      <c r="D1420" t="s">
        <v>1960</v>
      </c>
      <c r="E1420" t="s">
        <v>3035</v>
      </c>
      <c r="H1420" t="s">
        <v>2077</v>
      </c>
    </row>
    <row r="1421" spans="1:8" x14ac:dyDescent="0.25">
      <c r="A1421" t="s">
        <v>2986</v>
      </c>
      <c r="B1421" t="s">
        <v>1865</v>
      </c>
      <c r="C1421" t="s">
        <v>1768</v>
      </c>
      <c r="D1421" t="s">
        <v>1961</v>
      </c>
      <c r="E1421" t="s">
        <v>3037</v>
      </c>
      <c r="H1421" t="s">
        <v>2079</v>
      </c>
    </row>
    <row r="1422" spans="1:8" x14ac:dyDescent="0.25">
      <c r="A1422" t="s">
        <v>2987</v>
      </c>
      <c r="B1422" t="s">
        <v>2992</v>
      </c>
      <c r="C1422" t="s">
        <v>1769</v>
      </c>
      <c r="D1422" t="s">
        <v>3020</v>
      </c>
      <c r="E1422" t="s">
        <v>3038</v>
      </c>
      <c r="H1422" t="s">
        <v>2081</v>
      </c>
    </row>
    <row r="1423" spans="1:8" x14ac:dyDescent="0.25">
      <c r="A1423" t="s">
        <v>2460</v>
      </c>
      <c r="B1423" t="s">
        <v>1867</v>
      </c>
      <c r="C1423" t="s">
        <v>1772</v>
      </c>
      <c r="D1423" t="s">
        <v>2008</v>
      </c>
      <c r="E1423" t="s">
        <v>3039</v>
      </c>
      <c r="H1423" t="s">
        <v>2082</v>
      </c>
    </row>
    <row r="1424" spans="1:8" x14ac:dyDescent="0.25">
      <c r="A1424" t="s">
        <v>1782</v>
      </c>
      <c r="B1424" t="s">
        <v>1868</v>
      </c>
      <c r="C1424" t="s">
        <v>2459</v>
      </c>
      <c r="D1424" t="s">
        <v>2011</v>
      </c>
      <c r="E1424" t="s">
        <v>3040</v>
      </c>
      <c r="H1424" t="s">
        <v>2084</v>
      </c>
    </row>
    <row r="1425" spans="1:8" x14ac:dyDescent="0.25">
      <c r="A1425" t="s">
        <v>1785</v>
      </c>
      <c r="B1425" t="s">
        <v>2468</v>
      </c>
      <c r="C1425" t="s">
        <v>1775</v>
      </c>
      <c r="D1425" t="s">
        <v>1965</v>
      </c>
      <c r="E1425" t="s">
        <v>3041</v>
      </c>
      <c r="H1425" t="s">
        <v>2086</v>
      </c>
    </row>
    <row r="1426" spans="1:8" x14ac:dyDescent="0.25">
      <c r="A1426" t="s">
        <v>1787</v>
      </c>
      <c r="B1426" t="s">
        <v>3142</v>
      </c>
      <c r="C1426" t="s">
        <v>1776</v>
      </c>
      <c r="D1426" t="s">
        <v>1966</v>
      </c>
      <c r="E1426" t="s">
        <v>2036</v>
      </c>
      <c r="H1426" t="s">
        <v>2088</v>
      </c>
    </row>
    <row r="1427" spans="1:8" x14ac:dyDescent="0.25">
      <c r="A1427" t="s">
        <v>1788</v>
      </c>
      <c r="B1427" t="s">
        <v>2469</v>
      </c>
      <c r="C1427" t="s">
        <v>1777</v>
      </c>
      <c r="D1427" t="s">
        <v>1967</v>
      </c>
      <c r="E1427" t="s">
        <v>2038</v>
      </c>
      <c r="H1427" t="s">
        <v>2089</v>
      </c>
    </row>
    <row r="1428" spans="1:8" x14ac:dyDescent="0.25">
      <c r="A1428" t="s">
        <v>1789</v>
      </c>
      <c r="B1428" t="s">
        <v>2470</v>
      </c>
      <c r="C1428" t="s">
        <v>1781</v>
      </c>
      <c r="D1428" t="s">
        <v>1968</v>
      </c>
      <c r="E1428" t="s">
        <v>3042</v>
      </c>
      <c r="H1428" t="s">
        <v>2091</v>
      </c>
    </row>
    <row r="1429" spans="1:8" x14ac:dyDescent="0.25">
      <c r="A1429" t="s">
        <v>1791</v>
      </c>
      <c r="B1429" t="s">
        <v>2471</v>
      </c>
      <c r="C1429" t="s">
        <v>1803</v>
      </c>
      <c r="D1429" t="s">
        <v>1969</v>
      </c>
      <c r="E1429" t="s">
        <v>2040</v>
      </c>
      <c r="H1429" t="s">
        <v>2093</v>
      </c>
    </row>
    <row r="1430" spans="1:8" x14ac:dyDescent="0.25">
      <c r="A1430" t="s">
        <v>1794</v>
      </c>
      <c r="B1430" t="s">
        <v>2472</v>
      </c>
      <c r="C1430" t="s">
        <v>1783</v>
      </c>
      <c r="D1430" t="s">
        <v>1970</v>
      </c>
      <c r="E1430" t="s">
        <v>2001</v>
      </c>
      <c r="H1430" t="s">
        <v>2095</v>
      </c>
    </row>
    <row r="1431" spans="1:8" x14ac:dyDescent="0.25">
      <c r="A1431" t="s">
        <v>1795</v>
      </c>
      <c r="B1431" t="s">
        <v>2993</v>
      </c>
      <c r="C1431" t="s">
        <v>1786</v>
      </c>
      <c r="D1431" t="s">
        <v>1971</v>
      </c>
      <c r="E1431" t="s">
        <v>3043</v>
      </c>
      <c r="H1431" t="s">
        <v>2101</v>
      </c>
    </row>
    <row r="1432" spans="1:8" x14ac:dyDescent="0.25">
      <c r="A1432" t="s">
        <v>2461</v>
      </c>
      <c r="B1432" t="s">
        <v>3143</v>
      </c>
      <c r="C1432" t="s">
        <v>1778</v>
      </c>
      <c r="D1432" t="s">
        <v>3021</v>
      </c>
      <c r="E1432" t="s">
        <v>3044</v>
      </c>
      <c r="H1432" t="s">
        <v>2110</v>
      </c>
    </row>
    <row r="1433" spans="1:8" x14ac:dyDescent="0.25">
      <c r="A1433" t="s">
        <v>2462</v>
      </c>
      <c r="B1433" t="s">
        <v>2994</v>
      </c>
      <c r="C1433" t="s">
        <v>1779</v>
      </c>
      <c r="D1433" t="s">
        <v>1976</v>
      </c>
      <c r="E1433" t="s">
        <v>3045</v>
      </c>
      <c r="H1433" t="s">
        <v>2119</v>
      </c>
    </row>
    <row r="1434" spans="1:8" x14ac:dyDescent="0.25">
      <c r="A1434" t="s">
        <v>1796</v>
      </c>
      <c r="B1434" t="s">
        <v>1869</v>
      </c>
      <c r="C1434" t="s">
        <v>1780</v>
      </c>
      <c r="D1434" t="s">
        <v>1975</v>
      </c>
      <c r="E1434" t="s">
        <v>2042</v>
      </c>
      <c r="H1434" t="s">
        <v>2128</v>
      </c>
    </row>
    <row r="1435" spans="1:8" x14ac:dyDescent="0.25">
      <c r="A1435" t="s">
        <v>1797</v>
      </c>
      <c r="B1435" t="s">
        <v>1870</v>
      </c>
      <c r="C1435" t="s">
        <v>1809</v>
      </c>
      <c r="D1435" t="s">
        <v>1977</v>
      </c>
      <c r="E1435" t="s">
        <v>2044</v>
      </c>
    </row>
    <row r="1436" spans="1:8" x14ac:dyDescent="0.25">
      <c r="A1436" t="s">
        <v>1798</v>
      </c>
      <c r="B1436" t="s">
        <v>1871</v>
      </c>
      <c r="C1436" t="s">
        <v>1790</v>
      </c>
      <c r="D1436" t="s">
        <v>2493</v>
      </c>
      <c r="E1436" t="s">
        <v>3046</v>
      </c>
    </row>
    <row r="1437" spans="1:8" x14ac:dyDescent="0.25">
      <c r="A1437" t="s">
        <v>1845</v>
      </c>
      <c r="B1437" t="s">
        <v>1872</v>
      </c>
      <c r="C1437" t="s">
        <v>1793</v>
      </c>
      <c r="D1437" t="s">
        <v>1978</v>
      </c>
      <c r="E1437" t="s">
        <v>3047</v>
      </c>
    </row>
    <row r="1438" spans="1:8" x14ac:dyDescent="0.25">
      <c r="A1438" t="s">
        <v>2463</v>
      </c>
      <c r="B1438" t="s">
        <v>1874</v>
      </c>
      <c r="C1438" t="s">
        <v>1830</v>
      </c>
      <c r="D1438" t="s">
        <v>1979</v>
      </c>
      <c r="E1438" t="s">
        <v>3048</v>
      </c>
    </row>
    <row r="1439" spans="1:8" x14ac:dyDescent="0.25">
      <c r="A1439" t="s">
        <v>1800</v>
      </c>
      <c r="B1439" t="s">
        <v>1875</v>
      </c>
      <c r="C1439" t="s">
        <v>2972</v>
      </c>
      <c r="D1439" t="s">
        <v>1980</v>
      </c>
      <c r="E1439" t="s">
        <v>3049</v>
      </c>
    </row>
    <row r="1440" spans="1:8" x14ac:dyDescent="0.25">
      <c r="A1440" t="s">
        <v>1802</v>
      </c>
      <c r="B1440" t="s">
        <v>1876</v>
      </c>
      <c r="C1440" t="s">
        <v>2973</v>
      </c>
      <c r="D1440" t="s">
        <v>1983</v>
      </c>
      <c r="E1440" t="s">
        <v>3050</v>
      </c>
    </row>
    <row r="1441" spans="1:5" x14ac:dyDescent="0.25">
      <c r="A1441" t="s">
        <v>1804</v>
      </c>
      <c r="B1441" t="s">
        <v>1877</v>
      </c>
      <c r="C1441" t="s">
        <v>2974</v>
      </c>
      <c r="D1441" t="s">
        <v>1981</v>
      </c>
      <c r="E1441" t="s">
        <v>3051</v>
      </c>
    </row>
    <row r="1442" spans="1:5" x14ac:dyDescent="0.25">
      <c r="A1442" t="s">
        <v>1850</v>
      </c>
      <c r="B1442" t="s">
        <v>1878</v>
      </c>
      <c r="C1442" t="s">
        <v>2975</v>
      </c>
      <c r="D1442" t="s">
        <v>2513</v>
      </c>
      <c r="E1442" t="s">
        <v>3052</v>
      </c>
    </row>
    <row r="1443" spans="1:5" x14ac:dyDescent="0.25">
      <c r="A1443" t="s">
        <v>2464</v>
      </c>
      <c r="B1443" t="s">
        <v>1879</v>
      </c>
      <c r="C1443" t="s">
        <v>2977</v>
      </c>
      <c r="D1443" t="s">
        <v>2521</v>
      </c>
      <c r="E1443" t="s">
        <v>3053</v>
      </c>
    </row>
    <row r="1444" spans="1:5" x14ac:dyDescent="0.25">
      <c r="A1444" t="s">
        <v>1805</v>
      </c>
      <c r="B1444" t="s">
        <v>1880</v>
      </c>
      <c r="C1444" t="s">
        <v>2978</v>
      </c>
      <c r="D1444" t="s">
        <v>2522</v>
      </c>
      <c r="E1444" t="s">
        <v>3054</v>
      </c>
    </row>
    <row r="1445" spans="1:5" x14ac:dyDescent="0.25">
      <c r="A1445" t="s">
        <v>1806</v>
      </c>
      <c r="B1445" t="s">
        <v>2476</v>
      </c>
      <c r="C1445" t="s">
        <v>2979</v>
      </c>
      <c r="D1445" t="s">
        <v>2525</v>
      </c>
      <c r="E1445" t="s">
        <v>3055</v>
      </c>
    </row>
    <row r="1446" spans="1:5" x14ac:dyDescent="0.25">
      <c r="A1446" t="s">
        <v>1807</v>
      </c>
      <c r="B1446" t="s">
        <v>1881</v>
      </c>
      <c r="C1446" t="s">
        <v>2980</v>
      </c>
      <c r="D1446" t="s">
        <v>2526</v>
      </c>
      <c r="E1446" t="s">
        <v>3224</v>
      </c>
    </row>
    <row r="1447" spans="1:5" x14ac:dyDescent="0.25">
      <c r="A1447" t="s">
        <v>1855</v>
      </c>
      <c r="B1447" t="s">
        <v>1883</v>
      </c>
      <c r="C1447" t="s">
        <v>2981</v>
      </c>
      <c r="D1447" t="s">
        <v>2527</v>
      </c>
      <c r="E1447" t="s">
        <v>3225</v>
      </c>
    </row>
    <row r="1448" spans="1:5" x14ac:dyDescent="0.25">
      <c r="A1448" t="s">
        <v>2465</v>
      </c>
      <c r="B1448" t="s">
        <v>1884</v>
      </c>
      <c r="C1448" t="s">
        <v>2982</v>
      </c>
      <c r="D1448" t="s">
        <v>2528</v>
      </c>
      <c r="E1448" t="s">
        <v>3056</v>
      </c>
    </row>
    <row r="1449" spans="1:5" x14ac:dyDescent="0.25">
      <c r="A1449" t="s">
        <v>1808</v>
      </c>
      <c r="B1449" t="s">
        <v>1885</v>
      </c>
      <c r="C1449" t="s">
        <v>2983</v>
      </c>
      <c r="D1449" t="s">
        <v>3022</v>
      </c>
      <c r="E1449" t="s">
        <v>3057</v>
      </c>
    </row>
    <row r="1450" spans="1:5" x14ac:dyDescent="0.25">
      <c r="A1450" t="s">
        <v>1810</v>
      </c>
      <c r="B1450" t="s">
        <v>1886</v>
      </c>
      <c r="C1450" t="s">
        <v>2984</v>
      </c>
      <c r="D1450" t="s">
        <v>2025</v>
      </c>
      <c r="E1450" t="s">
        <v>3058</v>
      </c>
    </row>
    <row r="1451" spans="1:5" x14ac:dyDescent="0.25">
      <c r="A1451" t="s">
        <v>1811</v>
      </c>
      <c r="B1451" t="s">
        <v>1887</v>
      </c>
      <c r="C1451" t="s">
        <v>2986</v>
      </c>
      <c r="D1451" t="s">
        <v>3147</v>
      </c>
      <c r="E1451" t="s">
        <v>3270</v>
      </c>
    </row>
    <row r="1452" spans="1:5" x14ac:dyDescent="0.25">
      <c r="A1452" t="s">
        <v>1861</v>
      </c>
      <c r="B1452" t="s">
        <v>1888</v>
      </c>
      <c r="C1452" t="s">
        <v>2987</v>
      </c>
      <c r="D1452" t="s">
        <v>2531</v>
      </c>
      <c r="E1452" t="s">
        <v>3226</v>
      </c>
    </row>
    <row r="1453" spans="1:5" x14ac:dyDescent="0.25">
      <c r="A1453" t="s">
        <v>2466</v>
      </c>
      <c r="B1453" t="s">
        <v>1889</v>
      </c>
      <c r="C1453" t="s">
        <v>2460</v>
      </c>
      <c r="D1453" t="s">
        <v>2532</v>
      </c>
      <c r="E1453" t="s">
        <v>3227</v>
      </c>
    </row>
    <row r="1454" spans="1:5" x14ac:dyDescent="0.25">
      <c r="A1454" t="s">
        <v>1813</v>
      </c>
      <c r="B1454" t="s">
        <v>1890</v>
      </c>
      <c r="C1454" t="s">
        <v>1782</v>
      </c>
      <c r="D1454" t="s">
        <v>1988</v>
      </c>
      <c r="E1454" t="s">
        <v>3059</v>
      </c>
    </row>
    <row r="1455" spans="1:5" x14ac:dyDescent="0.25">
      <c r="A1455" t="s">
        <v>1814</v>
      </c>
      <c r="B1455" t="s">
        <v>1891</v>
      </c>
      <c r="C1455" t="s">
        <v>1785</v>
      </c>
      <c r="D1455" t="s">
        <v>3148</v>
      </c>
      <c r="E1455" t="s">
        <v>3060</v>
      </c>
    </row>
    <row r="1456" spans="1:5" x14ac:dyDescent="0.25">
      <c r="A1456" t="s">
        <v>1815</v>
      </c>
      <c r="B1456" t="s">
        <v>1909</v>
      </c>
      <c r="C1456" t="s">
        <v>1787</v>
      </c>
      <c r="D1456" t="s">
        <v>2533</v>
      </c>
      <c r="E1456" t="s">
        <v>3061</v>
      </c>
    </row>
    <row r="1457" spans="1:5" x14ac:dyDescent="0.25">
      <c r="A1457" t="s">
        <v>1866</v>
      </c>
      <c r="B1457" t="s">
        <v>2997</v>
      </c>
      <c r="C1457" t="s">
        <v>1788</v>
      </c>
      <c r="D1457" t="s">
        <v>2534</v>
      </c>
      <c r="E1457" t="s">
        <v>3271</v>
      </c>
    </row>
    <row r="1458" spans="1:5" x14ac:dyDescent="0.25">
      <c r="A1458" t="s">
        <v>2467</v>
      </c>
      <c r="B1458" t="s">
        <v>2998</v>
      </c>
      <c r="C1458" t="s">
        <v>1789</v>
      </c>
      <c r="D1458" t="s">
        <v>1989</v>
      </c>
      <c r="E1458" t="s">
        <v>1997</v>
      </c>
    </row>
    <row r="1459" spans="1:5" x14ac:dyDescent="0.25">
      <c r="A1459" t="s">
        <v>1816</v>
      </c>
      <c r="B1459" t="s">
        <v>2999</v>
      </c>
      <c r="C1459" t="s">
        <v>3139</v>
      </c>
      <c r="D1459" t="s">
        <v>2535</v>
      </c>
      <c r="E1459" t="s">
        <v>1999</v>
      </c>
    </row>
    <row r="1460" spans="1:5" x14ac:dyDescent="0.25">
      <c r="A1460" t="s">
        <v>1817</v>
      </c>
      <c r="B1460" t="s">
        <v>3144</v>
      </c>
      <c r="C1460" t="s">
        <v>3140</v>
      </c>
      <c r="D1460" t="s">
        <v>1990</v>
      </c>
      <c r="E1460" t="s">
        <v>2002</v>
      </c>
    </row>
    <row r="1461" spans="1:5" x14ac:dyDescent="0.25">
      <c r="A1461" t="s">
        <v>1818</v>
      </c>
      <c r="B1461" t="s">
        <v>3000</v>
      </c>
      <c r="C1461" t="s">
        <v>1791</v>
      </c>
      <c r="D1461" t="s">
        <v>1991</v>
      </c>
      <c r="E1461" t="s">
        <v>2005</v>
      </c>
    </row>
    <row r="1462" spans="1:5" x14ac:dyDescent="0.25">
      <c r="A1462" t="s">
        <v>1819</v>
      </c>
      <c r="B1462" t="s">
        <v>3001</v>
      </c>
      <c r="C1462" t="s">
        <v>1794</v>
      </c>
      <c r="D1462" t="s">
        <v>1992</v>
      </c>
      <c r="E1462" t="s">
        <v>3062</v>
      </c>
    </row>
    <row r="1463" spans="1:5" x14ac:dyDescent="0.25">
      <c r="A1463" t="s">
        <v>2988</v>
      </c>
      <c r="B1463" t="s">
        <v>1901</v>
      </c>
      <c r="C1463" t="s">
        <v>1795</v>
      </c>
      <c r="D1463" t="s">
        <v>1993</v>
      </c>
      <c r="E1463" t="s">
        <v>2006</v>
      </c>
    </row>
    <row r="1464" spans="1:5" x14ac:dyDescent="0.25">
      <c r="A1464" t="s">
        <v>2989</v>
      </c>
      <c r="B1464" t="s">
        <v>2477</v>
      </c>
      <c r="C1464" t="s">
        <v>2461</v>
      </c>
      <c r="D1464" t="s">
        <v>1994</v>
      </c>
      <c r="E1464" t="s">
        <v>2007</v>
      </c>
    </row>
    <row r="1465" spans="1:5" x14ac:dyDescent="0.25">
      <c r="A1465" t="s">
        <v>1820</v>
      </c>
      <c r="B1465" t="s">
        <v>1902</v>
      </c>
      <c r="C1465" t="s">
        <v>1796</v>
      </c>
      <c r="D1465" t="s">
        <v>2000</v>
      </c>
      <c r="E1465" t="s">
        <v>2009</v>
      </c>
    </row>
    <row r="1466" spans="1:5" x14ac:dyDescent="0.25">
      <c r="A1466" t="s">
        <v>1821</v>
      </c>
      <c r="B1466" t="s">
        <v>1903</v>
      </c>
      <c r="C1466" t="s">
        <v>1797</v>
      </c>
      <c r="D1466" t="s">
        <v>1995</v>
      </c>
      <c r="E1466" t="s">
        <v>2012</v>
      </c>
    </row>
    <row r="1467" spans="1:5" x14ac:dyDescent="0.25">
      <c r="A1467" t="s">
        <v>1822</v>
      </c>
      <c r="B1467" t="s">
        <v>2478</v>
      </c>
      <c r="C1467" t="s">
        <v>1798</v>
      </c>
      <c r="D1467" t="s">
        <v>1996</v>
      </c>
      <c r="E1467" t="s">
        <v>2015</v>
      </c>
    </row>
    <row r="1468" spans="1:5" x14ac:dyDescent="0.25">
      <c r="A1468" t="s">
        <v>1823</v>
      </c>
      <c r="B1468" t="s">
        <v>1907</v>
      </c>
      <c r="C1468" t="s">
        <v>1845</v>
      </c>
      <c r="D1468" t="s">
        <v>3223</v>
      </c>
      <c r="E1468" t="s">
        <v>2016</v>
      </c>
    </row>
    <row r="1469" spans="1:5" x14ac:dyDescent="0.25">
      <c r="A1469" t="s">
        <v>1824</v>
      </c>
      <c r="B1469" t="s">
        <v>1908</v>
      </c>
      <c r="C1469" t="s">
        <v>1800</v>
      </c>
      <c r="D1469" t="s">
        <v>3269</v>
      </c>
      <c r="E1469" t="s">
        <v>2017</v>
      </c>
    </row>
    <row r="1470" spans="1:5" x14ac:dyDescent="0.25">
      <c r="A1470" t="s">
        <v>1836</v>
      </c>
      <c r="B1470" t="s">
        <v>2479</v>
      </c>
      <c r="C1470" t="s">
        <v>1802</v>
      </c>
      <c r="D1470" t="s">
        <v>3024</v>
      </c>
      <c r="E1470" t="s">
        <v>2019</v>
      </c>
    </row>
    <row r="1471" spans="1:5" x14ac:dyDescent="0.25">
      <c r="A1471" t="s">
        <v>2990</v>
      </c>
      <c r="B1471" t="s">
        <v>1911</v>
      </c>
      <c r="C1471" t="s">
        <v>1804</v>
      </c>
      <c r="D1471" t="s">
        <v>3025</v>
      </c>
      <c r="E1471" t="s">
        <v>2022</v>
      </c>
    </row>
    <row r="1472" spans="1:5" x14ac:dyDescent="0.25">
      <c r="A1472" t="s">
        <v>1825</v>
      </c>
      <c r="B1472" t="s">
        <v>2480</v>
      </c>
      <c r="C1472" t="s">
        <v>1850</v>
      </c>
      <c r="D1472" t="s">
        <v>3027</v>
      </c>
      <c r="E1472" t="s">
        <v>2027</v>
      </c>
    </row>
    <row r="1473" spans="1:5" x14ac:dyDescent="0.25">
      <c r="A1473" t="s">
        <v>2991</v>
      </c>
      <c r="B1473" t="s">
        <v>2481</v>
      </c>
      <c r="C1473" t="s">
        <v>1805</v>
      </c>
      <c r="D1473" t="s">
        <v>3028</v>
      </c>
      <c r="E1473" t="s">
        <v>2030</v>
      </c>
    </row>
    <row r="1474" spans="1:5" x14ac:dyDescent="0.25">
      <c r="A1474" t="s">
        <v>1827</v>
      </c>
      <c r="B1474" t="s">
        <v>2482</v>
      </c>
      <c r="C1474" t="s">
        <v>1806</v>
      </c>
      <c r="D1474" t="s">
        <v>3029</v>
      </c>
      <c r="E1474" t="s">
        <v>2034</v>
      </c>
    </row>
    <row r="1475" spans="1:5" x14ac:dyDescent="0.25">
      <c r="A1475" t="s">
        <v>1828</v>
      </c>
      <c r="B1475" t="s">
        <v>1912</v>
      </c>
      <c r="C1475" t="s">
        <v>1807</v>
      </c>
      <c r="D1475" t="s">
        <v>3030</v>
      </c>
      <c r="E1475" t="s">
        <v>2039</v>
      </c>
    </row>
    <row r="1476" spans="1:5" x14ac:dyDescent="0.25">
      <c r="A1476" t="s">
        <v>1829</v>
      </c>
      <c r="B1476" t="s">
        <v>2483</v>
      </c>
      <c r="C1476" t="s">
        <v>1855</v>
      </c>
      <c r="D1476" t="s">
        <v>3031</v>
      </c>
      <c r="E1476" t="s">
        <v>2046</v>
      </c>
    </row>
    <row r="1477" spans="1:5" x14ac:dyDescent="0.25">
      <c r="A1477" t="s">
        <v>1831</v>
      </c>
      <c r="B1477" t="s">
        <v>1913</v>
      </c>
      <c r="C1477" t="s">
        <v>2465</v>
      </c>
      <c r="D1477" t="s">
        <v>3032</v>
      </c>
      <c r="E1477" t="s">
        <v>2048</v>
      </c>
    </row>
    <row r="1478" spans="1:5" x14ac:dyDescent="0.25">
      <c r="A1478" t="s">
        <v>1832</v>
      </c>
      <c r="B1478" t="s">
        <v>1914</v>
      </c>
      <c r="C1478" t="s">
        <v>1808</v>
      </c>
      <c r="D1478" t="s">
        <v>3033</v>
      </c>
      <c r="E1478" t="s">
        <v>2051</v>
      </c>
    </row>
    <row r="1479" spans="1:5" x14ac:dyDescent="0.25">
      <c r="A1479" t="s">
        <v>1834</v>
      </c>
      <c r="B1479" t="s">
        <v>1915</v>
      </c>
      <c r="C1479" t="s">
        <v>1810</v>
      </c>
      <c r="D1479" t="s">
        <v>3034</v>
      </c>
      <c r="E1479" t="s">
        <v>2052</v>
      </c>
    </row>
    <row r="1480" spans="1:5" x14ac:dyDescent="0.25">
      <c r="A1480" t="s">
        <v>1835</v>
      </c>
      <c r="B1480" t="s">
        <v>1916</v>
      </c>
      <c r="C1480" t="s">
        <v>1811</v>
      </c>
      <c r="D1480" t="s">
        <v>3035</v>
      </c>
      <c r="E1480" t="s">
        <v>2053</v>
      </c>
    </row>
    <row r="1481" spans="1:5" x14ac:dyDescent="0.25">
      <c r="A1481" t="s">
        <v>1837</v>
      </c>
      <c r="B1481" t="s">
        <v>1917</v>
      </c>
      <c r="C1481" t="s">
        <v>1861</v>
      </c>
      <c r="D1481" t="s">
        <v>3036</v>
      </c>
      <c r="E1481" t="s">
        <v>2054</v>
      </c>
    </row>
    <row r="1482" spans="1:5" x14ac:dyDescent="0.25">
      <c r="A1482" t="s">
        <v>1839</v>
      </c>
      <c r="B1482" t="s">
        <v>1918</v>
      </c>
      <c r="C1482" t="s">
        <v>1813</v>
      </c>
      <c r="D1482" t="s">
        <v>3037</v>
      </c>
      <c r="E1482" t="s">
        <v>2055</v>
      </c>
    </row>
    <row r="1483" spans="1:5" x14ac:dyDescent="0.25">
      <c r="A1483" t="s">
        <v>1846</v>
      </c>
      <c r="B1483" t="s">
        <v>2485</v>
      </c>
      <c r="C1483" t="s">
        <v>1814</v>
      </c>
      <c r="D1483" t="s">
        <v>3038</v>
      </c>
      <c r="E1483" t="s">
        <v>2056</v>
      </c>
    </row>
    <row r="1484" spans="1:5" x14ac:dyDescent="0.25">
      <c r="A1484" t="s">
        <v>1847</v>
      </c>
      <c r="B1484" t="s">
        <v>3005</v>
      </c>
      <c r="C1484" t="s">
        <v>1815</v>
      </c>
      <c r="D1484" t="s">
        <v>3039</v>
      </c>
      <c r="E1484" t="s">
        <v>3146</v>
      </c>
    </row>
    <row r="1485" spans="1:5" x14ac:dyDescent="0.25">
      <c r="A1485" t="s">
        <v>1848</v>
      </c>
      <c r="B1485" t="s">
        <v>3006</v>
      </c>
      <c r="C1485" t="s">
        <v>1866</v>
      </c>
      <c r="D1485" t="s">
        <v>3040</v>
      </c>
      <c r="E1485" t="s">
        <v>2057</v>
      </c>
    </row>
    <row r="1486" spans="1:5" x14ac:dyDescent="0.25">
      <c r="A1486" t="s">
        <v>1849</v>
      </c>
      <c r="B1486" t="s">
        <v>3007</v>
      </c>
      <c r="C1486" t="s">
        <v>1816</v>
      </c>
      <c r="D1486" t="s">
        <v>3041</v>
      </c>
      <c r="E1486" t="s">
        <v>2058</v>
      </c>
    </row>
    <row r="1487" spans="1:5" x14ac:dyDescent="0.25">
      <c r="A1487" t="s">
        <v>1851</v>
      </c>
      <c r="B1487" t="s">
        <v>3008</v>
      </c>
      <c r="C1487" t="s">
        <v>1817</v>
      </c>
      <c r="D1487" t="s">
        <v>2036</v>
      </c>
      <c r="E1487" t="s">
        <v>2059</v>
      </c>
    </row>
    <row r="1488" spans="1:5" x14ac:dyDescent="0.25">
      <c r="A1488" t="s">
        <v>1852</v>
      </c>
      <c r="B1488" t="s">
        <v>3009</v>
      </c>
      <c r="C1488" t="s">
        <v>1818</v>
      </c>
      <c r="D1488" t="s">
        <v>2038</v>
      </c>
      <c r="E1488" t="s">
        <v>2060</v>
      </c>
    </row>
    <row r="1489" spans="1:5" x14ac:dyDescent="0.25">
      <c r="A1489" t="s">
        <v>1853</v>
      </c>
      <c r="B1489" t="s">
        <v>3010</v>
      </c>
      <c r="C1489" t="s">
        <v>1819</v>
      </c>
      <c r="D1489" t="s">
        <v>3042</v>
      </c>
      <c r="E1489" t="s">
        <v>2061</v>
      </c>
    </row>
    <row r="1490" spans="1:5" x14ac:dyDescent="0.25">
      <c r="A1490" t="s">
        <v>1854</v>
      </c>
      <c r="B1490" t="s">
        <v>1919</v>
      </c>
      <c r="C1490" t="s">
        <v>2988</v>
      </c>
      <c r="D1490" t="s">
        <v>2040</v>
      </c>
      <c r="E1490" t="s">
        <v>2062</v>
      </c>
    </row>
    <row r="1491" spans="1:5" x14ac:dyDescent="0.25">
      <c r="A1491" t="s">
        <v>1856</v>
      </c>
      <c r="B1491" t="s">
        <v>3011</v>
      </c>
      <c r="C1491" t="s">
        <v>2989</v>
      </c>
      <c r="D1491" t="s">
        <v>2001</v>
      </c>
      <c r="E1491" t="s">
        <v>2063</v>
      </c>
    </row>
    <row r="1492" spans="1:5" x14ac:dyDescent="0.25">
      <c r="A1492" t="s">
        <v>1858</v>
      </c>
      <c r="B1492" t="s">
        <v>3012</v>
      </c>
      <c r="C1492" t="s">
        <v>1820</v>
      </c>
      <c r="D1492" t="s">
        <v>3043</v>
      </c>
      <c r="E1492" t="s">
        <v>2064</v>
      </c>
    </row>
    <row r="1493" spans="1:5" x14ac:dyDescent="0.25">
      <c r="A1493" t="s">
        <v>1859</v>
      </c>
      <c r="B1493" t="s">
        <v>1921</v>
      </c>
      <c r="C1493" t="s">
        <v>1821</v>
      </c>
      <c r="D1493" t="s">
        <v>3044</v>
      </c>
      <c r="E1493" t="s">
        <v>3064</v>
      </c>
    </row>
    <row r="1494" spans="1:5" x14ac:dyDescent="0.25">
      <c r="A1494" t="s">
        <v>1860</v>
      </c>
      <c r="B1494" t="s">
        <v>1923</v>
      </c>
      <c r="C1494" t="s">
        <v>1822</v>
      </c>
      <c r="D1494" t="s">
        <v>3045</v>
      </c>
      <c r="E1494" t="s">
        <v>2065</v>
      </c>
    </row>
    <row r="1495" spans="1:5" x14ac:dyDescent="0.25">
      <c r="A1495" t="s">
        <v>1862</v>
      </c>
      <c r="B1495" t="s">
        <v>1924</v>
      </c>
      <c r="C1495" t="s">
        <v>1823</v>
      </c>
      <c r="D1495" t="s">
        <v>2042</v>
      </c>
      <c r="E1495" t="s">
        <v>2066</v>
      </c>
    </row>
    <row r="1496" spans="1:5" x14ac:dyDescent="0.25">
      <c r="A1496" t="s">
        <v>1863</v>
      </c>
      <c r="B1496" t="s">
        <v>1925</v>
      </c>
      <c r="C1496" t="s">
        <v>1833</v>
      </c>
      <c r="D1496" t="s">
        <v>2044</v>
      </c>
      <c r="E1496" t="s">
        <v>2067</v>
      </c>
    </row>
    <row r="1497" spans="1:5" x14ac:dyDescent="0.25">
      <c r="A1497" t="s">
        <v>1864</v>
      </c>
      <c r="B1497" t="s">
        <v>3013</v>
      </c>
      <c r="C1497" t="s">
        <v>1824</v>
      </c>
      <c r="D1497" t="s">
        <v>3046</v>
      </c>
      <c r="E1497" t="s">
        <v>2068</v>
      </c>
    </row>
    <row r="1498" spans="1:5" x14ac:dyDescent="0.25">
      <c r="A1498" t="s">
        <v>1873</v>
      </c>
      <c r="B1498" t="s">
        <v>2486</v>
      </c>
      <c r="C1498" t="s">
        <v>3216</v>
      </c>
      <c r="D1498" t="s">
        <v>3047</v>
      </c>
      <c r="E1498" t="s">
        <v>2069</v>
      </c>
    </row>
    <row r="1499" spans="1:5" x14ac:dyDescent="0.25">
      <c r="A1499" t="s">
        <v>1865</v>
      </c>
      <c r="B1499" t="s">
        <v>3014</v>
      </c>
      <c r="C1499" t="s">
        <v>3217</v>
      </c>
      <c r="D1499" t="s">
        <v>3048</v>
      </c>
      <c r="E1499" t="s">
        <v>2071</v>
      </c>
    </row>
    <row r="1500" spans="1:5" x14ac:dyDescent="0.25">
      <c r="A1500" t="s">
        <v>2992</v>
      </c>
      <c r="B1500" t="s">
        <v>3015</v>
      </c>
      <c r="C1500" t="s">
        <v>3218</v>
      </c>
      <c r="D1500" t="s">
        <v>2003</v>
      </c>
      <c r="E1500" t="s">
        <v>3299</v>
      </c>
    </row>
    <row r="1501" spans="1:5" x14ac:dyDescent="0.25">
      <c r="A1501" t="s">
        <v>1867</v>
      </c>
      <c r="B1501" t="s">
        <v>3016</v>
      </c>
      <c r="C1501" t="s">
        <v>1836</v>
      </c>
      <c r="D1501" t="s">
        <v>3049</v>
      </c>
      <c r="E1501" t="s">
        <v>2072</v>
      </c>
    </row>
    <row r="1502" spans="1:5" x14ac:dyDescent="0.25">
      <c r="A1502" t="s">
        <v>1868</v>
      </c>
      <c r="B1502" t="s">
        <v>1926</v>
      </c>
      <c r="C1502" t="s">
        <v>1825</v>
      </c>
      <c r="D1502" t="s">
        <v>3050</v>
      </c>
      <c r="E1502" t="s">
        <v>2073</v>
      </c>
    </row>
    <row r="1503" spans="1:5" x14ac:dyDescent="0.25">
      <c r="A1503" t="s">
        <v>2468</v>
      </c>
      <c r="B1503" t="s">
        <v>1927</v>
      </c>
      <c r="C1503" t="s">
        <v>3219</v>
      </c>
      <c r="D1503" t="s">
        <v>3051</v>
      </c>
      <c r="E1503" t="s">
        <v>2074</v>
      </c>
    </row>
    <row r="1504" spans="1:5" x14ac:dyDescent="0.25">
      <c r="A1504" t="s">
        <v>2469</v>
      </c>
      <c r="B1504" t="s">
        <v>3017</v>
      </c>
      <c r="C1504" t="s">
        <v>2991</v>
      </c>
      <c r="D1504" t="s">
        <v>3052</v>
      </c>
      <c r="E1504" t="s">
        <v>2075</v>
      </c>
    </row>
    <row r="1505" spans="1:5" x14ac:dyDescent="0.25">
      <c r="A1505" t="s">
        <v>2470</v>
      </c>
      <c r="B1505" t="s">
        <v>3145</v>
      </c>
      <c r="C1505" t="s">
        <v>1827</v>
      </c>
      <c r="D1505" t="s">
        <v>3053</v>
      </c>
      <c r="E1505" t="s">
        <v>2077</v>
      </c>
    </row>
    <row r="1506" spans="1:5" x14ac:dyDescent="0.25">
      <c r="A1506" t="s">
        <v>2471</v>
      </c>
      <c r="B1506" t="s">
        <v>2487</v>
      </c>
      <c r="C1506" t="s">
        <v>1828</v>
      </c>
      <c r="D1506" t="s">
        <v>3054</v>
      </c>
      <c r="E1506" t="s">
        <v>2078</v>
      </c>
    </row>
    <row r="1507" spans="1:5" x14ac:dyDescent="0.25">
      <c r="A1507" t="s">
        <v>2472</v>
      </c>
      <c r="B1507" t="s">
        <v>2488</v>
      </c>
      <c r="C1507" t="s">
        <v>1857</v>
      </c>
      <c r="D1507" t="s">
        <v>3055</v>
      </c>
      <c r="E1507" t="s">
        <v>2079</v>
      </c>
    </row>
    <row r="1508" spans="1:5" x14ac:dyDescent="0.25">
      <c r="A1508" t="s">
        <v>2993</v>
      </c>
      <c r="B1508" t="s">
        <v>2489</v>
      </c>
      <c r="C1508" t="s">
        <v>1829</v>
      </c>
      <c r="D1508" t="s">
        <v>3224</v>
      </c>
      <c r="E1508" t="s">
        <v>2080</v>
      </c>
    </row>
    <row r="1509" spans="1:5" x14ac:dyDescent="0.25">
      <c r="A1509" t="s">
        <v>2473</v>
      </c>
      <c r="B1509" t="s">
        <v>1928</v>
      </c>
      <c r="C1509" t="s">
        <v>1831</v>
      </c>
      <c r="D1509" t="s">
        <v>3057</v>
      </c>
      <c r="E1509" t="s">
        <v>2081</v>
      </c>
    </row>
    <row r="1510" spans="1:5" x14ac:dyDescent="0.25">
      <c r="A1510" t="s">
        <v>2474</v>
      </c>
      <c r="B1510" t="s">
        <v>2490</v>
      </c>
      <c r="C1510" t="s">
        <v>1832</v>
      </c>
      <c r="D1510" t="s">
        <v>3058</v>
      </c>
      <c r="E1510" t="s">
        <v>2082</v>
      </c>
    </row>
    <row r="1511" spans="1:5" x14ac:dyDescent="0.25">
      <c r="A1511" t="s">
        <v>2475</v>
      </c>
      <c r="B1511" t="s">
        <v>2491</v>
      </c>
      <c r="C1511" t="s">
        <v>1834</v>
      </c>
      <c r="D1511" t="s">
        <v>3270</v>
      </c>
      <c r="E1511" t="s">
        <v>2084</v>
      </c>
    </row>
    <row r="1512" spans="1:5" x14ac:dyDescent="0.25">
      <c r="A1512" t="s">
        <v>2994</v>
      </c>
      <c r="B1512" t="s">
        <v>1930</v>
      </c>
      <c r="C1512" t="s">
        <v>1835</v>
      </c>
      <c r="D1512" t="s">
        <v>3226</v>
      </c>
      <c r="E1512" t="s">
        <v>2085</v>
      </c>
    </row>
    <row r="1513" spans="1:5" x14ac:dyDescent="0.25">
      <c r="A1513" t="s">
        <v>1869</v>
      </c>
      <c r="B1513" t="s">
        <v>1931</v>
      </c>
      <c r="C1513" t="s">
        <v>1837</v>
      </c>
      <c r="D1513" t="s">
        <v>3060</v>
      </c>
      <c r="E1513" t="s">
        <v>2086</v>
      </c>
    </row>
    <row r="1514" spans="1:5" x14ac:dyDescent="0.25">
      <c r="A1514" t="s">
        <v>1870</v>
      </c>
      <c r="B1514" t="s">
        <v>1932</v>
      </c>
      <c r="C1514" t="s">
        <v>1838</v>
      </c>
      <c r="D1514" t="s">
        <v>3061</v>
      </c>
      <c r="E1514" t="s">
        <v>2087</v>
      </c>
    </row>
    <row r="1515" spans="1:5" x14ac:dyDescent="0.25">
      <c r="A1515" t="s">
        <v>1871</v>
      </c>
      <c r="B1515" t="s">
        <v>1933</v>
      </c>
      <c r="C1515" t="s">
        <v>1839</v>
      </c>
      <c r="D1515" t="s">
        <v>3271</v>
      </c>
      <c r="E1515" t="s">
        <v>2088</v>
      </c>
    </row>
    <row r="1516" spans="1:5" x14ac:dyDescent="0.25">
      <c r="A1516" t="s">
        <v>1872</v>
      </c>
      <c r="B1516" t="s">
        <v>1934</v>
      </c>
      <c r="C1516" t="s">
        <v>1840</v>
      </c>
      <c r="D1516" t="s">
        <v>1997</v>
      </c>
      <c r="E1516" t="s">
        <v>2089</v>
      </c>
    </row>
    <row r="1517" spans="1:5" x14ac:dyDescent="0.25">
      <c r="A1517" t="s">
        <v>1874</v>
      </c>
      <c r="B1517" t="s">
        <v>1936</v>
      </c>
      <c r="C1517" t="s">
        <v>1841</v>
      </c>
      <c r="D1517" t="s">
        <v>2005</v>
      </c>
      <c r="E1517" t="s">
        <v>2091</v>
      </c>
    </row>
    <row r="1518" spans="1:5" x14ac:dyDescent="0.25">
      <c r="A1518" t="s">
        <v>1875</v>
      </c>
      <c r="B1518" t="s">
        <v>1937</v>
      </c>
      <c r="C1518" t="s">
        <v>1843</v>
      </c>
      <c r="D1518" t="s">
        <v>3062</v>
      </c>
      <c r="E1518" t="s">
        <v>2092</v>
      </c>
    </row>
    <row r="1519" spans="1:5" x14ac:dyDescent="0.25">
      <c r="A1519" t="s">
        <v>1876</v>
      </c>
      <c r="B1519" t="s">
        <v>1938</v>
      </c>
      <c r="C1519" t="s">
        <v>1844</v>
      </c>
      <c r="D1519" t="s">
        <v>2006</v>
      </c>
      <c r="E1519" t="s">
        <v>2093</v>
      </c>
    </row>
    <row r="1520" spans="1:5" x14ac:dyDescent="0.25">
      <c r="A1520" t="s">
        <v>1877</v>
      </c>
      <c r="B1520" t="s">
        <v>1939</v>
      </c>
      <c r="C1520" t="s">
        <v>1846</v>
      </c>
      <c r="D1520" t="s">
        <v>2007</v>
      </c>
      <c r="E1520" t="s">
        <v>2094</v>
      </c>
    </row>
    <row r="1521" spans="1:5" x14ac:dyDescent="0.25">
      <c r="A1521" t="s">
        <v>1878</v>
      </c>
      <c r="B1521" t="s">
        <v>1940</v>
      </c>
      <c r="C1521" t="s">
        <v>1847</v>
      </c>
      <c r="D1521" t="s">
        <v>2015</v>
      </c>
      <c r="E1521" t="s">
        <v>2095</v>
      </c>
    </row>
    <row r="1522" spans="1:5" x14ac:dyDescent="0.25">
      <c r="A1522" t="s">
        <v>1879</v>
      </c>
      <c r="B1522" t="s">
        <v>1941</v>
      </c>
      <c r="C1522" t="s">
        <v>1848</v>
      </c>
      <c r="D1522" t="s">
        <v>2016</v>
      </c>
      <c r="E1522" t="s">
        <v>2101</v>
      </c>
    </row>
    <row r="1523" spans="1:5" x14ac:dyDescent="0.25">
      <c r="A1523" t="s">
        <v>1880</v>
      </c>
      <c r="B1523" t="s">
        <v>1943</v>
      </c>
      <c r="C1523" t="s">
        <v>1849</v>
      </c>
      <c r="D1523" t="s">
        <v>2017</v>
      </c>
      <c r="E1523" t="s">
        <v>2110</v>
      </c>
    </row>
    <row r="1524" spans="1:5" x14ac:dyDescent="0.25">
      <c r="A1524" t="s">
        <v>2476</v>
      </c>
      <c r="B1524" t="s">
        <v>1944</v>
      </c>
      <c r="C1524" t="s">
        <v>1851</v>
      </c>
      <c r="D1524" t="s">
        <v>2019</v>
      </c>
      <c r="E1524" t="s">
        <v>2119</v>
      </c>
    </row>
    <row r="1525" spans="1:5" x14ac:dyDescent="0.25">
      <c r="A1525" t="s">
        <v>1881</v>
      </c>
      <c r="B1525" t="s">
        <v>1945</v>
      </c>
      <c r="C1525" t="s">
        <v>1852</v>
      </c>
      <c r="D1525" t="s">
        <v>2027</v>
      </c>
      <c r="E1525" t="s">
        <v>2120</v>
      </c>
    </row>
    <row r="1526" spans="1:5" x14ac:dyDescent="0.25">
      <c r="A1526" t="s">
        <v>1883</v>
      </c>
      <c r="B1526" t="s">
        <v>1946</v>
      </c>
      <c r="C1526" t="s">
        <v>1853</v>
      </c>
      <c r="D1526" t="s">
        <v>2034</v>
      </c>
      <c r="E1526" t="s">
        <v>2128</v>
      </c>
    </row>
    <row r="1527" spans="1:5" x14ac:dyDescent="0.25">
      <c r="A1527" t="s">
        <v>1884</v>
      </c>
      <c r="B1527" t="s">
        <v>1948</v>
      </c>
      <c r="C1527" t="s">
        <v>1854</v>
      </c>
      <c r="D1527" t="s">
        <v>2046</v>
      </c>
      <c r="E1527" t="s">
        <v>2129</v>
      </c>
    </row>
    <row r="1528" spans="1:5" x14ac:dyDescent="0.25">
      <c r="A1528" t="s">
        <v>1885</v>
      </c>
      <c r="B1528" t="s">
        <v>1949</v>
      </c>
      <c r="C1528" t="s">
        <v>1856</v>
      </c>
      <c r="D1528" t="s">
        <v>2051</v>
      </c>
    </row>
    <row r="1529" spans="1:5" x14ac:dyDescent="0.25">
      <c r="A1529" t="s">
        <v>1886</v>
      </c>
      <c r="B1529" t="s">
        <v>1951</v>
      </c>
      <c r="C1529" t="s">
        <v>1858</v>
      </c>
      <c r="D1529" t="s">
        <v>2052</v>
      </c>
    </row>
    <row r="1530" spans="1:5" x14ac:dyDescent="0.25">
      <c r="A1530" t="s">
        <v>1887</v>
      </c>
      <c r="B1530" t="s">
        <v>1952</v>
      </c>
      <c r="C1530" t="s">
        <v>1859</v>
      </c>
      <c r="D1530" t="s">
        <v>2053</v>
      </c>
    </row>
    <row r="1531" spans="1:5" x14ac:dyDescent="0.25">
      <c r="A1531" t="s">
        <v>1888</v>
      </c>
      <c r="B1531" t="s">
        <v>1953</v>
      </c>
      <c r="C1531" t="s">
        <v>1860</v>
      </c>
      <c r="D1531" t="s">
        <v>2054</v>
      </c>
    </row>
    <row r="1532" spans="1:5" x14ac:dyDescent="0.25">
      <c r="A1532" t="s">
        <v>1889</v>
      </c>
      <c r="B1532" t="s">
        <v>1954</v>
      </c>
      <c r="C1532" t="s">
        <v>1862</v>
      </c>
      <c r="D1532" t="s">
        <v>2055</v>
      </c>
    </row>
    <row r="1533" spans="1:5" x14ac:dyDescent="0.25">
      <c r="A1533" t="s">
        <v>1890</v>
      </c>
      <c r="B1533" t="s">
        <v>1955</v>
      </c>
      <c r="C1533" t="s">
        <v>1863</v>
      </c>
      <c r="D1533" t="s">
        <v>2056</v>
      </c>
    </row>
    <row r="1534" spans="1:5" x14ac:dyDescent="0.25">
      <c r="A1534" t="s">
        <v>1891</v>
      </c>
      <c r="B1534" t="s">
        <v>3019</v>
      </c>
      <c r="C1534" t="s">
        <v>1864</v>
      </c>
      <c r="D1534" t="s">
        <v>3146</v>
      </c>
    </row>
    <row r="1535" spans="1:5" x14ac:dyDescent="0.25">
      <c r="A1535" t="s">
        <v>2995</v>
      </c>
      <c r="B1535" t="s">
        <v>1957</v>
      </c>
      <c r="C1535" t="s">
        <v>1873</v>
      </c>
      <c r="D1535" t="s">
        <v>2057</v>
      </c>
    </row>
    <row r="1536" spans="1:5" x14ac:dyDescent="0.25">
      <c r="A1536" t="s">
        <v>1909</v>
      </c>
      <c r="B1536" t="s">
        <v>1958</v>
      </c>
      <c r="C1536" t="s">
        <v>1865</v>
      </c>
      <c r="D1536" t="s">
        <v>2058</v>
      </c>
    </row>
    <row r="1537" spans="1:4" x14ac:dyDescent="0.25">
      <c r="A1537" t="s">
        <v>2996</v>
      </c>
      <c r="B1537" t="s">
        <v>1960</v>
      </c>
      <c r="C1537" t="s">
        <v>2992</v>
      </c>
      <c r="D1537" t="s">
        <v>2059</v>
      </c>
    </row>
    <row r="1538" spans="1:4" x14ac:dyDescent="0.25">
      <c r="A1538" t="s">
        <v>2997</v>
      </c>
      <c r="B1538" t="s">
        <v>1961</v>
      </c>
      <c r="C1538" t="s">
        <v>1867</v>
      </c>
      <c r="D1538" t="s">
        <v>2060</v>
      </c>
    </row>
    <row r="1539" spans="1:4" x14ac:dyDescent="0.25">
      <c r="A1539" t="s">
        <v>2998</v>
      </c>
      <c r="B1539" t="s">
        <v>3020</v>
      </c>
      <c r="C1539" t="s">
        <v>1868</v>
      </c>
      <c r="D1539" t="s">
        <v>2061</v>
      </c>
    </row>
    <row r="1540" spans="1:4" x14ac:dyDescent="0.25">
      <c r="A1540" t="s">
        <v>2999</v>
      </c>
      <c r="B1540" t="s">
        <v>2008</v>
      </c>
      <c r="C1540" t="s">
        <v>2468</v>
      </c>
      <c r="D1540" t="s">
        <v>2062</v>
      </c>
    </row>
    <row r="1541" spans="1:4" x14ac:dyDescent="0.25">
      <c r="A1541" t="s">
        <v>3000</v>
      </c>
      <c r="B1541" t="s">
        <v>1965</v>
      </c>
      <c r="C1541" t="s">
        <v>3220</v>
      </c>
      <c r="D1541" t="s">
        <v>2063</v>
      </c>
    </row>
    <row r="1542" spans="1:4" x14ac:dyDescent="0.25">
      <c r="A1542" t="s">
        <v>3001</v>
      </c>
      <c r="B1542" t="s">
        <v>1966</v>
      </c>
      <c r="C1542" t="s">
        <v>3142</v>
      </c>
      <c r="D1542" t="s">
        <v>2064</v>
      </c>
    </row>
    <row r="1543" spans="1:4" x14ac:dyDescent="0.25">
      <c r="A1543" t="s">
        <v>3002</v>
      </c>
      <c r="B1543" t="s">
        <v>1967</v>
      </c>
      <c r="C1543" t="s">
        <v>2469</v>
      </c>
      <c r="D1543" t="s">
        <v>3064</v>
      </c>
    </row>
    <row r="1544" spans="1:4" x14ac:dyDescent="0.25">
      <c r="A1544" t="s">
        <v>3003</v>
      </c>
      <c r="B1544" t="s">
        <v>1968</v>
      </c>
      <c r="C1544" t="s">
        <v>2470</v>
      </c>
      <c r="D1544" t="s">
        <v>2065</v>
      </c>
    </row>
    <row r="1545" spans="1:4" x14ac:dyDescent="0.25">
      <c r="A1545" t="s">
        <v>1901</v>
      </c>
      <c r="B1545" t="s">
        <v>1969</v>
      </c>
      <c r="C1545" t="s">
        <v>2471</v>
      </c>
      <c r="D1545" t="s">
        <v>2066</v>
      </c>
    </row>
    <row r="1546" spans="1:4" x14ac:dyDescent="0.25">
      <c r="A1546" t="s">
        <v>2477</v>
      </c>
      <c r="B1546" t="s">
        <v>1970</v>
      </c>
      <c r="C1546" t="s">
        <v>2472</v>
      </c>
      <c r="D1546" t="s">
        <v>2067</v>
      </c>
    </row>
    <row r="1547" spans="1:4" x14ac:dyDescent="0.25">
      <c r="A1547" t="s">
        <v>1902</v>
      </c>
      <c r="B1547" t="s">
        <v>1971</v>
      </c>
      <c r="C1547" t="s">
        <v>2993</v>
      </c>
      <c r="D1547" t="s">
        <v>2068</v>
      </c>
    </row>
    <row r="1548" spans="1:4" x14ac:dyDescent="0.25">
      <c r="A1548" t="s">
        <v>1903</v>
      </c>
      <c r="B1548" t="s">
        <v>3021</v>
      </c>
      <c r="C1548" t="s">
        <v>3143</v>
      </c>
      <c r="D1548" t="s">
        <v>2069</v>
      </c>
    </row>
    <row r="1549" spans="1:4" x14ac:dyDescent="0.25">
      <c r="A1549" t="s">
        <v>2478</v>
      </c>
      <c r="B1549" t="s">
        <v>1976</v>
      </c>
      <c r="C1549" t="s">
        <v>2994</v>
      </c>
      <c r="D1549" t="s">
        <v>2073</v>
      </c>
    </row>
    <row r="1550" spans="1:4" x14ac:dyDescent="0.25">
      <c r="A1550" t="s">
        <v>1907</v>
      </c>
      <c r="B1550" t="s">
        <v>1975</v>
      </c>
      <c r="C1550" t="s">
        <v>1869</v>
      </c>
      <c r="D1550" t="s">
        <v>2074</v>
      </c>
    </row>
    <row r="1551" spans="1:4" x14ac:dyDescent="0.25">
      <c r="A1551" t="s">
        <v>1908</v>
      </c>
      <c r="B1551" t="s">
        <v>1977</v>
      </c>
      <c r="C1551" t="s">
        <v>1870</v>
      </c>
      <c r="D1551" t="s">
        <v>2075</v>
      </c>
    </row>
    <row r="1552" spans="1:4" x14ac:dyDescent="0.25">
      <c r="A1552" t="s">
        <v>2479</v>
      </c>
      <c r="B1552" t="s">
        <v>2493</v>
      </c>
      <c r="C1552" t="s">
        <v>1871</v>
      </c>
      <c r="D1552" t="s">
        <v>2080</v>
      </c>
    </row>
    <row r="1553" spans="1:4" x14ac:dyDescent="0.25">
      <c r="A1553" t="s">
        <v>1911</v>
      </c>
      <c r="B1553" t="s">
        <v>1978</v>
      </c>
      <c r="C1553" t="s">
        <v>1872</v>
      </c>
      <c r="D1553" t="s">
        <v>2081</v>
      </c>
    </row>
    <row r="1554" spans="1:4" x14ac:dyDescent="0.25">
      <c r="A1554" t="s">
        <v>2480</v>
      </c>
      <c r="B1554" t="s">
        <v>1979</v>
      </c>
      <c r="C1554" t="s">
        <v>1874</v>
      </c>
      <c r="D1554" t="s">
        <v>2082</v>
      </c>
    </row>
    <row r="1555" spans="1:4" x14ac:dyDescent="0.25">
      <c r="A1555" t="s">
        <v>2481</v>
      </c>
      <c r="B1555" t="s">
        <v>1980</v>
      </c>
      <c r="C1555" t="s">
        <v>1875</v>
      </c>
      <c r="D1555" t="s">
        <v>2087</v>
      </c>
    </row>
    <row r="1556" spans="1:4" x14ac:dyDescent="0.25">
      <c r="A1556" t="s">
        <v>2482</v>
      </c>
      <c r="B1556" t="s">
        <v>2494</v>
      </c>
      <c r="C1556" t="s">
        <v>1876</v>
      </c>
      <c r="D1556" t="s">
        <v>2088</v>
      </c>
    </row>
    <row r="1557" spans="1:4" x14ac:dyDescent="0.25">
      <c r="A1557" t="s">
        <v>1912</v>
      </c>
      <c r="B1557" t="s">
        <v>1983</v>
      </c>
      <c r="C1557" t="s">
        <v>1877</v>
      </c>
      <c r="D1557" t="s">
        <v>2089</v>
      </c>
    </row>
    <row r="1558" spans="1:4" x14ac:dyDescent="0.25">
      <c r="A1558" t="s">
        <v>2483</v>
      </c>
      <c r="B1558" t="s">
        <v>1981</v>
      </c>
      <c r="C1558" t="s">
        <v>1878</v>
      </c>
      <c r="D1558" t="s">
        <v>2094</v>
      </c>
    </row>
    <row r="1559" spans="1:4" x14ac:dyDescent="0.25">
      <c r="A1559" t="s">
        <v>1913</v>
      </c>
      <c r="B1559" t="s">
        <v>2495</v>
      </c>
      <c r="C1559" t="s">
        <v>1879</v>
      </c>
      <c r="D1559" t="s">
        <v>2095</v>
      </c>
    </row>
    <row r="1560" spans="1:4" x14ac:dyDescent="0.25">
      <c r="A1560" t="s">
        <v>1914</v>
      </c>
      <c r="B1560" t="s">
        <v>2496</v>
      </c>
      <c r="C1560" t="s">
        <v>1880</v>
      </c>
      <c r="D1560" t="s">
        <v>2120</v>
      </c>
    </row>
    <row r="1561" spans="1:4" x14ac:dyDescent="0.25">
      <c r="A1561" t="s">
        <v>1915</v>
      </c>
      <c r="B1561" t="s">
        <v>2499</v>
      </c>
      <c r="C1561" t="s">
        <v>2476</v>
      </c>
      <c r="D1561" t="s">
        <v>2129</v>
      </c>
    </row>
    <row r="1562" spans="1:4" x14ac:dyDescent="0.25">
      <c r="A1562" t="s">
        <v>1916</v>
      </c>
      <c r="B1562" t="s">
        <v>2500</v>
      </c>
      <c r="C1562" t="s">
        <v>1881</v>
      </c>
    </row>
    <row r="1563" spans="1:4" x14ac:dyDescent="0.25">
      <c r="A1563" t="s">
        <v>1917</v>
      </c>
      <c r="B1563" t="s">
        <v>2501</v>
      </c>
      <c r="C1563" t="s">
        <v>1883</v>
      </c>
    </row>
    <row r="1564" spans="1:4" x14ac:dyDescent="0.25">
      <c r="A1564" t="s">
        <v>1918</v>
      </c>
      <c r="B1564" t="s">
        <v>2502</v>
      </c>
      <c r="C1564" t="s">
        <v>1884</v>
      </c>
    </row>
    <row r="1565" spans="1:4" x14ac:dyDescent="0.25">
      <c r="A1565" t="s">
        <v>2484</v>
      </c>
      <c r="B1565" t="s">
        <v>2505</v>
      </c>
      <c r="C1565" t="s">
        <v>1885</v>
      </c>
    </row>
    <row r="1566" spans="1:4" x14ac:dyDescent="0.25">
      <c r="A1566" t="s">
        <v>2485</v>
      </c>
      <c r="B1566" t="s">
        <v>2513</v>
      </c>
      <c r="C1566" t="s">
        <v>1886</v>
      </c>
    </row>
    <row r="1567" spans="1:4" x14ac:dyDescent="0.25">
      <c r="A1567" t="s">
        <v>3004</v>
      </c>
      <c r="B1567" t="s">
        <v>2518</v>
      </c>
      <c r="C1567" t="s">
        <v>1887</v>
      </c>
    </row>
    <row r="1568" spans="1:4" x14ac:dyDescent="0.25">
      <c r="A1568" t="s">
        <v>3005</v>
      </c>
      <c r="B1568" t="s">
        <v>2519</v>
      </c>
      <c r="C1568" t="s">
        <v>1888</v>
      </c>
    </row>
    <row r="1569" spans="1:3" x14ac:dyDescent="0.25">
      <c r="A1569" t="s">
        <v>3006</v>
      </c>
      <c r="B1569" t="s">
        <v>2521</v>
      </c>
      <c r="C1569" t="s">
        <v>1889</v>
      </c>
    </row>
    <row r="1570" spans="1:3" x14ac:dyDescent="0.25">
      <c r="A1570" t="s">
        <v>3007</v>
      </c>
      <c r="B1570" t="s">
        <v>2522</v>
      </c>
      <c r="C1570" t="s">
        <v>1890</v>
      </c>
    </row>
    <row r="1571" spans="1:3" x14ac:dyDescent="0.25">
      <c r="A1571" t="s">
        <v>3008</v>
      </c>
      <c r="B1571" t="s">
        <v>2523</v>
      </c>
      <c r="C1571" t="s">
        <v>1891</v>
      </c>
    </row>
    <row r="1572" spans="1:3" x14ac:dyDescent="0.25">
      <c r="A1572" t="s">
        <v>3009</v>
      </c>
      <c r="B1572" t="s">
        <v>2524</v>
      </c>
      <c r="C1572" t="s">
        <v>2995</v>
      </c>
    </row>
    <row r="1573" spans="1:3" x14ac:dyDescent="0.25">
      <c r="A1573" t="s">
        <v>3010</v>
      </c>
      <c r="B1573" t="s">
        <v>2525</v>
      </c>
      <c r="C1573" t="s">
        <v>1942</v>
      </c>
    </row>
    <row r="1574" spans="1:3" x14ac:dyDescent="0.25">
      <c r="A1574" t="s">
        <v>1919</v>
      </c>
      <c r="B1574" t="s">
        <v>2526</v>
      </c>
      <c r="C1574" t="s">
        <v>3221</v>
      </c>
    </row>
    <row r="1575" spans="1:3" x14ac:dyDescent="0.25">
      <c r="A1575" t="s">
        <v>3011</v>
      </c>
      <c r="B1575" t="s">
        <v>2527</v>
      </c>
      <c r="C1575" t="s">
        <v>1909</v>
      </c>
    </row>
    <row r="1576" spans="1:3" x14ac:dyDescent="0.25">
      <c r="A1576" t="s">
        <v>1920</v>
      </c>
      <c r="B1576" t="s">
        <v>2528</v>
      </c>
      <c r="C1576" t="s">
        <v>2997</v>
      </c>
    </row>
    <row r="1577" spans="1:3" x14ac:dyDescent="0.25">
      <c r="A1577" t="s">
        <v>3012</v>
      </c>
      <c r="B1577" t="s">
        <v>2529</v>
      </c>
      <c r="C1577" t="s">
        <v>2999</v>
      </c>
    </row>
    <row r="1578" spans="1:3" x14ac:dyDescent="0.25">
      <c r="A1578" t="s">
        <v>1921</v>
      </c>
      <c r="B1578" t="s">
        <v>3022</v>
      </c>
      <c r="C1578" t="s">
        <v>3144</v>
      </c>
    </row>
    <row r="1579" spans="1:3" x14ac:dyDescent="0.25">
      <c r="A1579" t="s">
        <v>1923</v>
      </c>
      <c r="B1579" t="s">
        <v>3023</v>
      </c>
      <c r="C1579" t="s">
        <v>3000</v>
      </c>
    </row>
    <row r="1580" spans="1:3" x14ac:dyDescent="0.25">
      <c r="A1580" t="s">
        <v>1924</v>
      </c>
      <c r="B1580" t="s">
        <v>3147</v>
      </c>
      <c r="C1580" t="s">
        <v>3001</v>
      </c>
    </row>
    <row r="1581" spans="1:3" x14ac:dyDescent="0.25">
      <c r="A1581" t="s">
        <v>1925</v>
      </c>
      <c r="B1581" t="s">
        <v>2531</v>
      </c>
      <c r="C1581" t="s">
        <v>3002</v>
      </c>
    </row>
    <row r="1582" spans="1:3" x14ac:dyDescent="0.25">
      <c r="A1582" t="s">
        <v>3013</v>
      </c>
      <c r="B1582" t="s">
        <v>2532</v>
      </c>
      <c r="C1582" t="s">
        <v>3003</v>
      </c>
    </row>
    <row r="1583" spans="1:3" x14ac:dyDescent="0.25">
      <c r="A1583" t="s">
        <v>2486</v>
      </c>
      <c r="B1583" t="s">
        <v>1988</v>
      </c>
      <c r="C1583" t="s">
        <v>1901</v>
      </c>
    </row>
    <row r="1584" spans="1:3" x14ac:dyDescent="0.25">
      <c r="A1584" t="s">
        <v>3014</v>
      </c>
      <c r="B1584" t="s">
        <v>3148</v>
      </c>
      <c r="C1584" t="s">
        <v>2477</v>
      </c>
    </row>
    <row r="1585" spans="1:3" x14ac:dyDescent="0.25">
      <c r="A1585" t="s">
        <v>3015</v>
      </c>
      <c r="B1585" t="s">
        <v>2533</v>
      </c>
      <c r="C1585" t="s">
        <v>1902</v>
      </c>
    </row>
    <row r="1586" spans="1:3" x14ac:dyDescent="0.25">
      <c r="A1586" t="s">
        <v>3016</v>
      </c>
      <c r="B1586" t="s">
        <v>2534</v>
      </c>
      <c r="C1586" t="s">
        <v>1903</v>
      </c>
    </row>
    <row r="1587" spans="1:3" x14ac:dyDescent="0.25">
      <c r="A1587" t="s">
        <v>1926</v>
      </c>
      <c r="B1587" t="s">
        <v>1989</v>
      </c>
      <c r="C1587" t="s">
        <v>1906</v>
      </c>
    </row>
    <row r="1588" spans="1:3" x14ac:dyDescent="0.25">
      <c r="A1588" t="s">
        <v>1927</v>
      </c>
      <c r="B1588" t="s">
        <v>2535</v>
      </c>
      <c r="C1588" t="s">
        <v>2478</v>
      </c>
    </row>
    <row r="1589" spans="1:3" x14ac:dyDescent="0.25">
      <c r="A1589" t="s">
        <v>3017</v>
      </c>
      <c r="B1589" t="s">
        <v>1990</v>
      </c>
      <c r="C1589" t="s">
        <v>1907</v>
      </c>
    </row>
    <row r="1590" spans="1:3" x14ac:dyDescent="0.25">
      <c r="A1590" t="s">
        <v>3018</v>
      </c>
      <c r="B1590" t="s">
        <v>1991</v>
      </c>
      <c r="C1590" t="s">
        <v>1908</v>
      </c>
    </row>
    <row r="1591" spans="1:3" x14ac:dyDescent="0.25">
      <c r="A1591" t="s">
        <v>2487</v>
      </c>
      <c r="B1591" t="s">
        <v>1992</v>
      </c>
      <c r="C1591" t="s">
        <v>1911</v>
      </c>
    </row>
    <row r="1592" spans="1:3" x14ac:dyDescent="0.25">
      <c r="A1592" t="s">
        <v>2488</v>
      </c>
      <c r="B1592" t="s">
        <v>1993</v>
      </c>
      <c r="C1592" t="s">
        <v>2480</v>
      </c>
    </row>
    <row r="1593" spans="1:3" x14ac:dyDescent="0.25">
      <c r="A1593" t="s">
        <v>2489</v>
      </c>
      <c r="B1593" t="s">
        <v>1994</v>
      </c>
      <c r="C1593" t="s">
        <v>2481</v>
      </c>
    </row>
    <row r="1594" spans="1:3" x14ac:dyDescent="0.25">
      <c r="A1594" t="s">
        <v>1928</v>
      </c>
      <c r="B1594" t="s">
        <v>2000</v>
      </c>
      <c r="C1594" t="s">
        <v>2482</v>
      </c>
    </row>
    <row r="1595" spans="1:3" x14ac:dyDescent="0.25">
      <c r="A1595" t="s">
        <v>2490</v>
      </c>
      <c r="B1595" t="s">
        <v>1995</v>
      </c>
      <c r="C1595" t="s">
        <v>1912</v>
      </c>
    </row>
    <row r="1596" spans="1:3" x14ac:dyDescent="0.25">
      <c r="A1596" t="s">
        <v>2491</v>
      </c>
      <c r="B1596" t="s">
        <v>1996</v>
      </c>
      <c r="C1596" t="s">
        <v>2483</v>
      </c>
    </row>
    <row r="1597" spans="1:3" x14ac:dyDescent="0.25">
      <c r="A1597" t="s">
        <v>1930</v>
      </c>
      <c r="B1597" t="s">
        <v>3024</v>
      </c>
      <c r="C1597" t="s">
        <v>1913</v>
      </c>
    </row>
    <row r="1598" spans="1:3" x14ac:dyDescent="0.25">
      <c r="A1598" t="s">
        <v>1931</v>
      </c>
      <c r="B1598" t="s">
        <v>3025</v>
      </c>
      <c r="C1598" t="s">
        <v>1914</v>
      </c>
    </row>
    <row r="1599" spans="1:3" x14ac:dyDescent="0.25">
      <c r="A1599" t="s">
        <v>1932</v>
      </c>
      <c r="B1599" t="s">
        <v>3026</v>
      </c>
      <c r="C1599" t="s">
        <v>1915</v>
      </c>
    </row>
    <row r="1600" spans="1:3" x14ac:dyDescent="0.25">
      <c r="A1600" t="s">
        <v>1933</v>
      </c>
      <c r="B1600" t="s">
        <v>3027</v>
      </c>
      <c r="C1600" t="s">
        <v>1916</v>
      </c>
    </row>
    <row r="1601" spans="1:3" x14ac:dyDescent="0.25">
      <c r="A1601" t="s">
        <v>1934</v>
      </c>
      <c r="B1601" t="s">
        <v>3028</v>
      </c>
      <c r="C1601" t="s">
        <v>1917</v>
      </c>
    </row>
    <row r="1602" spans="1:3" x14ac:dyDescent="0.25">
      <c r="A1602" t="s">
        <v>1936</v>
      </c>
      <c r="B1602" t="s">
        <v>3029</v>
      </c>
      <c r="C1602" t="s">
        <v>1918</v>
      </c>
    </row>
    <row r="1603" spans="1:3" x14ac:dyDescent="0.25">
      <c r="A1603" t="s">
        <v>1937</v>
      </c>
      <c r="B1603" t="s">
        <v>3030</v>
      </c>
      <c r="C1603" t="s">
        <v>3176</v>
      </c>
    </row>
    <row r="1604" spans="1:3" x14ac:dyDescent="0.25">
      <c r="A1604" t="s">
        <v>1938</v>
      </c>
      <c r="B1604" t="s">
        <v>3031</v>
      </c>
      <c r="C1604" t="s">
        <v>2485</v>
      </c>
    </row>
    <row r="1605" spans="1:3" x14ac:dyDescent="0.25">
      <c r="A1605" t="s">
        <v>1939</v>
      </c>
      <c r="B1605" t="s">
        <v>3032</v>
      </c>
      <c r="C1605" t="s">
        <v>3005</v>
      </c>
    </row>
    <row r="1606" spans="1:3" x14ac:dyDescent="0.25">
      <c r="A1606" t="s">
        <v>1940</v>
      </c>
      <c r="B1606" t="s">
        <v>3033</v>
      </c>
      <c r="C1606" t="s">
        <v>3006</v>
      </c>
    </row>
    <row r="1607" spans="1:3" x14ac:dyDescent="0.25">
      <c r="A1607" t="s">
        <v>1941</v>
      </c>
      <c r="B1607" t="s">
        <v>3034</v>
      </c>
      <c r="C1607" t="s">
        <v>3007</v>
      </c>
    </row>
    <row r="1608" spans="1:3" x14ac:dyDescent="0.25">
      <c r="A1608" t="s">
        <v>1943</v>
      </c>
      <c r="B1608" t="s">
        <v>3035</v>
      </c>
      <c r="C1608" t="s">
        <v>3008</v>
      </c>
    </row>
    <row r="1609" spans="1:3" x14ac:dyDescent="0.25">
      <c r="A1609" t="s">
        <v>1944</v>
      </c>
      <c r="B1609" t="s">
        <v>3036</v>
      </c>
      <c r="C1609" t="s">
        <v>3009</v>
      </c>
    </row>
    <row r="1610" spans="1:3" x14ac:dyDescent="0.25">
      <c r="A1610" t="s">
        <v>1945</v>
      </c>
      <c r="B1610" t="s">
        <v>3037</v>
      </c>
      <c r="C1610" t="s">
        <v>3010</v>
      </c>
    </row>
    <row r="1611" spans="1:3" x14ac:dyDescent="0.25">
      <c r="A1611" t="s">
        <v>1946</v>
      </c>
      <c r="B1611" t="s">
        <v>3038</v>
      </c>
      <c r="C1611" t="s">
        <v>1919</v>
      </c>
    </row>
    <row r="1612" spans="1:3" x14ac:dyDescent="0.25">
      <c r="A1612" t="s">
        <v>1948</v>
      </c>
      <c r="B1612" t="s">
        <v>3039</v>
      </c>
      <c r="C1612" t="s">
        <v>3011</v>
      </c>
    </row>
    <row r="1613" spans="1:3" x14ac:dyDescent="0.25">
      <c r="A1613" t="s">
        <v>1949</v>
      </c>
      <c r="B1613" t="s">
        <v>3040</v>
      </c>
      <c r="C1613" t="s">
        <v>1920</v>
      </c>
    </row>
    <row r="1614" spans="1:3" x14ac:dyDescent="0.25">
      <c r="A1614" t="s">
        <v>1951</v>
      </c>
      <c r="B1614" t="s">
        <v>3041</v>
      </c>
      <c r="C1614" t="s">
        <v>3012</v>
      </c>
    </row>
    <row r="1615" spans="1:3" x14ac:dyDescent="0.25">
      <c r="A1615" t="s">
        <v>1952</v>
      </c>
      <c r="B1615" t="s">
        <v>2036</v>
      </c>
      <c r="C1615" t="s">
        <v>1921</v>
      </c>
    </row>
    <row r="1616" spans="1:3" x14ac:dyDescent="0.25">
      <c r="A1616" t="s">
        <v>1953</v>
      </c>
      <c r="B1616" t="s">
        <v>2038</v>
      </c>
      <c r="C1616" t="s">
        <v>1922</v>
      </c>
    </row>
    <row r="1617" spans="1:3" x14ac:dyDescent="0.25">
      <c r="A1617" t="s">
        <v>1954</v>
      </c>
      <c r="B1617" t="s">
        <v>3042</v>
      </c>
      <c r="C1617" t="s">
        <v>1923</v>
      </c>
    </row>
    <row r="1618" spans="1:3" x14ac:dyDescent="0.25">
      <c r="A1618" t="s">
        <v>1955</v>
      </c>
      <c r="B1618" t="s">
        <v>2040</v>
      </c>
      <c r="C1618" t="s">
        <v>1924</v>
      </c>
    </row>
    <row r="1619" spans="1:3" x14ac:dyDescent="0.25">
      <c r="A1619" t="s">
        <v>2492</v>
      </c>
      <c r="B1619" t="s">
        <v>1998</v>
      </c>
      <c r="C1619" t="s">
        <v>1925</v>
      </c>
    </row>
    <row r="1620" spans="1:3" x14ac:dyDescent="0.25">
      <c r="A1620" t="s">
        <v>3019</v>
      </c>
      <c r="B1620" t="s">
        <v>2001</v>
      </c>
      <c r="C1620" t="s">
        <v>3013</v>
      </c>
    </row>
    <row r="1621" spans="1:3" x14ac:dyDescent="0.25">
      <c r="A1621" t="s">
        <v>1957</v>
      </c>
      <c r="B1621" t="s">
        <v>3043</v>
      </c>
      <c r="C1621" t="s">
        <v>2486</v>
      </c>
    </row>
    <row r="1622" spans="1:3" x14ac:dyDescent="0.25">
      <c r="A1622" t="s">
        <v>1958</v>
      </c>
      <c r="B1622" t="s">
        <v>3044</v>
      </c>
      <c r="C1622" t="s">
        <v>3014</v>
      </c>
    </row>
    <row r="1623" spans="1:3" x14ac:dyDescent="0.25">
      <c r="A1623" t="s">
        <v>1960</v>
      </c>
      <c r="B1623" t="s">
        <v>3045</v>
      </c>
      <c r="C1623" t="s">
        <v>3015</v>
      </c>
    </row>
    <row r="1624" spans="1:3" x14ac:dyDescent="0.25">
      <c r="A1624" t="s">
        <v>1961</v>
      </c>
      <c r="B1624" t="s">
        <v>2042</v>
      </c>
      <c r="C1624" t="s">
        <v>3016</v>
      </c>
    </row>
    <row r="1625" spans="1:3" x14ac:dyDescent="0.25">
      <c r="A1625" t="s">
        <v>3020</v>
      </c>
      <c r="B1625" t="s">
        <v>2044</v>
      </c>
      <c r="C1625" t="s">
        <v>1926</v>
      </c>
    </row>
    <row r="1626" spans="1:3" x14ac:dyDescent="0.25">
      <c r="A1626" t="s">
        <v>2008</v>
      </c>
      <c r="B1626" t="s">
        <v>3046</v>
      </c>
      <c r="C1626" t="s">
        <v>1927</v>
      </c>
    </row>
    <row r="1627" spans="1:3" x14ac:dyDescent="0.25">
      <c r="A1627" t="s">
        <v>1965</v>
      </c>
      <c r="B1627" t="s">
        <v>3047</v>
      </c>
      <c r="C1627" t="s">
        <v>3017</v>
      </c>
    </row>
    <row r="1628" spans="1:3" x14ac:dyDescent="0.25">
      <c r="A1628" t="s">
        <v>1966</v>
      </c>
      <c r="B1628" t="s">
        <v>3048</v>
      </c>
      <c r="C1628" t="s">
        <v>3145</v>
      </c>
    </row>
    <row r="1629" spans="1:3" x14ac:dyDescent="0.25">
      <c r="A1629" t="s">
        <v>1967</v>
      </c>
      <c r="B1629" t="s">
        <v>2003</v>
      </c>
      <c r="C1629" t="s">
        <v>3222</v>
      </c>
    </row>
    <row r="1630" spans="1:3" x14ac:dyDescent="0.25">
      <c r="A1630" t="s">
        <v>1968</v>
      </c>
      <c r="B1630" t="s">
        <v>3049</v>
      </c>
      <c r="C1630" t="s">
        <v>3177</v>
      </c>
    </row>
    <row r="1631" spans="1:3" x14ac:dyDescent="0.25">
      <c r="A1631" t="s">
        <v>1969</v>
      </c>
      <c r="B1631" t="s">
        <v>3050</v>
      </c>
      <c r="C1631" t="s">
        <v>2487</v>
      </c>
    </row>
    <row r="1632" spans="1:3" x14ac:dyDescent="0.25">
      <c r="A1632" t="s">
        <v>1970</v>
      </c>
      <c r="B1632" t="s">
        <v>3051</v>
      </c>
      <c r="C1632" t="s">
        <v>2488</v>
      </c>
    </row>
    <row r="1633" spans="1:3" x14ac:dyDescent="0.25">
      <c r="A1633" t="s">
        <v>1971</v>
      </c>
      <c r="B1633" t="s">
        <v>3052</v>
      </c>
      <c r="C1633" t="s">
        <v>2489</v>
      </c>
    </row>
    <row r="1634" spans="1:3" x14ac:dyDescent="0.25">
      <c r="A1634" t="s">
        <v>3021</v>
      </c>
      <c r="B1634" t="s">
        <v>3053</v>
      </c>
      <c r="C1634" t="s">
        <v>1928</v>
      </c>
    </row>
    <row r="1635" spans="1:3" x14ac:dyDescent="0.25">
      <c r="A1635" t="s">
        <v>1976</v>
      </c>
      <c r="B1635" t="s">
        <v>3054</v>
      </c>
      <c r="C1635" t="s">
        <v>2490</v>
      </c>
    </row>
    <row r="1636" spans="1:3" x14ac:dyDescent="0.25">
      <c r="A1636" t="s">
        <v>1975</v>
      </c>
      <c r="B1636" t="s">
        <v>3055</v>
      </c>
      <c r="C1636" t="s">
        <v>2491</v>
      </c>
    </row>
    <row r="1637" spans="1:3" x14ac:dyDescent="0.25">
      <c r="A1637" t="s">
        <v>1977</v>
      </c>
      <c r="B1637" t="s">
        <v>3057</v>
      </c>
      <c r="C1637" t="s">
        <v>1930</v>
      </c>
    </row>
    <row r="1638" spans="1:3" x14ac:dyDescent="0.25">
      <c r="A1638" t="s">
        <v>2493</v>
      </c>
      <c r="B1638" t="s">
        <v>3060</v>
      </c>
      <c r="C1638" t="s">
        <v>1931</v>
      </c>
    </row>
    <row r="1639" spans="1:3" x14ac:dyDescent="0.25">
      <c r="A1639" t="s">
        <v>1978</v>
      </c>
      <c r="B1639" t="s">
        <v>2005</v>
      </c>
      <c r="C1639" t="s">
        <v>1932</v>
      </c>
    </row>
    <row r="1640" spans="1:3" x14ac:dyDescent="0.25">
      <c r="A1640" t="s">
        <v>1979</v>
      </c>
      <c r="B1640" t="s">
        <v>2015</v>
      </c>
      <c r="C1640" t="s">
        <v>1933</v>
      </c>
    </row>
    <row r="1641" spans="1:3" x14ac:dyDescent="0.25">
      <c r="A1641" t="s">
        <v>1980</v>
      </c>
      <c r="B1641" t="s">
        <v>2018</v>
      </c>
      <c r="C1641" t="s">
        <v>1934</v>
      </c>
    </row>
    <row r="1642" spans="1:3" x14ac:dyDescent="0.25">
      <c r="A1642" t="s">
        <v>2494</v>
      </c>
      <c r="B1642" t="s">
        <v>2019</v>
      </c>
      <c r="C1642" t="s">
        <v>1936</v>
      </c>
    </row>
    <row r="1643" spans="1:3" x14ac:dyDescent="0.25">
      <c r="A1643" t="s">
        <v>1983</v>
      </c>
      <c r="B1643" t="s">
        <v>2020</v>
      </c>
      <c r="C1643" t="s">
        <v>1937</v>
      </c>
    </row>
    <row r="1644" spans="1:3" x14ac:dyDescent="0.25">
      <c r="A1644" t="s">
        <v>1981</v>
      </c>
      <c r="B1644" t="s">
        <v>2022</v>
      </c>
      <c r="C1644" t="s">
        <v>1938</v>
      </c>
    </row>
    <row r="1645" spans="1:3" x14ac:dyDescent="0.25">
      <c r="A1645" t="s">
        <v>2495</v>
      </c>
      <c r="B1645" t="s">
        <v>2023</v>
      </c>
      <c r="C1645" t="s">
        <v>1939</v>
      </c>
    </row>
    <row r="1646" spans="1:3" x14ac:dyDescent="0.25">
      <c r="A1646" t="s">
        <v>2496</v>
      </c>
      <c r="B1646" t="s">
        <v>2026</v>
      </c>
      <c r="C1646" t="s">
        <v>1940</v>
      </c>
    </row>
    <row r="1647" spans="1:3" x14ac:dyDescent="0.25">
      <c r="A1647" t="s">
        <v>2497</v>
      </c>
      <c r="B1647" t="s">
        <v>2027</v>
      </c>
      <c r="C1647" t="s">
        <v>1941</v>
      </c>
    </row>
    <row r="1648" spans="1:3" x14ac:dyDescent="0.25">
      <c r="A1648" t="s">
        <v>2498</v>
      </c>
      <c r="B1648" t="s">
        <v>2028</v>
      </c>
      <c r="C1648" t="s">
        <v>1943</v>
      </c>
    </row>
    <row r="1649" spans="1:3" x14ac:dyDescent="0.25">
      <c r="A1649" t="s">
        <v>2499</v>
      </c>
      <c r="B1649" t="s">
        <v>2030</v>
      </c>
      <c r="C1649" t="s">
        <v>1944</v>
      </c>
    </row>
    <row r="1650" spans="1:3" x14ac:dyDescent="0.25">
      <c r="A1650" t="s">
        <v>2500</v>
      </c>
      <c r="B1650" t="s">
        <v>2031</v>
      </c>
      <c r="C1650" t="s">
        <v>1945</v>
      </c>
    </row>
    <row r="1651" spans="1:3" x14ac:dyDescent="0.25">
      <c r="A1651" t="s">
        <v>2501</v>
      </c>
      <c r="B1651" t="s">
        <v>2033</v>
      </c>
      <c r="C1651" t="s">
        <v>1946</v>
      </c>
    </row>
    <row r="1652" spans="1:3" x14ac:dyDescent="0.25">
      <c r="A1652" t="s">
        <v>2502</v>
      </c>
      <c r="B1652" t="s">
        <v>2034</v>
      </c>
      <c r="C1652" t="s">
        <v>1948</v>
      </c>
    </row>
    <row r="1653" spans="1:3" x14ac:dyDescent="0.25">
      <c r="A1653" t="s">
        <v>2503</v>
      </c>
      <c r="B1653" t="s">
        <v>2035</v>
      </c>
      <c r="C1653" t="s">
        <v>1949</v>
      </c>
    </row>
    <row r="1654" spans="1:3" x14ac:dyDescent="0.25">
      <c r="A1654" t="s">
        <v>2504</v>
      </c>
      <c r="B1654" t="s">
        <v>2039</v>
      </c>
      <c r="C1654" t="s">
        <v>1951</v>
      </c>
    </row>
    <row r="1655" spans="1:3" x14ac:dyDescent="0.25">
      <c r="A1655" t="s">
        <v>2505</v>
      </c>
      <c r="B1655" t="s">
        <v>2041</v>
      </c>
      <c r="C1655" t="s">
        <v>1952</v>
      </c>
    </row>
    <row r="1656" spans="1:3" x14ac:dyDescent="0.25">
      <c r="A1656" t="s">
        <v>2506</v>
      </c>
      <c r="B1656" t="s">
        <v>2045</v>
      </c>
      <c r="C1656" t="s">
        <v>1953</v>
      </c>
    </row>
    <row r="1657" spans="1:3" x14ac:dyDescent="0.25">
      <c r="A1657" t="s">
        <v>2507</v>
      </c>
      <c r="B1657" t="s">
        <v>2046</v>
      </c>
      <c r="C1657" t="s">
        <v>1954</v>
      </c>
    </row>
    <row r="1658" spans="1:3" x14ac:dyDescent="0.25">
      <c r="A1658" t="s">
        <v>2508</v>
      </c>
      <c r="B1658" t="s">
        <v>3063</v>
      </c>
      <c r="C1658" t="s">
        <v>1955</v>
      </c>
    </row>
    <row r="1659" spans="1:3" x14ac:dyDescent="0.25">
      <c r="A1659" t="s">
        <v>2509</v>
      </c>
      <c r="B1659" t="s">
        <v>2048</v>
      </c>
      <c r="C1659" t="s">
        <v>3019</v>
      </c>
    </row>
    <row r="1660" spans="1:3" x14ac:dyDescent="0.25">
      <c r="A1660" t="s">
        <v>2510</v>
      </c>
      <c r="B1660" t="s">
        <v>2049</v>
      </c>
      <c r="C1660" t="s">
        <v>1957</v>
      </c>
    </row>
    <row r="1661" spans="1:3" x14ac:dyDescent="0.25">
      <c r="A1661" t="s">
        <v>2511</v>
      </c>
      <c r="B1661" t="s">
        <v>2051</v>
      </c>
      <c r="C1661" t="s">
        <v>1958</v>
      </c>
    </row>
    <row r="1662" spans="1:3" x14ac:dyDescent="0.25">
      <c r="A1662" t="s">
        <v>2512</v>
      </c>
      <c r="B1662" t="s">
        <v>2052</v>
      </c>
      <c r="C1662" t="s">
        <v>1960</v>
      </c>
    </row>
    <row r="1663" spans="1:3" x14ac:dyDescent="0.25">
      <c r="A1663" t="s">
        <v>2513</v>
      </c>
      <c r="B1663" t="s">
        <v>2053</v>
      </c>
      <c r="C1663" t="s">
        <v>1961</v>
      </c>
    </row>
    <row r="1664" spans="1:3" x14ac:dyDescent="0.25">
      <c r="A1664" t="s">
        <v>2514</v>
      </c>
      <c r="B1664" t="s">
        <v>2054</v>
      </c>
      <c r="C1664" t="s">
        <v>3020</v>
      </c>
    </row>
    <row r="1665" spans="1:3" x14ac:dyDescent="0.25">
      <c r="A1665" t="s">
        <v>2515</v>
      </c>
      <c r="B1665" t="s">
        <v>2055</v>
      </c>
      <c r="C1665" t="s">
        <v>2008</v>
      </c>
    </row>
    <row r="1666" spans="1:3" x14ac:dyDescent="0.25">
      <c r="A1666" t="s">
        <v>2516</v>
      </c>
      <c r="B1666" t="s">
        <v>2056</v>
      </c>
      <c r="C1666" t="s">
        <v>2011</v>
      </c>
    </row>
    <row r="1667" spans="1:3" x14ac:dyDescent="0.25">
      <c r="A1667" t="s">
        <v>2517</v>
      </c>
      <c r="B1667" t="s">
        <v>3146</v>
      </c>
      <c r="C1667" t="s">
        <v>1965</v>
      </c>
    </row>
    <row r="1668" spans="1:3" x14ac:dyDescent="0.25">
      <c r="A1668" t="s">
        <v>2518</v>
      </c>
      <c r="B1668" t="s">
        <v>2057</v>
      </c>
      <c r="C1668" t="s">
        <v>1966</v>
      </c>
    </row>
    <row r="1669" spans="1:3" x14ac:dyDescent="0.25">
      <c r="A1669" t="s">
        <v>2519</v>
      </c>
      <c r="B1669" t="s">
        <v>2058</v>
      </c>
      <c r="C1669" t="s">
        <v>1967</v>
      </c>
    </row>
    <row r="1670" spans="1:3" x14ac:dyDescent="0.25">
      <c r="A1670" t="s">
        <v>2520</v>
      </c>
      <c r="B1670" t="s">
        <v>2059</v>
      </c>
      <c r="C1670" t="s">
        <v>1968</v>
      </c>
    </row>
    <row r="1671" spans="1:3" x14ac:dyDescent="0.25">
      <c r="A1671" t="s">
        <v>2521</v>
      </c>
      <c r="B1671" t="s">
        <v>2060</v>
      </c>
      <c r="C1671" t="s">
        <v>1969</v>
      </c>
    </row>
    <row r="1672" spans="1:3" x14ac:dyDescent="0.25">
      <c r="A1672" t="s">
        <v>2522</v>
      </c>
      <c r="B1672" t="s">
        <v>2061</v>
      </c>
      <c r="C1672" t="s">
        <v>1970</v>
      </c>
    </row>
    <row r="1673" spans="1:3" x14ac:dyDescent="0.25">
      <c r="A1673" t="s">
        <v>2523</v>
      </c>
      <c r="B1673" t="s">
        <v>2062</v>
      </c>
      <c r="C1673" t="s">
        <v>1971</v>
      </c>
    </row>
    <row r="1674" spans="1:3" x14ac:dyDescent="0.25">
      <c r="A1674" t="s">
        <v>2524</v>
      </c>
      <c r="B1674" t="s">
        <v>2063</v>
      </c>
      <c r="C1674" t="s">
        <v>3021</v>
      </c>
    </row>
    <row r="1675" spans="1:3" x14ac:dyDescent="0.25">
      <c r="A1675" t="s">
        <v>2525</v>
      </c>
      <c r="B1675" t="s">
        <v>2064</v>
      </c>
      <c r="C1675" t="s">
        <v>1976</v>
      </c>
    </row>
    <row r="1676" spans="1:3" x14ac:dyDescent="0.25">
      <c r="A1676" t="s">
        <v>2526</v>
      </c>
      <c r="B1676" t="s">
        <v>3064</v>
      </c>
      <c r="C1676" t="s">
        <v>1975</v>
      </c>
    </row>
    <row r="1677" spans="1:3" x14ac:dyDescent="0.25">
      <c r="A1677" t="s">
        <v>2527</v>
      </c>
      <c r="B1677" t="s">
        <v>2065</v>
      </c>
      <c r="C1677" t="s">
        <v>1977</v>
      </c>
    </row>
    <row r="1678" spans="1:3" x14ac:dyDescent="0.25">
      <c r="A1678" t="s">
        <v>2528</v>
      </c>
      <c r="B1678" t="s">
        <v>2066</v>
      </c>
      <c r="C1678" t="s">
        <v>2493</v>
      </c>
    </row>
    <row r="1679" spans="1:3" x14ac:dyDescent="0.25">
      <c r="A1679" t="s">
        <v>2529</v>
      </c>
      <c r="B1679" t="s">
        <v>2067</v>
      </c>
      <c r="C1679" t="s">
        <v>1978</v>
      </c>
    </row>
    <row r="1680" spans="1:3" x14ac:dyDescent="0.25">
      <c r="A1680" t="s">
        <v>2530</v>
      </c>
      <c r="B1680" t="s">
        <v>2068</v>
      </c>
      <c r="C1680" t="s">
        <v>1979</v>
      </c>
    </row>
    <row r="1681" spans="1:3" x14ac:dyDescent="0.25">
      <c r="A1681" t="s">
        <v>3022</v>
      </c>
      <c r="B1681" t="s">
        <v>2096</v>
      </c>
      <c r="C1681" t="s">
        <v>1980</v>
      </c>
    </row>
    <row r="1682" spans="1:3" x14ac:dyDescent="0.25">
      <c r="A1682" t="s">
        <v>3023</v>
      </c>
      <c r="B1682" t="s">
        <v>2097</v>
      </c>
      <c r="C1682" t="s">
        <v>2494</v>
      </c>
    </row>
    <row r="1683" spans="1:3" x14ac:dyDescent="0.25">
      <c r="A1683" t="s">
        <v>2531</v>
      </c>
      <c r="B1683" t="s">
        <v>2098</v>
      </c>
      <c r="C1683" t="s">
        <v>1983</v>
      </c>
    </row>
    <row r="1684" spans="1:3" x14ac:dyDescent="0.25">
      <c r="A1684" t="s">
        <v>2532</v>
      </c>
      <c r="B1684" t="s">
        <v>2099</v>
      </c>
      <c r="C1684" t="s">
        <v>1981</v>
      </c>
    </row>
    <row r="1685" spans="1:3" x14ac:dyDescent="0.25">
      <c r="A1685" t="s">
        <v>1988</v>
      </c>
      <c r="B1685" t="s">
        <v>2100</v>
      </c>
      <c r="C1685" t="s">
        <v>2495</v>
      </c>
    </row>
    <row r="1686" spans="1:3" x14ac:dyDescent="0.25">
      <c r="A1686" t="s">
        <v>2533</v>
      </c>
      <c r="B1686" t="s">
        <v>2101</v>
      </c>
      <c r="C1686" t="s">
        <v>2496</v>
      </c>
    </row>
    <row r="1687" spans="1:3" x14ac:dyDescent="0.25">
      <c r="A1687" t="s">
        <v>2534</v>
      </c>
      <c r="B1687" t="s">
        <v>2102</v>
      </c>
      <c r="C1687" t="s">
        <v>2500</v>
      </c>
    </row>
    <row r="1688" spans="1:3" x14ac:dyDescent="0.25">
      <c r="A1688" t="s">
        <v>1989</v>
      </c>
      <c r="B1688" t="s">
        <v>2103</v>
      </c>
      <c r="C1688" t="s">
        <v>2501</v>
      </c>
    </row>
    <row r="1689" spans="1:3" x14ac:dyDescent="0.25">
      <c r="A1689" t="s">
        <v>2535</v>
      </c>
      <c r="B1689" t="s">
        <v>2104</v>
      </c>
      <c r="C1689" t="s">
        <v>2513</v>
      </c>
    </row>
    <row r="1690" spans="1:3" x14ac:dyDescent="0.25">
      <c r="A1690" t="s">
        <v>1990</v>
      </c>
      <c r="B1690" t="s">
        <v>2105</v>
      </c>
      <c r="C1690" t="s">
        <v>2521</v>
      </c>
    </row>
    <row r="1691" spans="1:3" x14ac:dyDescent="0.25">
      <c r="A1691" t="s">
        <v>1991</v>
      </c>
      <c r="B1691" t="s">
        <v>2106</v>
      </c>
      <c r="C1691" t="s">
        <v>2522</v>
      </c>
    </row>
    <row r="1692" spans="1:3" x14ac:dyDescent="0.25">
      <c r="A1692" t="s">
        <v>1992</v>
      </c>
      <c r="B1692" t="s">
        <v>2107</v>
      </c>
      <c r="C1692" t="s">
        <v>2523</v>
      </c>
    </row>
    <row r="1693" spans="1:3" x14ac:dyDescent="0.25">
      <c r="A1693" t="s">
        <v>1993</v>
      </c>
      <c r="B1693" t="s">
        <v>2108</v>
      </c>
      <c r="C1693" t="s">
        <v>2524</v>
      </c>
    </row>
    <row r="1694" spans="1:3" x14ac:dyDescent="0.25">
      <c r="A1694" t="s">
        <v>1994</v>
      </c>
      <c r="B1694" t="s">
        <v>2109</v>
      </c>
      <c r="C1694" t="s">
        <v>2525</v>
      </c>
    </row>
    <row r="1695" spans="1:3" x14ac:dyDescent="0.25">
      <c r="A1695" t="s">
        <v>2000</v>
      </c>
      <c r="B1695" t="s">
        <v>2110</v>
      </c>
      <c r="C1695" t="s">
        <v>2526</v>
      </c>
    </row>
    <row r="1696" spans="1:3" x14ac:dyDescent="0.25">
      <c r="A1696" t="s">
        <v>1995</v>
      </c>
      <c r="B1696" t="s">
        <v>2111</v>
      </c>
      <c r="C1696" t="s">
        <v>2527</v>
      </c>
    </row>
    <row r="1697" spans="1:3" x14ac:dyDescent="0.25">
      <c r="A1697" t="s">
        <v>1996</v>
      </c>
      <c r="B1697" t="s">
        <v>2112</v>
      </c>
      <c r="C1697" t="s">
        <v>2528</v>
      </c>
    </row>
    <row r="1698" spans="1:3" x14ac:dyDescent="0.25">
      <c r="A1698" t="s">
        <v>3024</v>
      </c>
      <c r="B1698" t="s">
        <v>2113</v>
      </c>
      <c r="C1698" t="s">
        <v>2529</v>
      </c>
    </row>
    <row r="1699" spans="1:3" x14ac:dyDescent="0.25">
      <c r="A1699" t="s">
        <v>3025</v>
      </c>
      <c r="B1699" t="s">
        <v>2115</v>
      </c>
      <c r="C1699" t="s">
        <v>3023</v>
      </c>
    </row>
    <row r="1700" spans="1:3" x14ac:dyDescent="0.25">
      <c r="A1700" t="s">
        <v>3026</v>
      </c>
      <c r="B1700" t="s">
        <v>2116</v>
      </c>
      <c r="C1700" t="s">
        <v>3178</v>
      </c>
    </row>
    <row r="1701" spans="1:3" x14ac:dyDescent="0.25">
      <c r="A1701" t="s">
        <v>3027</v>
      </c>
      <c r="B1701" t="s">
        <v>2117</v>
      </c>
      <c r="C1701" t="s">
        <v>2025</v>
      </c>
    </row>
    <row r="1702" spans="1:3" x14ac:dyDescent="0.25">
      <c r="A1702" t="s">
        <v>3028</v>
      </c>
      <c r="B1702" t="s">
        <v>2118</v>
      </c>
      <c r="C1702" t="s">
        <v>1987</v>
      </c>
    </row>
    <row r="1703" spans="1:3" x14ac:dyDescent="0.25">
      <c r="A1703" t="s">
        <v>3029</v>
      </c>
      <c r="B1703" t="s">
        <v>2119</v>
      </c>
      <c r="C1703" t="s">
        <v>2010</v>
      </c>
    </row>
    <row r="1704" spans="1:3" x14ac:dyDescent="0.25">
      <c r="A1704" t="s">
        <v>3030</v>
      </c>
      <c r="B1704" t="s">
        <v>2120</v>
      </c>
      <c r="C1704" t="s">
        <v>2013</v>
      </c>
    </row>
    <row r="1705" spans="1:3" x14ac:dyDescent="0.25">
      <c r="A1705" t="s">
        <v>3031</v>
      </c>
      <c r="B1705" t="s">
        <v>2121</v>
      </c>
      <c r="C1705" t="s">
        <v>2531</v>
      </c>
    </row>
    <row r="1706" spans="1:3" x14ac:dyDescent="0.25">
      <c r="A1706" t="s">
        <v>3032</v>
      </c>
      <c r="B1706" t="s">
        <v>2122</v>
      </c>
      <c r="C1706" t="s">
        <v>2532</v>
      </c>
    </row>
    <row r="1707" spans="1:3" x14ac:dyDescent="0.25">
      <c r="A1707" t="s">
        <v>3033</v>
      </c>
      <c r="B1707" t="s">
        <v>2124</v>
      </c>
      <c r="C1707" t="s">
        <v>1988</v>
      </c>
    </row>
    <row r="1708" spans="1:3" x14ac:dyDescent="0.25">
      <c r="A1708" t="s">
        <v>3034</v>
      </c>
      <c r="B1708" t="s">
        <v>2125</v>
      </c>
      <c r="C1708" t="s">
        <v>2533</v>
      </c>
    </row>
    <row r="1709" spans="1:3" x14ac:dyDescent="0.25">
      <c r="A1709" t="s">
        <v>3035</v>
      </c>
      <c r="B1709" t="s">
        <v>2126</v>
      </c>
      <c r="C1709" t="s">
        <v>2534</v>
      </c>
    </row>
    <row r="1710" spans="1:3" x14ac:dyDescent="0.25">
      <c r="A1710" t="s">
        <v>3036</v>
      </c>
      <c r="B1710" t="s">
        <v>2127</v>
      </c>
      <c r="C1710" t="s">
        <v>1989</v>
      </c>
    </row>
    <row r="1711" spans="1:3" x14ac:dyDescent="0.25">
      <c r="A1711" t="s">
        <v>3037</v>
      </c>
      <c r="B1711" t="s">
        <v>2128</v>
      </c>
      <c r="C1711" t="s">
        <v>2535</v>
      </c>
    </row>
    <row r="1712" spans="1:3" x14ac:dyDescent="0.25">
      <c r="A1712" t="s">
        <v>3038</v>
      </c>
      <c r="B1712" t="s">
        <v>2129</v>
      </c>
      <c r="C1712" t="s">
        <v>1990</v>
      </c>
    </row>
    <row r="1713" spans="1:3" x14ac:dyDescent="0.25">
      <c r="A1713" t="s">
        <v>3039</v>
      </c>
      <c r="B1713" t="s">
        <v>2130</v>
      </c>
      <c r="C1713" t="s">
        <v>1991</v>
      </c>
    </row>
    <row r="1714" spans="1:3" x14ac:dyDescent="0.25">
      <c r="A1714" t="s">
        <v>3040</v>
      </c>
      <c r="B1714" t="s">
        <v>2131</v>
      </c>
      <c r="C1714" t="s">
        <v>1992</v>
      </c>
    </row>
    <row r="1715" spans="1:3" x14ac:dyDescent="0.25">
      <c r="A1715" t="s">
        <v>3041</v>
      </c>
      <c r="C1715" t="s">
        <v>1993</v>
      </c>
    </row>
    <row r="1716" spans="1:3" x14ac:dyDescent="0.25">
      <c r="A1716" t="s">
        <v>2036</v>
      </c>
      <c r="C1716" t="s">
        <v>1994</v>
      </c>
    </row>
    <row r="1717" spans="1:3" x14ac:dyDescent="0.25">
      <c r="A1717" t="s">
        <v>2038</v>
      </c>
      <c r="C1717" t="s">
        <v>2000</v>
      </c>
    </row>
    <row r="1718" spans="1:3" x14ac:dyDescent="0.25">
      <c r="A1718" t="s">
        <v>3042</v>
      </c>
      <c r="C1718" t="s">
        <v>1995</v>
      </c>
    </row>
    <row r="1719" spans="1:3" x14ac:dyDescent="0.25">
      <c r="A1719" t="s">
        <v>2040</v>
      </c>
      <c r="C1719" t="s">
        <v>1996</v>
      </c>
    </row>
    <row r="1720" spans="1:3" x14ac:dyDescent="0.25">
      <c r="A1720" t="s">
        <v>1998</v>
      </c>
      <c r="C1720" t="s">
        <v>3223</v>
      </c>
    </row>
    <row r="1721" spans="1:3" x14ac:dyDescent="0.25">
      <c r="A1721" t="s">
        <v>2001</v>
      </c>
      <c r="C1721" t="s">
        <v>3024</v>
      </c>
    </row>
    <row r="1722" spans="1:3" x14ac:dyDescent="0.25">
      <c r="A1722" t="s">
        <v>3043</v>
      </c>
      <c r="C1722" t="s">
        <v>3025</v>
      </c>
    </row>
    <row r="1723" spans="1:3" x14ac:dyDescent="0.25">
      <c r="A1723" t="s">
        <v>3044</v>
      </c>
      <c r="C1723" t="s">
        <v>3026</v>
      </c>
    </row>
    <row r="1724" spans="1:3" x14ac:dyDescent="0.25">
      <c r="A1724" t="s">
        <v>3045</v>
      </c>
      <c r="C1724" t="s">
        <v>3027</v>
      </c>
    </row>
    <row r="1725" spans="1:3" x14ac:dyDescent="0.25">
      <c r="A1725" t="s">
        <v>2042</v>
      </c>
      <c r="C1725" t="s">
        <v>3028</v>
      </c>
    </row>
    <row r="1726" spans="1:3" x14ac:dyDescent="0.25">
      <c r="A1726" t="s">
        <v>2044</v>
      </c>
      <c r="C1726" t="s">
        <v>3029</v>
      </c>
    </row>
    <row r="1727" spans="1:3" x14ac:dyDescent="0.25">
      <c r="A1727" t="s">
        <v>3046</v>
      </c>
      <c r="C1727" t="s">
        <v>3030</v>
      </c>
    </row>
    <row r="1728" spans="1:3" x14ac:dyDescent="0.25">
      <c r="A1728" t="s">
        <v>3047</v>
      </c>
      <c r="C1728" t="s">
        <v>3031</v>
      </c>
    </row>
    <row r="1729" spans="1:3" x14ac:dyDescent="0.25">
      <c r="A1729" t="s">
        <v>3048</v>
      </c>
      <c r="C1729" t="s">
        <v>3032</v>
      </c>
    </row>
    <row r="1730" spans="1:3" x14ac:dyDescent="0.25">
      <c r="A1730" t="s">
        <v>2003</v>
      </c>
      <c r="C1730" t="s">
        <v>3033</v>
      </c>
    </row>
    <row r="1731" spans="1:3" x14ac:dyDescent="0.25">
      <c r="A1731" t="s">
        <v>3049</v>
      </c>
      <c r="C1731" t="s">
        <v>3034</v>
      </c>
    </row>
    <row r="1732" spans="1:3" x14ac:dyDescent="0.25">
      <c r="A1732" t="s">
        <v>3050</v>
      </c>
      <c r="C1732" t="s">
        <v>3035</v>
      </c>
    </row>
    <row r="1733" spans="1:3" x14ac:dyDescent="0.25">
      <c r="A1733" t="s">
        <v>3051</v>
      </c>
      <c r="C1733" t="s">
        <v>3036</v>
      </c>
    </row>
    <row r="1734" spans="1:3" x14ac:dyDescent="0.25">
      <c r="A1734" t="s">
        <v>3052</v>
      </c>
      <c r="C1734" t="s">
        <v>3037</v>
      </c>
    </row>
    <row r="1735" spans="1:3" x14ac:dyDescent="0.25">
      <c r="A1735" t="s">
        <v>3053</v>
      </c>
      <c r="C1735" t="s">
        <v>3038</v>
      </c>
    </row>
    <row r="1736" spans="1:3" x14ac:dyDescent="0.25">
      <c r="A1736" t="s">
        <v>3054</v>
      </c>
      <c r="C1736" t="s">
        <v>3039</v>
      </c>
    </row>
    <row r="1737" spans="1:3" x14ac:dyDescent="0.25">
      <c r="A1737" t="s">
        <v>3055</v>
      </c>
      <c r="C1737" t="s">
        <v>3040</v>
      </c>
    </row>
    <row r="1738" spans="1:3" x14ac:dyDescent="0.25">
      <c r="A1738" t="s">
        <v>3056</v>
      </c>
      <c r="C1738" t="s">
        <v>3041</v>
      </c>
    </row>
    <row r="1739" spans="1:3" x14ac:dyDescent="0.25">
      <c r="A1739" t="s">
        <v>3057</v>
      </c>
      <c r="C1739" t="s">
        <v>2036</v>
      </c>
    </row>
    <row r="1740" spans="1:3" x14ac:dyDescent="0.25">
      <c r="A1740" t="s">
        <v>3058</v>
      </c>
      <c r="C1740" t="s">
        <v>2038</v>
      </c>
    </row>
    <row r="1741" spans="1:3" x14ac:dyDescent="0.25">
      <c r="A1741" t="s">
        <v>3059</v>
      </c>
      <c r="C1741" t="s">
        <v>3042</v>
      </c>
    </row>
    <row r="1742" spans="1:3" x14ac:dyDescent="0.25">
      <c r="A1742" t="s">
        <v>3060</v>
      </c>
      <c r="C1742" t="s">
        <v>2040</v>
      </c>
    </row>
    <row r="1743" spans="1:3" x14ac:dyDescent="0.25">
      <c r="A1743" t="s">
        <v>3061</v>
      </c>
      <c r="C1743" t="s">
        <v>1998</v>
      </c>
    </row>
    <row r="1744" spans="1:3" x14ac:dyDescent="0.25">
      <c r="A1744" t="s">
        <v>2002</v>
      </c>
      <c r="C1744" t="s">
        <v>2001</v>
      </c>
    </row>
    <row r="1745" spans="1:3" x14ac:dyDescent="0.25">
      <c r="A1745" t="s">
        <v>2005</v>
      </c>
      <c r="C1745" t="s">
        <v>3043</v>
      </c>
    </row>
    <row r="1746" spans="1:3" x14ac:dyDescent="0.25">
      <c r="A1746" t="s">
        <v>3062</v>
      </c>
      <c r="C1746" t="s">
        <v>3044</v>
      </c>
    </row>
    <row r="1747" spans="1:3" x14ac:dyDescent="0.25">
      <c r="A1747" t="s">
        <v>2012</v>
      </c>
      <c r="C1747" t="s">
        <v>3045</v>
      </c>
    </row>
    <row r="1748" spans="1:3" x14ac:dyDescent="0.25">
      <c r="A1748" t="s">
        <v>2015</v>
      </c>
      <c r="C1748" t="s">
        <v>2042</v>
      </c>
    </row>
    <row r="1749" spans="1:3" x14ac:dyDescent="0.25">
      <c r="A1749" t="s">
        <v>2016</v>
      </c>
      <c r="C1749" t="s">
        <v>2044</v>
      </c>
    </row>
    <row r="1750" spans="1:3" x14ac:dyDescent="0.25">
      <c r="A1750" t="s">
        <v>2018</v>
      </c>
      <c r="C1750" t="s">
        <v>3046</v>
      </c>
    </row>
    <row r="1751" spans="1:3" x14ac:dyDescent="0.25">
      <c r="A1751" t="s">
        <v>2019</v>
      </c>
      <c r="C1751" t="s">
        <v>3047</v>
      </c>
    </row>
    <row r="1752" spans="1:3" x14ac:dyDescent="0.25">
      <c r="A1752" t="s">
        <v>2020</v>
      </c>
      <c r="C1752" t="s">
        <v>3048</v>
      </c>
    </row>
    <row r="1753" spans="1:3" x14ac:dyDescent="0.25">
      <c r="A1753" t="s">
        <v>2022</v>
      </c>
      <c r="C1753" t="s">
        <v>2003</v>
      </c>
    </row>
    <row r="1754" spans="1:3" x14ac:dyDescent="0.25">
      <c r="A1754" t="s">
        <v>2023</v>
      </c>
      <c r="C1754" t="s">
        <v>3049</v>
      </c>
    </row>
    <row r="1755" spans="1:3" x14ac:dyDescent="0.25">
      <c r="A1755" t="s">
        <v>2024</v>
      </c>
      <c r="C1755" t="s">
        <v>3050</v>
      </c>
    </row>
    <row r="1756" spans="1:3" x14ac:dyDescent="0.25">
      <c r="A1756" t="s">
        <v>2026</v>
      </c>
      <c r="C1756" t="s">
        <v>3051</v>
      </c>
    </row>
    <row r="1757" spans="1:3" x14ac:dyDescent="0.25">
      <c r="A1757" t="s">
        <v>2027</v>
      </c>
      <c r="C1757" t="s">
        <v>3052</v>
      </c>
    </row>
    <row r="1758" spans="1:3" x14ac:dyDescent="0.25">
      <c r="A1758" t="s">
        <v>2028</v>
      </c>
      <c r="C1758" t="s">
        <v>3053</v>
      </c>
    </row>
    <row r="1759" spans="1:3" x14ac:dyDescent="0.25">
      <c r="A1759" t="s">
        <v>2030</v>
      </c>
      <c r="C1759" t="s">
        <v>3054</v>
      </c>
    </row>
    <row r="1760" spans="1:3" x14ac:dyDescent="0.25">
      <c r="A1760" t="s">
        <v>2031</v>
      </c>
      <c r="C1760" t="s">
        <v>3055</v>
      </c>
    </row>
    <row r="1761" spans="1:3" x14ac:dyDescent="0.25">
      <c r="A1761" t="s">
        <v>2032</v>
      </c>
      <c r="C1761" t="s">
        <v>3224</v>
      </c>
    </row>
    <row r="1762" spans="1:3" x14ac:dyDescent="0.25">
      <c r="A1762" t="s">
        <v>2033</v>
      </c>
      <c r="C1762" t="s">
        <v>3225</v>
      </c>
    </row>
    <row r="1763" spans="1:3" x14ac:dyDescent="0.25">
      <c r="A1763" t="s">
        <v>2034</v>
      </c>
      <c r="C1763" t="s">
        <v>3056</v>
      </c>
    </row>
    <row r="1764" spans="1:3" x14ac:dyDescent="0.25">
      <c r="A1764" t="s">
        <v>2035</v>
      </c>
      <c r="C1764" t="s">
        <v>3057</v>
      </c>
    </row>
    <row r="1765" spans="1:3" x14ac:dyDescent="0.25">
      <c r="A1765" t="s">
        <v>2039</v>
      </c>
      <c r="C1765" t="s">
        <v>3226</v>
      </c>
    </row>
    <row r="1766" spans="1:3" x14ac:dyDescent="0.25">
      <c r="A1766" t="s">
        <v>2041</v>
      </c>
      <c r="C1766" t="s">
        <v>3227</v>
      </c>
    </row>
    <row r="1767" spans="1:3" x14ac:dyDescent="0.25">
      <c r="A1767" t="s">
        <v>2043</v>
      </c>
      <c r="C1767" t="s">
        <v>3059</v>
      </c>
    </row>
    <row r="1768" spans="1:3" x14ac:dyDescent="0.25">
      <c r="A1768" t="s">
        <v>2045</v>
      </c>
      <c r="C1768" t="s">
        <v>3060</v>
      </c>
    </row>
    <row r="1769" spans="1:3" x14ac:dyDescent="0.25">
      <c r="A1769" t="s">
        <v>2046</v>
      </c>
      <c r="C1769" t="s">
        <v>1997</v>
      </c>
    </row>
    <row r="1770" spans="1:3" x14ac:dyDescent="0.25">
      <c r="A1770" t="s">
        <v>3063</v>
      </c>
      <c r="C1770" t="s">
        <v>1999</v>
      </c>
    </row>
    <row r="1771" spans="1:3" x14ac:dyDescent="0.25">
      <c r="A1771" t="s">
        <v>2048</v>
      </c>
      <c r="C1771" t="s">
        <v>2002</v>
      </c>
    </row>
    <row r="1772" spans="1:3" x14ac:dyDescent="0.25">
      <c r="A1772" t="s">
        <v>2049</v>
      </c>
      <c r="C1772" t="s">
        <v>2005</v>
      </c>
    </row>
    <row r="1773" spans="1:3" x14ac:dyDescent="0.25">
      <c r="A1773" t="s">
        <v>2050</v>
      </c>
      <c r="C1773" t="s">
        <v>2007</v>
      </c>
    </row>
    <row r="1774" spans="1:3" x14ac:dyDescent="0.25">
      <c r="A1774" t="s">
        <v>2051</v>
      </c>
      <c r="C1774" t="s">
        <v>2009</v>
      </c>
    </row>
    <row r="1775" spans="1:3" x14ac:dyDescent="0.25">
      <c r="A1775" t="s">
        <v>2053</v>
      </c>
      <c r="C1775" t="s">
        <v>2012</v>
      </c>
    </row>
    <row r="1776" spans="1:3" x14ac:dyDescent="0.25">
      <c r="A1776" t="s">
        <v>2054</v>
      </c>
      <c r="C1776" t="s">
        <v>2015</v>
      </c>
    </row>
    <row r="1777" spans="1:3" x14ac:dyDescent="0.25">
      <c r="A1777" t="s">
        <v>2055</v>
      </c>
      <c r="C1777" t="s">
        <v>2018</v>
      </c>
    </row>
    <row r="1778" spans="1:3" x14ac:dyDescent="0.25">
      <c r="A1778" t="s">
        <v>2056</v>
      </c>
      <c r="C1778" t="s">
        <v>2019</v>
      </c>
    </row>
    <row r="1779" spans="1:3" x14ac:dyDescent="0.25">
      <c r="A1779" t="s">
        <v>2057</v>
      </c>
      <c r="C1779" t="s">
        <v>2020</v>
      </c>
    </row>
    <row r="1780" spans="1:3" x14ac:dyDescent="0.25">
      <c r="A1780" t="s">
        <v>2058</v>
      </c>
      <c r="C1780" t="s">
        <v>2022</v>
      </c>
    </row>
    <row r="1781" spans="1:3" x14ac:dyDescent="0.25">
      <c r="A1781" t="s">
        <v>2059</v>
      </c>
      <c r="C1781" t="s">
        <v>2023</v>
      </c>
    </row>
    <row r="1782" spans="1:3" x14ac:dyDescent="0.25">
      <c r="A1782" t="s">
        <v>2060</v>
      </c>
      <c r="C1782" t="s">
        <v>2024</v>
      </c>
    </row>
    <row r="1783" spans="1:3" x14ac:dyDescent="0.25">
      <c r="A1783" t="s">
        <v>2062</v>
      </c>
      <c r="C1783" t="s">
        <v>2026</v>
      </c>
    </row>
    <row r="1784" spans="1:3" x14ac:dyDescent="0.25">
      <c r="A1784" t="s">
        <v>2063</v>
      </c>
      <c r="C1784" t="s">
        <v>2027</v>
      </c>
    </row>
    <row r="1785" spans="1:3" x14ac:dyDescent="0.25">
      <c r="A1785" t="s">
        <v>2064</v>
      </c>
      <c r="C1785" t="s">
        <v>2028</v>
      </c>
    </row>
    <row r="1786" spans="1:3" x14ac:dyDescent="0.25">
      <c r="A1786" t="s">
        <v>3064</v>
      </c>
      <c r="C1786" t="s">
        <v>2030</v>
      </c>
    </row>
    <row r="1787" spans="1:3" x14ac:dyDescent="0.25">
      <c r="A1787" t="s">
        <v>2066</v>
      </c>
      <c r="C1787" t="s">
        <v>2031</v>
      </c>
    </row>
    <row r="1788" spans="1:3" x14ac:dyDescent="0.25">
      <c r="A1788" t="s">
        <v>2067</v>
      </c>
      <c r="C1788" t="s">
        <v>2032</v>
      </c>
    </row>
    <row r="1789" spans="1:3" x14ac:dyDescent="0.25">
      <c r="A1789" t="s">
        <v>2068</v>
      </c>
      <c r="C1789" t="s">
        <v>2033</v>
      </c>
    </row>
    <row r="1790" spans="1:3" x14ac:dyDescent="0.25">
      <c r="A1790" t="s">
        <v>2071</v>
      </c>
      <c r="C1790" t="s">
        <v>2034</v>
      </c>
    </row>
    <row r="1791" spans="1:3" x14ac:dyDescent="0.25">
      <c r="A1791" t="s">
        <v>2072</v>
      </c>
      <c r="C1791" t="s">
        <v>2035</v>
      </c>
    </row>
    <row r="1792" spans="1:3" x14ac:dyDescent="0.25">
      <c r="A1792" t="s">
        <v>2073</v>
      </c>
      <c r="C1792" t="s">
        <v>2039</v>
      </c>
    </row>
    <row r="1793" spans="1:3" x14ac:dyDescent="0.25">
      <c r="A1793" t="s">
        <v>2077</v>
      </c>
      <c r="C1793" t="s">
        <v>2041</v>
      </c>
    </row>
    <row r="1794" spans="1:3" x14ac:dyDescent="0.25">
      <c r="A1794" t="s">
        <v>2079</v>
      </c>
      <c r="C1794" t="s">
        <v>2043</v>
      </c>
    </row>
    <row r="1795" spans="1:3" x14ac:dyDescent="0.25">
      <c r="A1795" t="s">
        <v>2080</v>
      </c>
      <c r="C1795" t="s">
        <v>2045</v>
      </c>
    </row>
    <row r="1796" spans="1:3" x14ac:dyDescent="0.25">
      <c r="A1796" t="s">
        <v>2084</v>
      </c>
      <c r="C1796" t="s">
        <v>2046</v>
      </c>
    </row>
    <row r="1797" spans="1:3" x14ac:dyDescent="0.25">
      <c r="A1797" t="s">
        <v>2086</v>
      </c>
      <c r="C1797" t="s">
        <v>3063</v>
      </c>
    </row>
    <row r="1798" spans="1:3" x14ac:dyDescent="0.25">
      <c r="A1798" t="s">
        <v>2087</v>
      </c>
      <c r="C1798" t="s">
        <v>2048</v>
      </c>
    </row>
    <row r="1799" spans="1:3" x14ac:dyDescent="0.25">
      <c r="A1799" t="s">
        <v>2091</v>
      </c>
      <c r="C1799" t="s">
        <v>2049</v>
      </c>
    </row>
    <row r="1800" spans="1:3" x14ac:dyDescent="0.25">
      <c r="A1800" t="s">
        <v>2093</v>
      </c>
      <c r="C1800" t="s">
        <v>2050</v>
      </c>
    </row>
    <row r="1801" spans="1:3" x14ac:dyDescent="0.25">
      <c r="A1801" t="s">
        <v>2094</v>
      </c>
      <c r="C1801" t="s">
        <v>2051</v>
      </c>
    </row>
    <row r="1802" spans="1:3" x14ac:dyDescent="0.25">
      <c r="A1802" t="s">
        <v>2096</v>
      </c>
      <c r="C1802" t="s">
        <v>2052</v>
      </c>
    </row>
    <row r="1803" spans="1:3" x14ac:dyDescent="0.25">
      <c r="A1803" t="s">
        <v>2097</v>
      </c>
      <c r="C1803" t="s">
        <v>2053</v>
      </c>
    </row>
    <row r="1804" spans="1:3" x14ac:dyDescent="0.25">
      <c r="A1804" t="s">
        <v>2098</v>
      </c>
      <c r="C1804" t="s">
        <v>2054</v>
      </c>
    </row>
    <row r="1805" spans="1:3" x14ac:dyDescent="0.25">
      <c r="A1805" t="s">
        <v>2099</v>
      </c>
      <c r="C1805" t="s">
        <v>2055</v>
      </c>
    </row>
    <row r="1806" spans="1:3" x14ac:dyDescent="0.25">
      <c r="A1806" t="s">
        <v>2100</v>
      </c>
      <c r="C1806" t="s">
        <v>2056</v>
      </c>
    </row>
    <row r="1807" spans="1:3" x14ac:dyDescent="0.25">
      <c r="A1807" t="s">
        <v>2101</v>
      </c>
      <c r="C1807" t="s">
        <v>3146</v>
      </c>
    </row>
    <row r="1808" spans="1:3" x14ac:dyDescent="0.25">
      <c r="A1808" t="s">
        <v>2102</v>
      </c>
      <c r="C1808" t="s">
        <v>2057</v>
      </c>
    </row>
    <row r="1809" spans="1:3" x14ac:dyDescent="0.25">
      <c r="A1809" t="s">
        <v>2103</v>
      </c>
      <c r="C1809" t="s">
        <v>2058</v>
      </c>
    </row>
    <row r="1810" spans="1:3" x14ac:dyDescent="0.25">
      <c r="A1810" t="s">
        <v>2104</v>
      </c>
      <c r="C1810" t="s">
        <v>2059</v>
      </c>
    </row>
    <row r="1811" spans="1:3" x14ac:dyDescent="0.25">
      <c r="A1811" t="s">
        <v>2105</v>
      </c>
      <c r="C1811" t="s">
        <v>2060</v>
      </c>
    </row>
    <row r="1812" spans="1:3" x14ac:dyDescent="0.25">
      <c r="A1812" t="s">
        <v>2106</v>
      </c>
      <c r="C1812" t="s">
        <v>2061</v>
      </c>
    </row>
    <row r="1813" spans="1:3" x14ac:dyDescent="0.25">
      <c r="A1813" t="s">
        <v>2107</v>
      </c>
      <c r="C1813" t="s">
        <v>2062</v>
      </c>
    </row>
    <row r="1814" spans="1:3" x14ac:dyDescent="0.25">
      <c r="A1814" t="s">
        <v>2108</v>
      </c>
      <c r="C1814" t="s">
        <v>2063</v>
      </c>
    </row>
    <row r="1815" spans="1:3" x14ac:dyDescent="0.25">
      <c r="A1815" t="s">
        <v>2109</v>
      </c>
      <c r="C1815" t="s">
        <v>2064</v>
      </c>
    </row>
    <row r="1816" spans="1:3" x14ac:dyDescent="0.25">
      <c r="A1816" t="s">
        <v>2110</v>
      </c>
      <c r="C1816" t="s">
        <v>3064</v>
      </c>
    </row>
    <row r="1817" spans="1:3" x14ac:dyDescent="0.25">
      <c r="A1817" t="s">
        <v>2111</v>
      </c>
      <c r="C1817" t="s">
        <v>2065</v>
      </c>
    </row>
    <row r="1818" spans="1:3" x14ac:dyDescent="0.25">
      <c r="A1818" t="s">
        <v>2112</v>
      </c>
      <c r="C1818" t="s">
        <v>2066</v>
      </c>
    </row>
    <row r="1819" spans="1:3" x14ac:dyDescent="0.25">
      <c r="A1819" t="s">
        <v>2113</v>
      </c>
      <c r="C1819" t="s">
        <v>2067</v>
      </c>
    </row>
    <row r="1820" spans="1:3" x14ac:dyDescent="0.25">
      <c r="A1820" t="s">
        <v>2114</v>
      </c>
      <c r="C1820" t="s">
        <v>2068</v>
      </c>
    </row>
    <row r="1821" spans="1:3" x14ac:dyDescent="0.25">
      <c r="A1821" t="s">
        <v>2115</v>
      </c>
      <c r="C1821" t="s">
        <v>2071</v>
      </c>
    </row>
    <row r="1822" spans="1:3" x14ac:dyDescent="0.25">
      <c r="A1822" t="s">
        <v>2116</v>
      </c>
      <c r="C1822" t="s">
        <v>2072</v>
      </c>
    </row>
    <row r="1823" spans="1:3" x14ac:dyDescent="0.25">
      <c r="A1823" t="s">
        <v>2117</v>
      </c>
      <c r="C1823" t="s">
        <v>2077</v>
      </c>
    </row>
    <row r="1824" spans="1:3" x14ac:dyDescent="0.25">
      <c r="A1824" t="s">
        <v>2118</v>
      </c>
      <c r="C1824" t="s">
        <v>2079</v>
      </c>
    </row>
    <row r="1825" spans="1:3" x14ac:dyDescent="0.25">
      <c r="A1825" t="s">
        <v>2119</v>
      </c>
      <c r="C1825" t="s">
        <v>2084</v>
      </c>
    </row>
    <row r="1826" spans="1:3" x14ac:dyDescent="0.25">
      <c r="A1826" t="s">
        <v>2120</v>
      </c>
      <c r="C1826" t="s">
        <v>2086</v>
      </c>
    </row>
    <row r="1827" spans="1:3" x14ac:dyDescent="0.25">
      <c r="A1827" t="s">
        <v>2121</v>
      </c>
      <c r="C1827" t="s">
        <v>2091</v>
      </c>
    </row>
    <row r="1828" spans="1:3" x14ac:dyDescent="0.25">
      <c r="A1828" t="s">
        <v>2122</v>
      </c>
      <c r="C1828" t="s">
        <v>2093</v>
      </c>
    </row>
    <row r="1829" spans="1:3" x14ac:dyDescent="0.25">
      <c r="A1829" t="s">
        <v>2123</v>
      </c>
      <c r="C1829" t="s">
        <v>2096</v>
      </c>
    </row>
    <row r="1830" spans="1:3" x14ac:dyDescent="0.25">
      <c r="A1830" t="s">
        <v>2124</v>
      </c>
      <c r="C1830" t="s">
        <v>2097</v>
      </c>
    </row>
    <row r="1831" spans="1:3" x14ac:dyDescent="0.25">
      <c r="A1831" t="s">
        <v>2125</v>
      </c>
      <c r="C1831" t="s">
        <v>2098</v>
      </c>
    </row>
    <row r="1832" spans="1:3" x14ac:dyDescent="0.25">
      <c r="A1832" t="s">
        <v>2126</v>
      </c>
      <c r="C1832" t="s">
        <v>2099</v>
      </c>
    </row>
    <row r="1833" spans="1:3" x14ac:dyDescent="0.25">
      <c r="A1833" t="s">
        <v>2127</v>
      </c>
      <c r="C1833" t="s">
        <v>2100</v>
      </c>
    </row>
    <row r="1834" spans="1:3" x14ac:dyDescent="0.25">
      <c r="A1834" t="s">
        <v>2128</v>
      </c>
      <c r="C1834" t="s">
        <v>2101</v>
      </c>
    </row>
    <row r="1835" spans="1:3" x14ac:dyDescent="0.25">
      <c r="A1835" t="s">
        <v>2129</v>
      </c>
      <c r="C1835" t="s">
        <v>2102</v>
      </c>
    </row>
    <row r="1836" spans="1:3" x14ac:dyDescent="0.25">
      <c r="A1836" t="s">
        <v>2130</v>
      </c>
      <c r="C1836" t="s">
        <v>2103</v>
      </c>
    </row>
    <row r="1837" spans="1:3" x14ac:dyDescent="0.25">
      <c r="A1837" t="s">
        <v>2131</v>
      </c>
      <c r="C1837" t="s">
        <v>2104</v>
      </c>
    </row>
    <row r="1838" spans="1:3" x14ac:dyDescent="0.25">
      <c r="C1838" t="s">
        <v>2105</v>
      </c>
    </row>
    <row r="1839" spans="1:3" x14ac:dyDescent="0.25">
      <c r="C1839" t="s">
        <v>2106</v>
      </c>
    </row>
    <row r="1840" spans="1:3" x14ac:dyDescent="0.25">
      <c r="C1840" t="s">
        <v>2107</v>
      </c>
    </row>
    <row r="1841" spans="3:3" x14ac:dyDescent="0.25">
      <c r="C1841" t="s">
        <v>2108</v>
      </c>
    </row>
    <row r="1842" spans="3:3" x14ac:dyDescent="0.25">
      <c r="C1842" t="s">
        <v>2109</v>
      </c>
    </row>
    <row r="1843" spans="3:3" x14ac:dyDescent="0.25">
      <c r="C1843" t="s">
        <v>2110</v>
      </c>
    </row>
    <row r="1844" spans="3:3" x14ac:dyDescent="0.25">
      <c r="C1844" t="s">
        <v>2111</v>
      </c>
    </row>
    <row r="1845" spans="3:3" x14ac:dyDescent="0.25">
      <c r="C1845" t="s">
        <v>2112</v>
      </c>
    </row>
    <row r="1846" spans="3:3" x14ac:dyDescent="0.25">
      <c r="C1846" t="s">
        <v>2113</v>
      </c>
    </row>
    <row r="1847" spans="3:3" x14ac:dyDescent="0.25">
      <c r="C1847" t="s">
        <v>2115</v>
      </c>
    </row>
    <row r="1848" spans="3:3" x14ac:dyDescent="0.25">
      <c r="C1848" t="s">
        <v>2116</v>
      </c>
    </row>
    <row r="1849" spans="3:3" x14ac:dyDescent="0.25">
      <c r="C1849" t="s">
        <v>2118</v>
      </c>
    </row>
    <row r="1850" spans="3:3" x14ac:dyDescent="0.25">
      <c r="C1850" t="s">
        <v>2119</v>
      </c>
    </row>
    <row r="1851" spans="3:3" x14ac:dyDescent="0.25">
      <c r="C1851" t="s">
        <v>2120</v>
      </c>
    </row>
    <row r="1852" spans="3:3" x14ac:dyDescent="0.25">
      <c r="C1852" t="s">
        <v>2121</v>
      </c>
    </row>
    <row r="1853" spans="3:3" x14ac:dyDescent="0.25">
      <c r="C1853" t="s">
        <v>2122</v>
      </c>
    </row>
    <row r="1854" spans="3:3" x14ac:dyDescent="0.25">
      <c r="C1854" t="s">
        <v>2124</v>
      </c>
    </row>
    <row r="1855" spans="3:3" x14ac:dyDescent="0.25">
      <c r="C1855" t="s">
        <v>2125</v>
      </c>
    </row>
    <row r="1856" spans="3:3" x14ac:dyDescent="0.25">
      <c r="C1856" t="s">
        <v>2127</v>
      </c>
    </row>
    <row r="1857" spans="3:3" x14ac:dyDescent="0.25">
      <c r="C1857" t="s">
        <v>2128</v>
      </c>
    </row>
    <row r="1858" spans="3:3" x14ac:dyDescent="0.25">
      <c r="C1858" t="s">
        <v>2129</v>
      </c>
    </row>
    <row r="1859" spans="3:3" x14ac:dyDescent="0.25">
      <c r="C1859" t="s">
        <v>2130</v>
      </c>
    </row>
    <row r="1860" spans="3:3" x14ac:dyDescent="0.25">
      <c r="C1860" t="s">
        <v>2131</v>
      </c>
    </row>
  </sheetData>
  <sortState xmlns:xlrd2="http://schemas.microsoft.com/office/spreadsheetml/2017/richdata2" ref="H1:H1870">
    <sortCondition ref="H1:H1870"/>
  </sortState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C2EB6-035F-4545-8A00-38479729DE12}">
  <dimension ref="A1:L1400"/>
  <sheetViews>
    <sheetView zoomScaleNormal="100" workbookViewId="0">
      <selection activeCell="G14" sqref="G14"/>
    </sheetView>
  </sheetViews>
  <sheetFormatPr defaultRowHeight="13.8" x14ac:dyDescent="0.25"/>
  <cols>
    <col min="1" max="8" width="27.33203125" customWidth="1"/>
    <col min="10" max="12" width="12.6640625" customWidth="1"/>
  </cols>
  <sheetData>
    <row r="1" spans="1:12" x14ac:dyDescent="0.25">
      <c r="A1" t="s">
        <v>225</v>
      </c>
      <c r="B1" t="s">
        <v>225</v>
      </c>
      <c r="C1" t="s">
        <v>225</v>
      </c>
      <c r="D1" t="s">
        <v>226</v>
      </c>
      <c r="E1" t="s">
        <v>225</v>
      </c>
      <c r="F1" t="s">
        <v>225</v>
      </c>
      <c r="G1" t="s">
        <v>225</v>
      </c>
      <c r="H1" t="s">
        <v>225</v>
      </c>
    </row>
    <row r="2" spans="1:12" x14ac:dyDescent="0.25">
      <c r="A2" t="s">
        <v>226</v>
      </c>
      <c r="B2" t="s">
        <v>226</v>
      </c>
      <c r="C2" t="s">
        <v>226</v>
      </c>
      <c r="D2" t="s">
        <v>227</v>
      </c>
      <c r="E2" t="s">
        <v>226</v>
      </c>
      <c r="F2" t="s">
        <v>226</v>
      </c>
      <c r="G2" t="s">
        <v>226</v>
      </c>
      <c r="H2" t="s">
        <v>226</v>
      </c>
      <c r="J2" s="38"/>
      <c r="K2" s="38" t="s">
        <v>228</v>
      </c>
      <c r="L2" s="38" t="s">
        <v>229</v>
      </c>
    </row>
    <row r="3" spans="1:12" x14ac:dyDescent="0.25">
      <c r="A3" t="s">
        <v>227</v>
      </c>
      <c r="B3" t="s">
        <v>227</v>
      </c>
      <c r="C3" t="s">
        <v>227</v>
      </c>
      <c r="D3" t="s">
        <v>230</v>
      </c>
      <c r="E3" t="s">
        <v>227</v>
      </c>
      <c r="F3" t="s">
        <v>227</v>
      </c>
      <c r="G3" t="s">
        <v>227</v>
      </c>
      <c r="H3" t="s">
        <v>227</v>
      </c>
      <c r="J3" s="38" t="s">
        <v>179</v>
      </c>
      <c r="K3" s="38">
        <v>594</v>
      </c>
      <c r="L3" s="35">
        <f>K3/1400</f>
        <v>0.42428571428571427</v>
      </c>
    </row>
    <row r="4" spans="1:12" x14ac:dyDescent="0.25">
      <c r="A4" t="s">
        <v>230</v>
      </c>
      <c r="B4" t="s">
        <v>230</v>
      </c>
      <c r="C4" t="s">
        <v>230</v>
      </c>
      <c r="D4" t="s">
        <v>231</v>
      </c>
      <c r="E4" t="s">
        <v>230</v>
      </c>
      <c r="F4" t="s">
        <v>230</v>
      </c>
      <c r="G4" t="s">
        <v>230</v>
      </c>
      <c r="H4" t="s">
        <v>230</v>
      </c>
      <c r="J4" s="38" t="s">
        <v>180</v>
      </c>
      <c r="K4" s="38">
        <v>563</v>
      </c>
      <c r="L4" s="35">
        <f t="shared" ref="L4:L10" si="0">K4/1400</f>
        <v>0.40214285714285714</v>
      </c>
    </row>
    <row r="5" spans="1:12" x14ac:dyDescent="0.25">
      <c r="A5" t="s">
        <v>231</v>
      </c>
      <c r="B5" t="s">
        <v>231</v>
      </c>
      <c r="C5" t="s">
        <v>231</v>
      </c>
      <c r="D5" t="s">
        <v>232</v>
      </c>
      <c r="E5" t="s">
        <v>231</v>
      </c>
      <c r="F5" t="s">
        <v>231</v>
      </c>
      <c r="G5" t="s">
        <v>231</v>
      </c>
      <c r="H5" t="s">
        <v>231</v>
      </c>
      <c r="J5" s="38" t="s">
        <v>210</v>
      </c>
      <c r="K5" s="38">
        <v>565</v>
      </c>
      <c r="L5" s="35">
        <f t="shared" si="0"/>
        <v>0.40357142857142858</v>
      </c>
    </row>
    <row r="6" spans="1:12" x14ac:dyDescent="0.25">
      <c r="A6" t="s">
        <v>232</v>
      </c>
      <c r="B6" t="s">
        <v>232</v>
      </c>
      <c r="C6" t="s">
        <v>232</v>
      </c>
      <c r="D6" t="s">
        <v>233</v>
      </c>
      <c r="E6" t="s">
        <v>232</v>
      </c>
      <c r="F6" t="s">
        <v>234</v>
      </c>
      <c r="G6" t="s">
        <v>234</v>
      </c>
      <c r="H6" t="s">
        <v>233</v>
      </c>
      <c r="J6" s="38" t="s">
        <v>211</v>
      </c>
      <c r="K6" s="38">
        <v>513</v>
      </c>
      <c r="L6" s="35">
        <f t="shared" si="0"/>
        <v>0.36642857142857144</v>
      </c>
    </row>
    <row r="7" spans="1:12" x14ac:dyDescent="0.25">
      <c r="A7" t="s">
        <v>233</v>
      </c>
      <c r="B7" t="s">
        <v>233</v>
      </c>
      <c r="C7" t="s">
        <v>233</v>
      </c>
      <c r="D7" t="s">
        <v>234</v>
      </c>
      <c r="E7" t="s">
        <v>233</v>
      </c>
      <c r="F7" t="s">
        <v>235</v>
      </c>
      <c r="G7" t="s">
        <v>235</v>
      </c>
      <c r="H7" t="s">
        <v>234</v>
      </c>
      <c r="J7" s="38" t="s">
        <v>181</v>
      </c>
      <c r="K7" s="38">
        <v>509</v>
      </c>
      <c r="L7" s="35">
        <f t="shared" si="0"/>
        <v>0.36357142857142855</v>
      </c>
    </row>
    <row r="8" spans="1:12" x14ac:dyDescent="0.25">
      <c r="A8" t="s">
        <v>234</v>
      </c>
      <c r="B8" t="s">
        <v>234</v>
      </c>
      <c r="C8" t="s">
        <v>234</v>
      </c>
      <c r="D8" t="s">
        <v>235</v>
      </c>
      <c r="E8" t="s">
        <v>234</v>
      </c>
      <c r="F8" t="s">
        <v>236</v>
      </c>
      <c r="G8" t="s">
        <v>236</v>
      </c>
      <c r="H8" t="s">
        <v>235</v>
      </c>
      <c r="J8" s="38" t="s">
        <v>182</v>
      </c>
      <c r="K8" s="38">
        <v>411</v>
      </c>
      <c r="L8" s="35">
        <f t="shared" si="0"/>
        <v>0.29357142857142859</v>
      </c>
    </row>
    <row r="9" spans="1:12" x14ac:dyDescent="0.25">
      <c r="A9" t="s">
        <v>235</v>
      </c>
      <c r="B9" t="s">
        <v>235</v>
      </c>
      <c r="C9" t="s">
        <v>235</v>
      </c>
      <c r="D9" t="s">
        <v>236</v>
      </c>
      <c r="E9" t="s">
        <v>235</v>
      </c>
      <c r="F9" t="s">
        <v>237</v>
      </c>
      <c r="G9" t="s">
        <v>237</v>
      </c>
      <c r="H9" t="s">
        <v>236</v>
      </c>
      <c r="J9" s="38" t="s">
        <v>183</v>
      </c>
      <c r="K9" s="38">
        <v>441</v>
      </c>
      <c r="L9" s="35">
        <f t="shared" si="0"/>
        <v>0.315</v>
      </c>
    </row>
    <row r="10" spans="1:12" x14ac:dyDescent="0.25">
      <c r="A10" t="s">
        <v>236</v>
      </c>
      <c r="B10" t="s">
        <v>236</v>
      </c>
      <c r="C10" t="s">
        <v>236</v>
      </c>
      <c r="D10" t="s">
        <v>237</v>
      </c>
      <c r="E10" t="s">
        <v>236</v>
      </c>
      <c r="F10" t="s">
        <v>238</v>
      </c>
      <c r="G10" t="s">
        <v>239</v>
      </c>
      <c r="H10" t="s">
        <v>237</v>
      </c>
      <c r="J10" s="38" t="s">
        <v>184</v>
      </c>
      <c r="K10" s="38">
        <v>444</v>
      </c>
      <c r="L10" s="35">
        <f t="shared" si="0"/>
        <v>0.31714285714285712</v>
      </c>
    </row>
    <row r="11" spans="1:12" x14ac:dyDescent="0.25">
      <c r="A11" t="s">
        <v>237</v>
      </c>
      <c r="B11" t="s">
        <v>237</v>
      </c>
      <c r="C11" t="s">
        <v>237</v>
      </c>
      <c r="D11" t="s">
        <v>240</v>
      </c>
      <c r="E11" t="s">
        <v>237</v>
      </c>
      <c r="F11" t="s">
        <v>241</v>
      </c>
      <c r="G11" t="s">
        <v>242</v>
      </c>
      <c r="H11" t="s">
        <v>238</v>
      </c>
      <c r="J11" s="1"/>
      <c r="K11" s="1"/>
      <c r="L11" s="1"/>
    </row>
    <row r="12" spans="1:12" x14ac:dyDescent="0.25">
      <c r="A12" t="s">
        <v>240</v>
      </c>
      <c r="B12" t="s">
        <v>240</v>
      </c>
      <c r="C12" t="s">
        <v>240</v>
      </c>
      <c r="D12" t="s">
        <v>238</v>
      </c>
      <c r="E12" t="s">
        <v>240</v>
      </c>
      <c r="F12" t="s">
        <v>239</v>
      </c>
      <c r="G12" t="s">
        <v>243</v>
      </c>
      <c r="H12" t="s">
        <v>244</v>
      </c>
    </row>
    <row r="13" spans="1:12" x14ac:dyDescent="0.25">
      <c r="A13" t="s">
        <v>238</v>
      </c>
      <c r="B13" t="s">
        <v>238</v>
      </c>
      <c r="C13" t="s">
        <v>238</v>
      </c>
      <c r="D13" t="s">
        <v>244</v>
      </c>
      <c r="E13" t="s">
        <v>238</v>
      </c>
      <c r="F13" t="s">
        <v>242</v>
      </c>
      <c r="G13" t="s">
        <v>245</v>
      </c>
      <c r="H13" t="s">
        <v>239</v>
      </c>
    </row>
    <row r="14" spans="1:12" x14ac:dyDescent="0.25">
      <c r="A14" t="s">
        <v>244</v>
      </c>
      <c r="B14" t="s">
        <v>244</v>
      </c>
      <c r="C14" t="s">
        <v>244</v>
      </c>
      <c r="D14" t="s">
        <v>239</v>
      </c>
      <c r="E14" t="s">
        <v>244</v>
      </c>
      <c r="F14" t="s">
        <v>245</v>
      </c>
      <c r="G14" t="s">
        <v>246</v>
      </c>
      <c r="H14" t="s">
        <v>242</v>
      </c>
    </row>
    <row r="15" spans="1:12" x14ac:dyDescent="0.25">
      <c r="A15" t="s">
        <v>239</v>
      </c>
      <c r="B15" t="s">
        <v>239</v>
      </c>
      <c r="C15" t="s">
        <v>239</v>
      </c>
      <c r="D15" t="s">
        <v>242</v>
      </c>
      <c r="E15" t="s">
        <v>239</v>
      </c>
      <c r="F15" t="s">
        <v>246</v>
      </c>
      <c r="G15" t="s">
        <v>247</v>
      </c>
      <c r="H15" t="s">
        <v>243</v>
      </c>
    </row>
    <row r="16" spans="1:12" x14ac:dyDescent="0.25">
      <c r="A16" t="s">
        <v>242</v>
      </c>
      <c r="B16" t="s">
        <v>242</v>
      </c>
      <c r="C16" t="s">
        <v>242</v>
      </c>
      <c r="D16" t="s">
        <v>248</v>
      </c>
      <c r="E16" t="s">
        <v>242</v>
      </c>
      <c r="F16" t="s">
        <v>249</v>
      </c>
      <c r="G16" t="s">
        <v>250</v>
      </c>
      <c r="H16" t="s">
        <v>245</v>
      </c>
    </row>
    <row r="17" spans="1:8" x14ac:dyDescent="0.25">
      <c r="A17" t="s">
        <v>248</v>
      </c>
      <c r="B17" t="s">
        <v>248</v>
      </c>
      <c r="C17" t="s">
        <v>248</v>
      </c>
      <c r="D17" t="s">
        <v>243</v>
      </c>
      <c r="E17" t="s">
        <v>243</v>
      </c>
      <c r="F17" t="s">
        <v>247</v>
      </c>
      <c r="G17" t="s">
        <v>251</v>
      </c>
      <c r="H17" t="s">
        <v>246</v>
      </c>
    </row>
    <row r="18" spans="1:8" x14ac:dyDescent="0.25">
      <c r="A18" t="s">
        <v>243</v>
      </c>
      <c r="B18" t="s">
        <v>243</v>
      </c>
      <c r="C18" t="s">
        <v>243</v>
      </c>
      <c r="D18" t="s">
        <v>252</v>
      </c>
      <c r="E18" t="s">
        <v>252</v>
      </c>
      <c r="F18" t="s">
        <v>250</v>
      </c>
      <c r="G18" t="s">
        <v>253</v>
      </c>
      <c r="H18" t="s">
        <v>249</v>
      </c>
    </row>
    <row r="19" spans="1:8" x14ac:dyDescent="0.25">
      <c r="A19" t="s">
        <v>252</v>
      </c>
      <c r="B19" t="s">
        <v>252</v>
      </c>
      <c r="C19" t="s">
        <v>252</v>
      </c>
      <c r="D19" t="s">
        <v>245</v>
      </c>
      <c r="E19" t="s">
        <v>245</v>
      </c>
      <c r="F19" t="s">
        <v>251</v>
      </c>
      <c r="G19" t="s">
        <v>254</v>
      </c>
      <c r="H19" t="s">
        <v>247</v>
      </c>
    </row>
    <row r="20" spans="1:8" x14ac:dyDescent="0.25">
      <c r="A20" t="s">
        <v>245</v>
      </c>
      <c r="B20" t="s">
        <v>245</v>
      </c>
      <c r="C20" t="s">
        <v>245</v>
      </c>
      <c r="D20" t="s">
        <v>246</v>
      </c>
      <c r="E20" t="s">
        <v>246</v>
      </c>
      <c r="F20" t="s">
        <v>253</v>
      </c>
      <c r="G20" t="s">
        <v>255</v>
      </c>
      <c r="H20" t="s">
        <v>250</v>
      </c>
    </row>
    <row r="21" spans="1:8" x14ac:dyDescent="0.25">
      <c r="A21" t="s">
        <v>246</v>
      </c>
      <c r="B21" t="s">
        <v>246</v>
      </c>
      <c r="C21" t="s">
        <v>246</v>
      </c>
      <c r="D21" t="s">
        <v>249</v>
      </c>
      <c r="E21" t="s">
        <v>249</v>
      </c>
      <c r="F21" t="s">
        <v>255</v>
      </c>
      <c r="G21" t="s">
        <v>256</v>
      </c>
      <c r="H21" t="s">
        <v>257</v>
      </c>
    </row>
    <row r="22" spans="1:8" x14ac:dyDescent="0.25">
      <c r="A22" t="s">
        <v>249</v>
      </c>
      <c r="B22" t="s">
        <v>249</v>
      </c>
      <c r="C22" t="s">
        <v>249</v>
      </c>
      <c r="D22" t="s">
        <v>247</v>
      </c>
      <c r="E22" t="s">
        <v>247</v>
      </c>
      <c r="F22" t="s">
        <v>256</v>
      </c>
      <c r="G22" t="s">
        <v>258</v>
      </c>
      <c r="H22" t="s">
        <v>251</v>
      </c>
    </row>
    <row r="23" spans="1:8" x14ac:dyDescent="0.25">
      <c r="A23" t="s">
        <v>247</v>
      </c>
      <c r="B23" t="s">
        <v>247</v>
      </c>
      <c r="C23" t="s">
        <v>247</v>
      </c>
      <c r="D23" t="s">
        <v>250</v>
      </c>
      <c r="E23" t="s">
        <v>250</v>
      </c>
      <c r="F23" t="s">
        <v>258</v>
      </c>
      <c r="G23" t="s">
        <v>259</v>
      </c>
      <c r="H23" t="s">
        <v>253</v>
      </c>
    </row>
    <row r="24" spans="1:8" x14ac:dyDescent="0.25">
      <c r="A24" t="s">
        <v>250</v>
      </c>
      <c r="B24" t="s">
        <v>250</v>
      </c>
      <c r="C24" t="s">
        <v>250</v>
      </c>
      <c r="D24" t="s">
        <v>257</v>
      </c>
      <c r="E24" t="s">
        <v>257</v>
      </c>
      <c r="F24" t="s">
        <v>259</v>
      </c>
      <c r="G24" t="s">
        <v>260</v>
      </c>
      <c r="H24" t="s">
        <v>255</v>
      </c>
    </row>
    <row r="25" spans="1:8" x14ac:dyDescent="0.25">
      <c r="A25" t="s">
        <v>257</v>
      </c>
      <c r="B25" t="s">
        <v>251</v>
      </c>
      <c r="C25" t="s">
        <v>257</v>
      </c>
      <c r="D25" t="s">
        <v>251</v>
      </c>
      <c r="E25" t="s">
        <v>251</v>
      </c>
      <c r="F25" t="s">
        <v>261</v>
      </c>
      <c r="G25" t="s">
        <v>261</v>
      </c>
      <c r="H25" t="s">
        <v>256</v>
      </c>
    </row>
    <row r="26" spans="1:8" x14ac:dyDescent="0.25">
      <c r="A26" t="s">
        <v>251</v>
      </c>
      <c r="B26" t="s">
        <v>253</v>
      </c>
      <c r="C26" t="s">
        <v>251</v>
      </c>
      <c r="D26" t="s">
        <v>253</v>
      </c>
      <c r="E26" t="s">
        <v>253</v>
      </c>
      <c r="F26" t="s">
        <v>262</v>
      </c>
      <c r="G26" t="s">
        <v>262</v>
      </c>
      <c r="H26" t="s">
        <v>258</v>
      </c>
    </row>
    <row r="27" spans="1:8" x14ac:dyDescent="0.25">
      <c r="A27" t="s">
        <v>253</v>
      </c>
      <c r="B27" t="s">
        <v>254</v>
      </c>
      <c r="C27" t="s">
        <v>253</v>
      </c>
      <c r="D27" t="s">
        <v>254</v>
      </c>
      <c r="E27" t="s">
        <v>254</v>
      </c>
      <c r="F27" t="s">
        <v>263</v>
      </c>
      <c r="G27" t="s">
        <v>263</v>
      </c>
      <c r="H27" t="s">
        <v>259</v>
      </c>
    </row>
    <row r="28" spans="1:8" x14ac:dyDescent="0.25">
      <c r="A28" t="s">
        <v>254</v>
      </c>
      <c r="B28" t="s">
        <v>255</v>
      </c>
      <c r="C28" t="s">
        <v>254</v>
      </c>
      <c r="D28" t="s">
        <v>255</v>
      </c>
      <c r="E28" t="s">
        <v>255</v>
      </c>
      <c r="F28" t="s">
        <v>264</v>
      </c>
      <c r="G28" t="s">
        <v>265</v>
      </c>
      <c r="H28" t="s">
        <v>261</v>
      </c>
    </row>
    <row r="29" spans="1:8" x14ac:dyDescent="0.25">
      <c r="A29" t="s">
        <v>255</v>
      </c>
      <c r="B29" t="s">
        <v>256</v>
      </c>
      <c r="C29" t="s">
        <v>255</v>
      </c>
      <c r="D29" t="s">
        <v>256</v>
      </c>
      <c r="E29" t="s">
        <v>256</v>
      </c>
      <c r="F29" t="s">
        <v>266</v>
      </c>
      <c r="G29" t="s">
        <v>264</v>
      </c>
      <c r="H29" t="s">
        <v>262</v>
      </c>
    </row>
    <row r="30" spans="1:8" x14ac:dyDescent="0.25">
      <c r="A30" t="s">
        <v>256</v>
      </c>
      <c r="B30" t="s">
        <v>267</v>
      </c>
      <c r="C30" t="s">
        <v>256</v>
      </c>
      <c r="D30" t="s">
        <v>267</v>
      </c>
      <c r="E30" t="s">
        <v>267</v>
      </c>
      <c r="F30" t="s">
        <v>268</v>
      </c>
      <c r="G30" t="s">
        <v>266</v>
      </c>
      <c r="H30" t="s">
        <v>263</v>
      </c>
    </row>
    <row r="31" spans="1:8" x14ac:dyDescent="0.25">
      <c r="A31" t="s">
        <v>267</v>
      </c>
      <c r="B31" t="s">
        <v>258</v>
      </c>
      <c r="C31" t="s">
        <v>267</v>
      </c>
      <c r="D31" t="s">
        <v>258</v>
      </c>
      <c r="E31" t="s">
        <v>258</v>
      </c>
      <c r="F31" t="s">
        <v>269</v>
      </c>
      <c r="G31" t="s">
        <v>268</v>
      </c>
      <c r="H31" t="s">
        <v>264</v>
      </c>
    </row>
    <row r="32" spans="1:8" x14ac:dyDescent="0.25">
      <c r="A32" t="s">
        <v>258</v>
      </c>
      <c r="B32" t="s">
        <v>259</v>
      </c>
      <c r="C32" t="s">
        <v>258</v>
      </c>
      <c r="D32" t="s">
        <v>259</v>
      </c>
      <c r="E32" t="s">
        <v>259</v>
      </c>
      <c r="F32" t="s">
        <v>270</v>
      </c>
      <c r="G32" t="s">
        <v>271</v>
      </c>
      <c r="H32" t="s">
        <v>266</v>
      </c>
    </row>
    <row r="33" spans="1:8" x14ac:dyDescent="0.25">
      <c r="A33" t="s">
        <v>259</v>
      </c>
      <c r="B33" t="s">
        <v>272</v>
      </c>
      <c r="C33" t="s">
        <v>259</v>
      </c>
      <c r="D33" t="s">
        <v>260</v>
      </c>
      <c r="E33" t="s">
        <v>261</v>
      </c>
      <c r="F33" t="s">
        <v>273</v>
      </c>
      <c r="G33" t="s">
        <v>274</v>
      </c>
      <c r="H33" t="s">
        <v>268</v>
      </c>
    </row>
    <row r="34" spans="1:8" x14ac:dyDescent="0.25">
      <c r="A34" t="s">
        <v>272</v>
      </c>
      <c r="B34" t="s">
        <v>275</v>
      </c>
      <c r="C34" t="s">
        <v>272</v>
      </c>
      <c r="D34" t="s">
        <v>261</v>
      </c>
      <c r="E34" t="s">
        <v>276</v>
      </c>
      <c r="F34" t="s">
        <v>277</v>
      </c>
      <c r="G34" t="s">
        <v>278</v>
      </c>
      <c r="H34" t="s">
        <v>274</v>
      </c>
    </row>
    <row r="35" spans="1:8" x14ac:dyDescent="0.25">
      <c r="A35" t="s">
        <v>275</v>
      </c>
      <c r="B35" t="s">
        <v>261</v>
      </c>
      <c r="C35" t="s">
        <v>260</v>
      </c>
      <c r="D35" t="s">
        <v>276</v>
      </c>
      <c r="E35" t="s">
        <v>262</v>
      </c>
      <c r="F35" t="s">
        <v>279</v>
      </c>
      <c r="G35" t="s">
        <v>269</v>
      </c>
      <c r="H35" t="s">
        <v>278</v>
      </c>
    </row>
    <row r="36" spans="1:8" x14ac:dyDescent="0.25">
      <c r="A36" t="s">
        <v>261</v>
      </c>
      <c r="B36" t="s">
        <v>276</v>
      </c>
      <c r="C36" t="s">
        <v>275</v>
      </c>
      <c r="D36" t="s">
        <v>262</v>
      </c>
      <c r="E36" t="s">
        <v>263</v>
      </c>
      <c r="F36" t="s">
        <v>280</v>
      </c>
      <c r="G36" t="s">
        <v>270</v>
      </c>
      <c r="H36" t="s">
        <v>269</v>
      </c>
    </row>
    <row r="37" spans="1:8" x14ac:dyDescent="0.25">
      <c r="A37" t="s">
        <v>276</v>
      </c>
      <c r="B37" t="s">
        <v>262</v>
      </c>
      <c r="C37" t="s">
        <v>261</v>
      </c>
      <c r="D37" t="s">
        <v>263</v>
      </c>
      <c r="E37" t="s">
        <v>265</v>
      </c>
      <c r="F37" t="s">
        <v>281</v>
      </c>
      <c r="G37" t="s">
        <v>282</v>
      </c>
      <c r="H37" t="s">
        <v>270</v>
      </c>
    </row>
    <row r="38" spans="1:8" x14ac:dyDescent="0.25">
      <c r="A38" t="s">
        <v>262</v>
      </c>
      <c r="B38" t="s">
        <v>263</v>
      </c>
      <c r="C38" t="s">
        <v>276</v>
      </c>
      <c r="D38" t="s">
        <v>265</v>
      </c>
      <c r="E38" t="s">
        <v>264</v>
      </c>
      <c r="F38" t="s">
        <v>283</v>
      </c>
      <c r="G38" t="s">
        <v>273</v>
      </c>
      <c r="H38" t="s">
        <v>282</v>
      </c>
    </row>
    <row r="39" spans="1:8" x14ac:dyDescent="0.25">
      <c r="A39" t="s">
        <v>263</v>
      </c>
      <c r="B39" t="s">
        <v>265</v>
      </c>
      <c r="C39" t="s">
        <v>262</v>
      </c>
      <c r="D39" t="s">
        <v>264</v>
      </c>
      <c r="E39" t="s">
        <v>266</v>
      </c>
      <c r="F39" t="s">
        <v>284</v>
      </c>
      <c r="G39" t="s">
        <v>279</v>
      </c>
      <c r="H39" t="s">
        <v>273</v>
      </c>
    </row>
    <row r="40" spans="1:8" x14ac:dyDescent="0.25">
      <c r="A40" t="s">
        <v>265</v>
      </c>
      <c r="B40" t="s">
        <v>264</v>
      </c>
      <c r="C40" t="s">
        <v>263</v>
      </c>
      <c r="D40" t="s">
        <v>266</v>
      </c>
      <c r="E40" t="s">
        <v>268</v>
      </c>
      <c r="F40" t="s">
        <v>285</v>
      </c>
      <c r="G40" t="s">
        <v>280</v>
      </c>
      <c r="H40" t="s">
        <v>279</v>
      </c>
    </row>
    <row r="41" spans="1:8" x14ac:dyDescent="0.25">
      <c r="A41" t="s">
        <v>264</v>
      </c>
      <c r="B41" t="s">
        <v>266</v>
      </c>
      <c r="C41" t="s">
        <v>265</v>
      </c>
      <c r="D41" t="s">
        <v>268</v>
      </c>
      <c r="E41" t="s">
        <v>271</v>
      </c>
      <c r="F41" t="s">
        <v>286</v>
      </c>
      <c r="G41" t="s">
        <v>281</v>
      </c>
      <c r="H41" t="s">
        <v>280</v>
      </c>
    </row>
    <row r="42" spans="1:8" x14ac:dyDescent="0.25">
      <c r="A42" t="s">
        <v>266</v>
      </c>
      <c r="B42" t="s">
        <v>268</v>
      </c>
      <c r="C42" t="s">
        <v>264</v>
      </c>
      <c r="D42" t="s">
        <v>271</v>
      </c>
      <c r="E42" t="s">
        <v>278</v>
      </c>
      <c r="F42" t="s">
        <v>287</v>
      </c>
      <c r="G42" t="s">
        <v>288</v>
      </c>
      <c r="H42" t="s">
        <v>281</v>
      </c>
    </row>
    <row r="43" spans="1:8" x14ac:dyDescent="0.25">
      <c r="A43" t="s">
        <v>268</v>
      </c>
      <c r="B43" t="s">
        <v>271</v>
      </c>
      <c r="C43" t="s">
        <v>266</v>
      </c>
      <c r="D43" t="s">
        <v>278</v>
      </c>
      <c r="E43" t="s">
        <v>269</v>
      </c>
      <c r="F43" t="s">
        <v>289</v>
      </c>
      <c r="G43" t="s">
        <v>283</v>
      </c>
      <c r="H43" t="s">
        <v>283</v>
      </c>
    </row>
    <row r="44" spans="1:8" x14ac:dyDescent="0.25">
      <c r="A44" t="s">
        <v>271</v>
      </c>
      <c r="B44" t="s">
        <v>274</v>
      </c>
      <c r="C44" t="s">
        <v>268</v>
      </c>
      <c r="D44" t="s">
        <v>269</v>
      </c>
      <c r="E44" t="s">
        <v>270</v>
      </c>
      <c r="F44" t="s">
        <v>290</v>
      </c>
      <c r="G44" t="s">
        <v>284</v>
      </c>
      <c r="H44" t="s">
        <v>284</v>
      </c>
    </row>
    <row r="45" spans="1:8" x14ac:dyDescent="0.25">
      <c r="A45" t="s">
        <v>274</v>
      </c>
      <c r="B45" t="s">
        <v>278</v>
      </c>
      <c r="C45" t="s">
        <v>271</v>
      </c>
      <c r="D45" t="s">
        <v>270</v>
      </c>
      <c r="E45" t="s">
        <v>282</v>
      </c>
      <c r="F45" t="s">
        <v>291</v>
      </c>
      <c r="G45" t="s">
        <v>285</v>
      </c>
      <c r="H45" t="s">
        <v>285</v>
      </c>
    </row>
    <row r="46" spans="1:8" x14ac:dyDescent="0.25">
      <c r="A46" t="s">
        <v>278</v>
      </c>
      <c r="B46" t="s">
        <v>269</v>
      </c>
      <c r="C46" t="s">
        <v>274</v>
      </c>
      <c r="D46" t="s">
        <v>282</v>
      </c>
      <c r="E46" t="s">
        <v>273</v>
      </c>
      <c r="F46" t="s">
        <v>292</v>
      </c>
      <c r="G46" t="s">
        <v>286</v>
      </c>
      <c r="H46" t="s">
        <v>286</v>
      </c>
    </row>
    <row r="47" spans="1:8" x14ac:dyDescent="0.25">
      <c r="A47" t="s">
        <v>269</v>
      </c>
      <c r="B47" t="s">
        <v>293</v>
      </c>
      <c r="C47" t="s">
        <v>278</v>
      </c>
      <c r="D47" t="s">
        <v>273</v>
      </c>
      <c r="E47" t="s">
        <v>277</v>
      </c>
      <c r="F47" t="s">
        <v>294</v>
      </c>
      <c r="G47" t="s">
        <v>287</v>
      </c>
      <c r="H47" t="s">
        <v>287</v>
      </c>
    </row>
    <row r="48" spans="1:8" x14ac:dyDescent="0.25">
      <c r="A48" t="s">
        <v>293</v>
      </c>
      <c r="B48" t="s">
        <v>270</v>
      </c>
      <c r="C48" t="s">
        <v>269</v>
      </c>
      <c r="D48" t="s">
        <v>277</v>
      </c>
      <c r="E48" t="s">
        <v>279</v>
      </c>
      <c r="F48" t="s">
        <v>295</v>
      </c>
      <c r="G48" t="s">
        <v>289</v>
      </c>
      <c r="H48" t="s">
        <v>289</v>
      </c>
    </row>
    <row r="49" spans="1:8" x14ac:dyDescent="0.25">
      <c r="A49" t="s">
        <v>270</v>
      </c>
      <c r="B49" t="s">
        <v>282</v>
      </c>
      <c r="C49" t="s">
        <v>293</v>
      </c>
      <c r="D49" t="s">
        <v>279</v>
      </c>
      <c r="E49" t="s">
        <v>280</v>
      </c>
      <c r="F49" t="s">
        <v>296</v>
      </c>
      <c r="G49" t="s">
        <v>291</v>
      </c>
      <c r="H49" t="s">
        <v>290</v>
      </c>
    </row>
    <row r="50" spans="1:8" x14ac:dyDescent="0.25">
      <c r="A50" t="s">
        <v>282</v>
      </c>
      <c r="B50" t="s">
        <v>273</v>
      </c>
      <c r="C50" t="s">
        <v>270</v>
      </c>
      <c r="D50" t="s">
        <v>280</v>
      </c>
      <c r="E50" t="s">
        <v>281</v>
      </c>
      <c r="F50" t="s">
        <v>297</v>
      </c>
      <c r="G50" t="s">
        <v>292</v>
      </c>
      <c r="H50" t="s">
        <v>291</v>
      </c>
    </row>
    <row r="51" spans="1:8" x14ac:dyDescent="0.25">
      <c r="A51" t="s">
        <v>273</v>
      </c>
      <c r="B51" t="s">
        <v>277</v>
      </c>
      <c r="C51" t="s">
        <v>282</v>
      </c>
      <c r="D51" t="s">
        <v>281</v>
      </c>
      <c r="E51" t="s">
        <v>283</v>
      </c>
      <c r="F51" t="s">
        <v>298</v>
      </c>
      <c r="G51" t="s">
        <v>299</v>
      </c>
      <c r="H51" t="s">
        <v>292</v>
      </c>
    </row>
    <row r="52" spans="1:8" x14ac:dyDescent="0.25">
      <c r="A52" t="s">
        <v>277</v>
      </c>
      <c r="B52" t="s">
        <v>279</v>
      </c>
      <c r="C52" t="s">
        <v>273</v>
      </c>
      <c r="D52" t="s">
        <v>283</v>
      </c>
      <c r="E52" t="s">
        <v>284</v>
      </c>
      <c r="F52" t="s">
        <v>300</v>
      </c>
      <c r="G52" t="s">
        <v>295</v>
      </c>
      <c r="H52" t="s">
        <v>299</v>
      </c>
    </row>
    <row r="53" spans="1:8" x14ac:dyDescent="0.25">
      <c r="A53" t="s">
        <v>279</v>
      </c>
      <c r="B53" t="s">
        <v>280</v>
      </c>
      <c r="C53" t="s">
        <v>277</v>
      </c>
      <c r="D53" t="s">
        <v>284</v>
      </c>
      <c r="E53" t="s">
        <v>285</v>
      </c>
      <c r="F53" t="s">
        <v>301</v>
      </c>
      <c r="G53" t="s">
        <v>296</v>
      </c>
      <c r="H53" t="s">
        <v>295</v>
      </c>
    </row>
    <row r="54" spans="1:8" x14ac:dyDescent="0.25">
      <c r="A54" t="s">
        <v>280</v>
      </c>
      <c r="B54" t="s">
        <v>281</v>
      </c>
      <c r="C54" t="s">
        <v>279</v>
      </c>
      <c r="D54" t="s">
        <v>285</v>
      </c>
      <c r="E54" t="s">
        <v>286</v>
      </c>
      <c r="F54" t="s">
        <v>302</v>
      </c>
      <c r="G54" t="s">
        <v>297</v>
      </c>
      <c r="H54" t="s">
        <v>296</v>
      </c>
    </row>
    <row r="55" spans="1:8" x14ac:dyDescent="0.25">
      <c r="A55" t="s">
        <v>281</v>
      </c>
      <c r="B55" t="s">
        <v>283</v>
      </c>
      <c r="C55" t="s">
        <v>280</v>
      </c>
      <c r="D55" t="s">
        <v>286</v>
      </c>
      <c r="E55" t="s">
        <v>287</v>
      </c>
      <c r="F55" t="s">
        <v>303</v>
      </c>
      <c r="G55" t="s">
        <v>298</v>
      </c>
      <c r="H55" t="s">
        <v>297</v>
      </c>
    </row>
    <row r="56" spans="1:8" x14ac:dyDescent="0.25">
      <c r="A56" t="s">
        <v>288</v>
      </c>
      <c r="B56" t="s">
        <v>284</v>
      </c>
      <c r="C56" t="s">
        <v>281</v>
      </c>
      <c r="D56" t="s">
        <v>287</v>
      </c>
      <c r="E56" t="s">
        <v>289</v>
      </c>
      <c r="F56" t="s">
        <v>304</v>
      </c>
      <c r="G56" t="s">
        <v>300</v>
      </c>
      <c r="H56" t="s">
        <v>298</v>
      </c>
    </row>
    <row r="57" spans="1:8" x14ac:dyDescent="0.25">
      <c r="A57" t="s">
        <v>283</v>
      </c>
      <c r="B57" t="s">
        <v>285</v>
      </c>
      <c r="C57" t="s">
        <v>283</v>
      </c>
      <c r="D57" t="s">
        <v>289</v>
      </c>
      <c r="E57" t="s">
        <v>290</v>
      </c>
      <c r="F57" t="s">
        <v>305</v>
      </c>
      <c r="G57" t="s">
        <v>301</v>
      </c>
      <c r="H57" t="s">
        <v>300</v>
      </c>
    </row>
    <row r="58" spans="1:8" x14ac:dyDescent="0.25">
      <c r="A58" t="s">
        <v>284</v>
      </c>
      <c r="B58" t="s">
        <v>286</v>
      </c>
      <c r="C58" t="s">
        <v>284</v>
      </c>
      <c r="D58" t="s">
        <v>290</v>
      </c>
      <c r="E58" t="s">
        <v>291</v>
      </c>
      <c r="F58" t="s">
        <v>306</v>
      </c>
      <c r="G58" t="s">
        <v>307</v>
      </c>
      <c r="H58" t="s">
        <v>301</v>
      </c>
    </row>
    <row r="59" spans="1:8" x14ac:dyDescent="0.25">
      <c r="A59" t="s">
        <v>285</v>
      </c>
      <c r="B59" t="s">
        <v>287</v>
      </c>
      <c r="C59" t="s">
        <v>285</v>
      </c>
      <c r="D59" t="s">
        <v>291</v>
      </c>
      <c r="E59" t="s">
        <v>292</v>
      </c>
      <c r="F59" t="s">
        <v>308</v>
      </c>
      <c r="G59" t="s">
        <v>302</v>
      </c>
      <c r="H59" t="s">
        <v>307</v>
      </c>
    </row>
    <row r="60" spans="1:8" x14ac:dyDescent="0.25">
      <c r="A60" t="s">
        <v>286</v>
      </c>
      <c r="B60" t="s">
        <v>309</v>
      </c>
      <c r="C60" t="s">
        <v>286</v>
      </c>
      <c r="D60" t="s">
        <v>292</v>
      </c>
      <c r="E60" t="s">
        <v>299</v>
      </c>
      <c r="F60" t="s">
        <v>310</v>
      </c>
      <c r="G60" t="s">
        <v>303</v>
      </c>
      <c r="H60" t="s">
        <v>302</v>
      </c>
    </row>
    <row r="61" spans="1:8" x14ac:dyDescent="0.25">
      <c r="A61" t="s">
        <v>287</v>
      </c>
      <c r="B61" t="s">
        <v>289</v>
      </c>
      <c r="C61" t="s">
        <v>287</v>
      </c>
      <c r="D61" t="s">
        <v>299</v>
      </c>
      <c r="E61" t="s">
        <v>294</v>
      </c>
      <c r="F61" t="s">
        <v>311</v>
      </c>
      <c r="G61" t="s">
        <v>304</v>
      </c>
      <c r="H61" t="s">
        <v>303</v>
      </c>
    </row>
    <row r="62" spans="1:8" x14ac:dyDescent="0.25">
      <c r="A62" t="s">
        <v>309</v>
      </c>
      <c r="B62" t="s">
        <v>290</v>
      </c>
      <c r="C62" t="s">
        <v>309</v>
      </c>
      <c r="D62" t="s">
        <v>294</v>
      </c>
      <c r="E62" t="s">
        <v>295</v>
      </c>
      <c r="F62" t="s">
        <v>312</v>
      </c>
      <c r="G62" t="s">
        <v>305</v>
      </c>
      <c r="H62" t="s">
        <v>304</v>
      </c>
    </row>
    <row r="63" spans="1:8" x14ac:dyDescent="0.25">
      <c r="A63" t="s">
        <v>289</v>
      </c>
      <c r="B63" t="s">
        <v>291</v>
      </c>
      <c r="C63" t="s">
        <v>289</v>
      </c>
      <c r="D63" t="s">
        <v>295</v>
      </c>
      <c r="E63" t="s">
        <v>296</v>
      </c>
      <c r="F63" t="s">
        <v>313</v>
      </c>
      <c r="G63" t="s">
        <v>308</v>
      </c>
      <c r="H63" t="s">
        <v>305</v>
      </c>
    </row>
    <row r="64" spans="1:8" x14ac:dyDescent="0.25">
      <c r="A64" t="s">
        <v>290</v>
      </c>
      <c r="B64" t="s">
        <v>292</v>
      </c>
      <c r="C64" t="s">
        <v>290</v>
      </c>
      <c r="D64" t="s">
        <v>296</v>
      </c>
      <c r="E64" t="s">
        <v>297</v>
      </c>
      <c r="F64" t="s">
        <v>314</v>
      </c>
      <c r="G64" t="s">
        <v>310</v>
      </c>
      <c r="H64" t="s">
        <v>308</v>
      </c>
    </row>
    <row r="65" spans="1:8" x14ac:dyDescent="0.25">
      <c r="A65" t="s">
        <v>315</v>
      </c>
      <c r="B65" t="s">
        <v>299</v>
      </c>
      <c r="C65" t="s">
        <v>291</v>
      </c>
      <c r="D65" t="s">
        <v>297</v>
      </c>
      <c r="E65" t="s">
        <v>298</v>
      </c>
      <c r="F65" t="s">
        <v>316</v>
      </c>
      <c r="G65" t="s">
        <v>311</v>
      </c>
      <c r="H65" t="s">
        <v>310</v>
      </c>
    </row>
    <row r="66" spans="1:8" x14ac:dyDescent="0.25">
      <c r="A66" t="s">
        <v>291</v>
      </c>
      <c r="B66" t="s">
        <v>294</v>
      </c>
      <c r="C66" t="s">
        <v>292</v>
      </c>
      <c r="D66" t="s">
        <v>298</v>
      </c>
      <c r="E66" t="s">
        <v>300</v>
      </c>
      <c r="F66" t="s">
        <v>317</v>
      </c>
      <c r="G66" t="s">
        <v>312</v>
      </c>
      <c r="H66" t="s">
        <v>311</v>
      </c>
    </row>
    <row r="67" spans="1:8" x14ac:dyDescent="0.25">
      <c r="A67" t="s">
        <v>292</v>
      </c>
      <c r="B67" t="s">
        <v>295</v>
      </c>
      <c r="C67" t="s">
        <v>299</v>
      </c>
      <c r="D67" t="s">
        <v>300</v>
      </c>
      <c r="E67" t="s">
        <v>301</v>
      </c>
      <c r="F67" t="s">
        <v>318</v>
      </c>
      <c r="G67" t="s">
        <v>313</v>
      </c>
      <c r="H67" t="s">
        <v>312</v>
      </c>
    </row>
    <row r="68" spans="1:8" x14ac:dyDescent="0.25">
      <c r="A68" t="s">
        <v>299</v>
      </c>
      <c r="B68" t="s">
        <v>296</v>
      </c>
      <c r="C68" t="s">
        <v>294</v>
      </c>
      <c r="D68" t="s">
        <v>301</v>
      </c>
      <c r="E68" t="s">
        <v>302</v>
      </c>
      <c r="F68" t="s">
        <v>319</v>
      </c>
      <c r="G68" t="s">
        <v>314</v>
      </c>
      <c r="H68" t="s">
        <v>320</v>
      </c>
    </row>
    <row r="69" spans="1:8" x14ac:dyDescent="0.25">
      <c r="A69" t="s">
        <v>294</v>
      </c>
      <c r="B69" t="s">
        <v>297</v>
      </c>
      <c r="C69" t="s">
        <v>295</v>
      </c>
      <c r="D69" t="s">
        <v>302</v>
      </c>
      <c r="E69" t="s">
        <v>303</v>
      </c>
      <c r="F69" t="s">
        <v>321</v>
      </c>
      <c r="G69" t="s">
        <v>316</v>
      </c>
      <c r="H69" t="s">
        <v>314</v>
      </c>
    </row>
    <row r="70" spans="1:8" x14ac:dyDescent="0.25">
      <c r="A70" t="s">
        <v>295</v>
      </c>
      <c r="B70" t="s">
        <v>298</v>
      </c>
      <c r="C70" t="s">
        <v>296</v>
      </c>
      <c r="D70" t="s">
        <v>303</v>
      </c>
      <c r="E70" t="s">
        <v>304</v>
      </c>
      <c r="F70" t="s">
        <v>322</v>
      </c>
      <c r="G70" t="s">
        <v>317</v>
      </c>
      <c r="H70" t="s">
        <v>316</v>
      </c>
    </row>
    <row r="71" spans="1:8" x14ac:dyDescent="0.25">
      <c r="A71" t="s">
        <v>296</v>
      </c>
      <c r="B71" t="s">
        <v>300</v>
      </c>
      <c r="C71" t="s">
        <v>297</v>
      </c>
      <c r="D71" t="s">
        <v>304</v>
      </c>
      <c r="E71" t="s">
        <v>305</v>
      </c>
      <c r="F71" t="s">
        <v>323</v>
      </c>
      <c r="G71" t="s">
        <v>318</v>
      </c>
      <c r="H71" t="s">
        <v>317</v>
      </c>
    </row>
    <row r="72" spans="1:8" x14ac:dyDescent="0.25">
      <c r="A72" t="s">
        <v>297</v>
      </c>
      <c r="B72" t="s">
        <v>301</v>
      </c>
      <c r="C72" t="s">
        <v>298</v>
      </c>
      <c r="D72" t="s">
        <v>305</v>
      </c>
      <c r="E72" t="s">
        <v>306</v>
      </c>
      <c r="F72" t="s">
        <v>324</v>
      </c>
      <c r="G72" t="s">
        <v>319</v>
      </c>
      <c r="H72" t="s">
        <v>318</v>
      </c>
    </row>
    <row r="73" spans="1:8" x14ac:dyDescent="0.25">
      <c r="A73" t="s">
        <v>298</v>
      </c>
      <c r="B73" t="s">
        <v>307</v>
      </c>
      <c r="C73" t="s">
        <v>300</v>
      </c>
      <c r="D73" t="s">
        <v>306</v>
      </c>
      <c r="E73" t="s">
        <v>308</v>
      </c>
      <c r="F73" t="s">
        <v>325</v>
      </c>
      <c r="G73" t="s">
        <v>321</v>
      </c>
      <c r="H73" t="s">
        <v>319</v>
      </c>
    </row>
    <row r="74" spans="1:8" x14ac:dyDescent="0.25">
      <c r="A74" t="s">
        <v>326</v>
      </c>
      <c r="B74" t="s">
        <v>302</v>
      </c>
      <c r="C74" t="s">
        <v>301</v>
      </c>
      <c r="D74" t="s">
        <v>308</v>
      </c>
      <c r="E74" t="s">
        <v>327</v>
      </c>
      <c r="F74" t="s">
        <v>328</v>
      </c>
      <c r="G74" t="s">
        <v>322</v>
      </c>
      <c r="H74" t="s">
        <v>321</v>
      </c>
    </row>
    <row r="75" spans="1:8" x14ac:dyDescent="0.25">
      <c r="A75" t="s">
        <v>300</v>
      </c>
      <c r="B75" t="s">
        <v>303</v>
      </c>
      <c r="C75" t="s">
        <v>307</v>
      </c>
      <c r="D75" t="s">
        <v>327</v>
      </c>
      <c r="E75" t="s">
        <v>310</v>
      </c>
      <c r="F75" t="s">
        <v>329</v>
      </c>
      <c r="G75" t="s">
        <v>323</v>
      </c>
      <c r="H75" t="s">
        <v>322</v>
      </c>
    </row>
    <row r="76" spans="1:8" x14ac:dyDescent="0.25">
      <c r="A76" t="s">
        <v>301</v>
      </c>
      <c r="B76" t="s">
        <v>304</v>
      </c>
      <c r="C76" t="s">
        <v>302</v>
      </c>
      <c r="D76" t="s">
        <v>330</v>
      </c>
      <c r="E76" t="s">
        <v>311</v>
      </c>
      <c r="F76" t="s">
        <v>331</v>
      </c>
      <c r="G76" t="s">
        <v>324</v>
      </c>
      <c r="H76" t="s">
        <v>323</v>
      </c>
    </row>
    <row r="77" spans="1:8" x14ac:dyDescent="0.25">
      <c r="A77" t="s">
        <v>307</v>
      </c>
      <c r="B77" t="s">
        <v>305</v>
      </c>
      <c r="C77" t="s">
        <v>303</v>
      </c>
      <c r="D77" t="s">
        <v>310</v>
      </c>
      <c r="E77" t="s">
        <v>332</v>
      </c>
      <c r="F77" t="s">
        <v>333</v>
      </c>
      <c r="G77" t="s">
        <v>325</v>
      </c>
      <c r="H77" t="s">
        <v>324</v>
      </c>
    </row>
    <row r="78" spans="1:8" x14ac:dyDescent="0.25">
      <c r="A78" t="s">
        <v>302</v>
      </c>
      <c r="B78" t="s">
        <v>306</v>
      </c>
      <c r="C78" t="s">
        <v>304</v>
      </c>
      <c r="D78" t="s">
        <v>311</v>
      </c>
      <c r="E78" t="s">
        <v>312</v>
      </c>
      <c r="F78" t="s">
        <v>334</v>
      </c>
      <c r="G78" t="s">
        <v>328</v>
      </c>
      <c r="H78" t="s">
        <v>325</v>
      </c>
    </row>
    <row r="79" spans="1:8" x14ac:dyDescent="0.25">
      <c r="A79" t="s">
        <v>303</v>
      </c>
      <c r="B79" t="s">
        <v>308</v>
      </c>
      <c r="C79" t="s">
        <v>305</v>
      </c>
      <c r="D79" t="s">
        <v>332</v>
      </c>
      <c r="E79" t="s">
        <v>320</v>
      </c>
      <c r="F79" t="s">
        <v>335</v>
      </c>
      <c r="G79" t="s">
        <v>329</v>
      </c>
      <c r="H79" t="s">
        <v>328</v>
      </c>
    </row>
    <row r="80" spans="1:8" x14ac:dyDescent="0.25">
      <c r="A80" t="s">
        <v>304</v>
      </c>
      <c r="B80" t="s">
        <v>327</v>
      </c>
      <c r="C80" t="s">
        <v>306</v>
      </c>
      <c r="D80" t="s">
        <v>312</v>
      </c>
      <c r="E80" t="s">
        <v>313</v>
      </c>
      <c r="F80" t="s">
        <v>336</v>
      </c>
      <c r="G80" t="s">
        <v>331</v>
      </c>
      <c r="H80" t="s">
        <v>329</v>
      </c>
    </row>
    <row r="81" spans="1:8" x14ac:dyDescent="0.25">
      <c r="A81" t="s">
        <v>305</v>
      </c>
      <c r="B81" t="s">
        <v>330</v>
      </c>
      <c r="C81" t="s">
        <v>308</v>
      </c>
      <c r="D81" t="s">
        <v>320</v>
      </c>
      <c r="E81" t="s">
        <v>314</v>
      </c>
      <c r="F81" t="s">
        <v>337</v>
      </c>
      <c r="G81" t="s">
        <v>333</v>
      </c>
      <c r="H81" t="s">
        <v>331</v>
      </c>
    </row>
    <row r="82" spans="1:8" x14ac:dyDescent="0.25">
      <c r="A82" t="s">
        <v>306</v>
      </c>
      <c r="B82" t="s">
        <v>310</v>
      </c>
      <c r="C82" t="s">
        <v>327</v>
      </c>
      <c r="D82" t="s">
        <v>338</v>
      </c>
      <c r="E82" t="s">
        <v>316</v>
      </c>
      <c r="F82" t="s">
        <v>339</v>
      </c>
      <c r="G82" t="s">
        <v>334</v>
      </c>
      <c r="H82" t="s">
        <v>333</v>
      </c>
    </row>
    <row r="83" spans="1:8" x14ac:dyDescent="0.25">
      <c r="A83" t="s">
        <v>308</v>
      </c>
      <c r="B83" t="s">
        <v>340</v>
      </c>
      <c r="C83" t="s">
        <v>330</v>
      </c>
      <c r="D83" t="s">
        <v>313</v>
      </c>
      <c r="E83" t="s">
        <v>317</v>
      </c>
      <c r="F83" t="s">
        <v>341</v>
      </c>
      <c r="G83" t="s">
        <v>335</v>
      </c>
      <c r="H83" t="s">
        <v>334</v>
      </c>
    </row>
    <row r="84" spans="1:8" x14ac:dyDescent="0.25">
      <c r="A84" t="s">
        <v>327</v>
      </c>
      <c r="B84" t="s">
        <v>311</v>
      </c>
      <c r="C84" t="s">
        <v>310</v>
      </c>
      <c r="D84" t="s">
        <v>314</v>
      </c>
      <c r="E84" t="s">
        <v>318</v>
      </c>
      <c r="F84" t="s">
        <v>342</v>
      </c>
      <c r="G84" t="s">
        <v>336</v>
      </c>
      <c r="H84" t="s">
        <v>335</v>
      </c>
    </row>
    <row r="85" spans="1:8" x14ac:dyDescent="0.25">
      <c r="A85" t="s">
        <v>330</v>
      </c>
      <c r="B85" t="s">
        <v>332</v>
      </c>
      <c r="C85" t="s">
        <v>340</v>
      </c>
      <c r="D85" t="s">
        <v>316</v>
      </c>
      <c r="E85" t="s">
        <v>319</v>
      </c>
      <c r="F85" t="s">
        <v>343</v>
      </c>
      <c r="G85" t="s">
        <v>337</v>
      </c>
      <c r="H85" t="s">
        <v>336</v>
      </c>
    </row>
    <row r="86" spans="1:8" x14ac:dyDescent="0.25">
      <c r="A86" t="s">
        <v>310</v>
      </c>
      <c r="B86" t="s">
        <v>312</v>
      </c>
      <c r="C86" t="s">
        <v>311</v>
      </c>
      <c r="D86" t="s">
        <v>317</v>
      </c>
      <c r="E86" t="s">
        <v>321</v>
      </c>
      <c r="F86" t="s">
        <v>344</v>
      </c>
      <c r="G86" t="s">
        <v>339</v>
      </c>
      <c r="H86" t="s">
        <v>337</v>
      </c>
    </row>
    <row r="87" spans="1:8" x14ac:dyDescent="0.25">
      <c r="A87" t="s">
        <v>340</v>
      </c>
      <c r="B87" t="s">
        <v>320</v>
      </c>
      <c r="C87" t="s">
        <v>332</v>
      </c>
      <c r="D87" t="s">
        <v>318</v>
      </c>
      <c r="E87" t="s">
        <v>322</v>
      </c>
      <c r="F87" t="s">
        <v>345</v>
      </c>
      <c r="G87" t="s">
        <v>346</v>
      </c>
      <c r="H87" t="s">
        <v>339</v>
      </c>
    </row>
    <row r="88" spans="1:8" x14ac:dyDescent="0.25">
      <c r="A88" t="s">
        <v>311</v>
      </c>
      <c r="B88" t="s">
        <v>338</v>
      </c>
      <c r="C88" t="s">
        <v>312</v>
      </c>
      <c r="D88" t="s">
        <v>319</v>
      </c>
      <c r="E88" t="s">
        <v>323</v>
      </c>
      <c r="F88" t="s">
        <v>347</v>
      </c>
      <c r="G88" t="s">
        <v>341</v>
      </c>
      <c r="H88" t="s">
        <v>346</v>
      </c>
    </row>
    <row r="89" spans="1:8" x14ac:dyDescent="0.25">
      <c r="A89" t="s">
        <v>348</v>
      </c>
      <c r="B89" t="s">
        <v>313</v>
      </c>
      <c r="C89" t="s">
        <v>320</v>
      </c>
      <c r="D89" t="s">
        <v>321</v>
      </c>
      <c r="E89" t="s">
        <v>324</v>
      </c>
      <c r="F89" t="s">
        <v>349</v>
      </c>
      <c r="G89" t="s">
        <v>342</v>
      </c>
      <c r="H89" t="s">
        <v>341</v>
      </c>
    </row>
    <row r="90" spans="1:8" x14ac:dyDescent="0.25">
      <c r="A90" t="s">
        <v>332</v>
      </c>
      <c r="B90" t="s">
        <v>314</v>
      </c>
      <c r="C90" t="s">
        <v>338</v>
      </c>
      <c r="D90" t="s">
        <v>322</v>
      </c>
      <c r="E90" t="s">
        <v>350</v>
      </c>
      <c r="F90" t="s">
        <v>351</v>
      </c>
      <c r="G90" t="s">
        <v>343</v>
      </c>
      <c r="H90" t="s">
        <v>342</v>
      </c>
    </row>
    <row r="91" spans="1:8" x14ac:dyDescent="0.25">
      <c r="A91" t="s">
        <v>312</v>
      </c>
      <c r="B91" t="s">
        <v>316</v>
      </c>
      <c r="C91" t="s">
        <v>313</v>
      </c>
      <c r="D91" t="s">
        <v>323</v>
      </c>
      <c r="E91" t="s">
        <v>325</v>
      </c>
      <c r="F91" t="s">
        <v>352</v>
      </c>
      <c r="G91" t="s">
        <v>344</v>
      </c>
      <c r="H91" t="s">
        <v>343</v>
      </c>
    </row>
    <row r="92" spans="1:8" x14ac:dyDescent="0.25">
      <c r="A92" t="s">
        <v>320</v>
      </c>
      <c r="B92" t="s">
        <v>317</v>
      </c>
      <c r="C92" t="s">
        <v>314</v>
      </c>
      <c r="D92" t="s">
        <v>324</v>
      </c>
      <c r="E92" t="s">
        <v>328</v>
      </c>
      <c r="F92" t="s">
        <v>353</v>
      </c>
      <c r="G92" t="s">
        <v>347</v>
      </c>
      <c r="H92" t="s">
        <v>344</v>
      </c>
    </row>
    <row r="93" spans="1:8" x14ac:dyDescent="0.25">
      <c r="A93" t="s">
        <v>338</v>
      </c>
      <c r="B93" t="s">
        <v>318</v>
      </c>
      <c r="C93" t="s">
        <v>316</v>
      </c>
      <c r="D93" t="s">
        <v>350</v>
      </c>
      <c r="E93" t="s">
        <v>329</v>
      </c>
      <c r="F93" t="s">
        <v>354</v>
      </c>
      <c r="G93" t="s">
        <v>349</v>
      </c>
      <c r="H93" t="s">
        <v>355</v>
      </c>
    </row>
    <row r="94" spans="1:8" x14ac:dyDescent="0.25">
      <c r="A94" t="s">
        <v>313</v>
      </c>
      <c r="B94" t="s">
        <v>319</v>
      </c>
      <c r="C94" t="s">
        <v>317</v>
      </c>
      <c r="D94" t="s">
        <v>325</v>
      </c>
      <c r="E94" t="s">
        <v>331</v>
      </c>
      <c r="F94" t="s">
        <v>356</v>
      </c>
      <c r="G94" t="s">
        <v>351</v>
      </c>
      <c r="H94" t="s">
        <v>345</v>
      </c>
    </row>
    <row r="95" spans="1:8" x14ac:dyDescent="0.25">
      <c r="A95" t="s">
        <v>314</v>
      </c>
      <c r="B95" t="s">
        <v>321</v>
      </c>
      <c r="C95" t="s">
        <v>318</v>
      </c>
      <c r="D95" t="s">
        <v>328</v>
      </c>
      <c r="E95" t="s">
        <v>333</v>
      </c>
      <c r="F95" t="s">
        <v>357</v>
      </c>
      <c r="G95" t="s">
        <v>352</v>
      </c>
      <c r="H95" t="s">
        <v>347</v>
      </c>
    </row>
    <row r="96" spans="1:8" x14ac:dyDescent="0.25">
      <c r="A96" t="s">
        <v>316</v>
      </c>
      <c r="B96" t="s">
        <v>322</v>
      </c>
      <c r="C96" t="s">
        <v>319</v>
      </c>
      <c r="D96" t="s">
        <v>329</v>
      </c>
      <c r="E96" t="s">
        <v>334</v>
      </c>
      <c r="F96" t="s">
        <v>358</v>
      </c>
      <c r="G96" t="s">
        <v>359</v>
      </c>
      <c r="H96" t="s">
        <v>349</v>
      </c>
    </row>
    <row r="97" spans="1:8" x14ac:dyDescent="0.25">
      <c r="A97" t="s">
        <v>317</v>
      </c>
      <c r="B97" t="s">
        <v>360</v>
      </c>
      <c r="C97" t="s">
        <v>321</v>
      </c>
      <c r="D97" t="s">
        <v>331</v>
      </c>
      <c r="E97" t="s">
        <v>335</v>
      </c>
      <c r="F97" t="s">
        <v>361</v>
      </c>
      <c r="G97" t="s">
        <v>353</v>
      </c>
      <c r="H97" t="s">
        <v>351</v>
      </c>
    </row>
    <row r="98" spans="1:8" x14ac:dyDescent="0.25">
      <c r="A98" t="s">
        <v>318</v>
      </c>
      <c r="B98" t="s">
        <v>323</v>
      </c>
      <c r="C98" t="s">
        <v>322</v>
      </c>
      <c r="D98" t="s">
        <v>333</v>
      </c>
      <c r="E98" t="s">
        <v>336</v>
      </c>
      <c r="F98" t="s">
        <v>362</v>
      </c>
      <c r="G98" t="s">
        <v>354</v>
      </c>
      <c r="H98" t="s">
        <v>352</v>
      </c>
    </row>
    <row r="99" spans="1:8" x14ac:dyDescent="0.25">
      <c r="A99" t="s">
        <v>319</v>
      </c>
      <c r="B99" t="s">
        <v>324</v>
      </c>
      <c r="C99" t="s">
        <v>323</v>
      </c>
      <c r="D99" t="s">
        <v>334</v>
      </c>
      <c r="E99" t="s">
        <v>337</v>
      </c>
      <c r="F99" t="s">
        <v>363</v>
      </c>
      <c r="G99" t="s">
        <v>356</v>
      </c>
      <c r="H99" t="s">
        <v>359</v>
      </c>
    </row>
    <row r="100" spans="1:8" x14ac:dyDescent="0.25">
      <c r="A100" t="s">
        <v>321</v>
      </c>
      <c r="B100" t="s">
        <v>350</v>
      </c>
      <c r="C100" t="s">
        <v>324</v>
      </c>
      <c r="D100" t="s">
        <v>335</v>
      </c>
      <c r="E100" t="s">
        <v>339</v>
      </c>
      <c r="F100" t="s">
        <v>364</v>
      </c>
      <c r="G100" t="s">
        <v>357</v>
      </c>
      <c r="H100" t="s">
        <v>353</v>
      </c>
    </row>
    <row r="101" spans="1:8" x14ac:dyDescent="0.25">
      <c r="A101" t="s">
        <v>322</v>
      </c>
      <c r="B101" t="s">
        <v>325</v>
      </c>
      <c r="C101" t="s">
        <v>350</v>
      </c>
      <c r="D101" t="s">
        <v>336</v>
      </c>
      <c r="E101" t="s">
        <v>346</v>
      </c>
      <c r="F101" t="s">
        <v>365</v>
      </c>
      <c r="G101" t="s">
        <v>358</v>
      </c>
      <c r="H101" t="s">
        <v>354</v>
      </c>
    </row>
    <row r="102" spans="1:8" x14ac:dyDescent="0.25">
      <c r="A102" t="s">
        <v>360</v>
      </c>
      <c r="B102" t="s">
        <v>328</v>
      </c>
      <c r="C102" t="s">
        <v>325</v>
      </c>
      <c r="D102" t="s">
        <v>337</v>
      </c>
      <c r="E102" t="s">
        <v>341</v>
      </c>
      <c r="F102" t="s">
        <v>366</v>
      </c>
      <c r="G102" t="s">
        <v>361</v>
      </c>
      <c r="H102" t="s">
        <v>367</v>
      </c>
    </row>
    <row r="103" spans="1:8" x14ac:dyDescent="0.25">
      <c r="A103" t="s">
        <v>323</v>
      </c>
      <c r="B103" t="s">
        <v>329</v>
      </c>
      <c r="C103" t="s">
        <v>328</v>
      </c>
      <c r="D103" t="s">
        <v>339</v>
      </c>
      <c r="E103" t="s">
        <v>342</v>
      </c>
      <c r="F103" t="s">
        <v>368</v>
      </c>
      <c r="G103" t="s">
        <v>362</v>
      </c>
      <c r="H103" t="s">
        <v>356</v>
      </c>
    </row>
    <row r="104" spans="1:8" x14ac:dyDescent="0.25">
      <c r="A104" t="s">
        <v>324</v>
      </c>
      <c r="B104" t="s">
        <v>331</v>
      </c>
      <c r="C104" t="s">
        <v>329</v>
      </c>
      <c r="D104" t="s">
        <v>346</v>
      </c>
      <c r="E104" t="s">
        <v>343</v>
      </c>
      <c r="F104" t="s">
        <v>369</v>
      </c>
      <c r="G104" t="s">
        <v>363</v>
      </c>
      <c r="H104" t="s">
        <v>357</v>
      </c>
    </row>
    <row r="105" spans="1:8" x14ac:dyDescent="0.25">
      <c r="A105" t="s">
        <v>350</v>
      </c>
      <c r="B105" t="s">
        <v>333</v>
      </c>
      <c r="C105" t="s">
        <v>331</v>
      </c>
      <c r="D105" t="s">
        <v>341</v>
      </c>
      <c r="E105" t="s">
        <v>344</v>
      </c>
      <c r="F105" t="s">
        <v>370</v>
      </c>
      <c r="G105" t="s">
        <v>364</v>
      </c>
      <c r="H105" t="s">
        <v>358</v>
      </c>
    </row>
    <row r="106" spans="1:8" x14ac:dyDescent="0.25">
      <c r="A106" t="s">
        <v>325</v>
      </c>
      <c r="B106" t="s">
        <v>334</v>
      </c>
      <c r="C106" t="s">
        <v>333</v>
      </c>
      <c r="D106" t="s">
        <v>342</v>
      </c>
      <c r="E106" t="s">
        <v>355</v>
      </c>
      <c r="F106" t="s">
        <v>371</v>
      </c>
      <c r="G106" t="s">
        <v>365</v>
      </c>
      <c r="H106" t="s">
        <v>361</v>
      </c>
    </row>
    <row r="107" spans="1:8" x14ac:dyDescent="0.25">
      <c r="A107" t="s">
        <v>328</v>
      </c>
      <c r="B107" t="s">
        <v>335</v>
      </c>
      <c r="C107" t="s">
        <v>334</v>
      </c>
      <c r="D107" t="s">
        <v>343</v>
      </c>
      <c r="E107" t="s">
        <v>345</v>
      </c>
      <c r="F107" t="s">
        <v>372</v>
      </c>
      <c r="G107" t="s">
        <v>366</v>
      </c>
      <c r="H107" t="s">
        <v>362</v>
      </c>
    </row>
    <row r="108" spans="1:8" x14ac:dyDescent="0.25">
      <c r="A108" t="s">
        <v>329</v>
      </c>
      <c r="B108" t="s">
        <v>336</v>
      </c>
      <c r="C108" t="s">
        <v>335</v>
      </c>
      <c r="D108" t="s">
        <v>344</v>
      </c>
      <c r="E108" t="s">
        <v>373</v>
      </c>
      <c r="F108" t="s">
        <v>374</v>
      </c>
      <c r="G108" t="s">
        <v>368</v>
      </c>
      <c r="H108" t="s">
        <v>363</v>
      </c>
    </row>
    <row r="109" spans="1:8" x14ac:dyDescent="0.25">
      <c r="A109" t="s">
        <v>331</v>
      </c>
      <c r="B109" t="s">
        <v>337</v>
      </c>
      <c r="C109" t="s">
        <v>336</v>
      </c>
      <c r="D109" t="s">
        <v>355</v>
      </c>
      <c r="E109" t="s">
        <v>347</v>
      </c>
      <c r="F109" t="s">
        <v>375</v>
      </c>
      <c r="G109" t="s">
        <v>369</v>
      </c>
      <c r="H109" t="s">
        <v>364</v>
      </c>
    </row>
    <row r="110" spans="1:8" x14ac:dyDescent="0.25">
      <c r="A110" t="s">
        <v>333</v>
      </c>
      <c r="B110" t="s">
        <v>339</v>
      </c>
      <c r="C110" t="s">
        <v>337</v>
      </c>
      <c r="D110" t="s">
        <v>345</v>
      </c>
      <c r="E110" t="s">
        <v>376</v>
      </c>
      <c r="F110" t="s">
        <v>377</v>
      </c>
      <c r="G110" t="s">
        <v>370</v>
      </c>
      <c r="H110" t="s">
        <v>365</v>
      </c>
    </row>
    <row r="111" spans="1:8" x14ac:dyDescent="0.25">
      <c r="A111" t="s">
        <v>334</v>
      </c>
      <c r="B111" t="s">
        <v>346</v>
      </c>
      <c r="C111" t="s">
        <v>339</v>
      </c>
      <c r="D111" t="s">
        <v>373</v>
      </c>
      <c r="E111" t="s">
        <v>349</v>
      </c>
      <c r="F111" t="s">
        <v>378</v>
      </c>
      <c r="G111" t="s">
        <v>371</v>
      </c>
      <c r="H111" t="s">
        <v>366</v>
      </c>
    </row>
    <row r="112" spans="1:8" x14ac:dyDescent="0.25">
      <c r="A112" t="s">
        <v>335</v>
      </c>
      <c r="B112" t="s">
        <v>341</v>
      </c>
      <c r="C112" t="s">
        <v>346</v>
      </c>
      <c r="D112" t="s">
        <v>347</v>
      </c>
      <c r="E112" t="s">
        <v>351</v>
      </c>
      <c r="F112" t="s">
        <v>379</v>
      </c>
      <c r="G112" t="s">
        <v>372</v>
      </c>
      <c r="H112" t="s">
        <v>368</v>
      </c>
    </row>
    <row r="113" spans="1:8" x14ac:dyDescent="0.25">
      <c r="A113" t="s">
        <v>336</v>
      </c>
      <c r="B113" t="s">
        <v>342</v>
      </c>
      <c r="C113" t="s">
        <v>341</v>
      </c>
      <c r="D113" t="s">
        <v>376</v>
      </c>
      <c r="E113" t="s">
        <v>352</v>
      </c>
      <c r="F113" t="s">
        <v>380</v>
      </c>
      <c r="G113" t="s">
        <v>374</v>
      </c>
      <c r="H113" t="s">
        <v>369</v>
      </c>
    </row>
    <row r="114" spans="1:8" x14ac:dyDescent="0.25">
      <c r="A114" t="s">
        <v>337</v>
      </c>
      <c r="B114" t="s">
        <v>343</v>
      </c>
      <c r="C114" t="s">
        <v>342</v>
      </c>
      <c r="D114" t="s">
        <v>349</v>
      </c>
      <c r="E114" t="s">
        <v>359</v>
      </c>
      <c r="F114" t="s">
        <v>381</v>
      </c>
      <c r="G114" t="s">
        <v>375</v>
      </c>
      <c r="H114" t="s">
        <v>370</v>
      </c>
    </row>
    <row r="115" spans="1:8" x14ac:dyDescent="0.25">
      <c r="A115" t="s">
        <v>339</v>
      </c>
      <c r="B115" t="s">
        <v>344</v>
      </c>
      <c r="C115" t="s">
        <v>343</v>
      </c>
      <c r="D115" t="s">
        <v>351</v>
      </c>
      <c r="E115" t="s">
        <v>382</v>
      </c>
      <c r="F115" t="s">
        <v>383</v>
      </c>
      <c r="G115" t="s">
        <v>377</v>
      </c>
      <c r="H115" t="s">
        <v>371</v>
      </c>
    </row>
    <row r="116" spans="1:8" x14ac:dyDescent="0.25">
      <c r="A116" t="s">
        <v>346</v>
      </c>
      <c r="B116" t="s">
        <v>355</v>
      </c>
      <c r="C116" t="s">
        <v>344</v>
      </c>
      <c r="D116" t="s">
        <v>352</v>
      </c>
      <c r="E116" t="s">
        <v>353</v>
      </c>
      <c r="F116" t="s">
        <v>384</v>
      </c>
      <c r="G116" t="s">
        <v>378</v>
      </c>
      <c r="H116" t="s">
        <v>372</v>
      </c>
    </row>
    <row r="117" spans="1:8" x14ac:dyDescent="0.25">
      <c r="A117" t="s">
        <v>341</v>
      </c>
      <c r="B117" t="s">
        <v>345</v>
      </c>
      <c r="C117" t="s">
        <v>355</v>
      </c>
      <c r="D117" t="s">
        <v>359</v>
      </c>
      <c r="E117" t="s">
        <v>354</v>
      </c>
      <c r="F117" t="s">
        <v>385</v>
      </c>
      <c r="G117" t="s">
        <v>379</v>
      </c>
      <c r="H117" t="s">
        <v>374</v>
      </c>
    </row>
    <row r="118" spans="1:8" x14ac:dyDescent="0.25">
      <c r="A118" t="s">
        <v>342</v>
      </c>
      <c r="B118" t="s">
        <v>373</v>
      </c>
      <c r="C118" t="s">
        <v>345</v>
      </c>
      <c r="D118" t="s">
        <v>353</v>
      </c>
      <c r="E118" t="s">
        <v>367</v>
      </c>
      <c r="F118" t="s">
        <v>386</v>
      </c>
      <c r="G118" t="s">
        <v>380</v>
      </c>
      <c r="H118" t="s">
        <v>375</v>
      </c>
    </row>
    <row r="119" spans="1:8" x14ac:dyDescent="0.25">
      <c r="A119" t="s">
        <v>343</v>
      </c>
      <c r="B119" t="s">
        <v>347</v>
      </c>
      <c r="C119" t="s">
        <v>373</v>
      </c>
      <c r="D119" t="s">
        <v>354</v>
      </c>
      <c r="E119" t="s">
        <v>356</v>
      </c>
      <c r="F119" t="s">
        <v>387</v>
      </c>
      <c r="G119" t="s">
        <v>381</v>
      </c>
      <c r="H119" t="s">
        <v>377</v>
      </c>
    </row>
    <row r="120" spans="1:8" x14ac:dyDescent="0.25">
      <c r="A120" t="s">
        <v>344</v>
      </c>
      <c r="B120" t="s">
        <v>376</v>
      </c>
      <c r="C120" t="s">
        <v>347</v>
      </c>
      <c r="D120" t="s">
        <v>367</v>
      </c>
      <c r="E120" t="s">
        <v>357</v>
      </c>
      <c r="F120" t="s">
        <v>388</v>
      </c>
      <c r="G120" t="s">
        <v>383</v>
      </c>
      <c r="H120" t="s">
        <v>378</v>
      </c>
    </row>
    <row r="121" spans="1:8" x14ac:dyDescent="0.25">
      <c r="A121" t="s">
        <v>355</v>
      </c>
      <c r="B121" t="s">
        <v>389</v>
      </c>
      <c r="C121" t="s">
        <v>376</v>
      </c>
      <c r="D121" t="s">
        <v>356</v>
      </c>
      <c r="E121" t="s">
        <v>358</v>
      </c>
      <c r="F121" t="s">
        <v>390</v>
      </c>
      <c r="G121" t="s">
        <v>384</v>
      </c>
      <c r="H121" t="s">
        <v>379</v>
      </c>
    </row>
    <row r="122" spans="1:8" x14ac:dyDescent="0.25">
      <c r="A122" t="s">
        <v>345</v>
      </c>
      <c r="B122" t="s">
        <v>349</v>
      </c>
      <c r="C122" t="s">
        <v>389</v>
      </c>
      <c r="D122" t="s">
        <v>357</v>
      </c>
      <c r="E122" t="s">
        <v>361</v>
      </c>
      <c r="F122" t="s">
        <v>391</v>
      </c>
      <c r="G122" t="s">
        <v>385</v>
      </c>
      <c r="H122" t="s">
        <v>380</v>
      </c>
    </row>
    <row r="123" spans="1:8" x14ac:dyDescent="0.25">
      <c r="A123" t="s">
        <v>373</v>
      </c>
      <c r="B123" t="s">
        <v>351</v>
      </c>
      <c r="C123" t="s">
        <v>349</v>
      </c>
      <c r="D123" t="s">
        <v>358</v>
      </c>
      <c r="E123" t="s">
        <v>362</v>
      </c>
      <c r="F123" t="s">
        <v>392</v>
      </c>
      <c r="G123" t="s">
        <v>386</v>
      </c>
      <c r="H123" t="s">
        <v>381</v>
      </c>
    </row>
    <row r="124" spans="1:8" x14ac:dyDescent="0.25">
      <c r="A124" t="s">
        <v>347</v>
      </c>
      <c r="B124" t="s">
        <v>352</v>
      </c>
      <c r="C124" t="s">
        <v>351</v>
      </c>
      <c r="D124" t="s">
        <v>361</v>
      </c>
      <c r="E124" t="s">
        <v>393</v>
      </c>
      <c r="F124" t="s">
        <v>394</v>
      </c>
      <c r="G124" t="s">
        <v>395</v>
      </c>
      <c r="H124" t="s">
        <v>383</v>
      </c>
    </row>
    <row r="125" spans="1:8" x14ac:dyDescent="0.25">
      <c r="A125" t="s">
        <v>376</v>
      </c>
      <c r="B125" t="s">
        <v>396</v>
      </c>
      <c r="C125" t="s">
        <v>352</v>
      </c>
      <c r="D125" t="s">
        <v>362</v>
      </c>
      <c r="E125" t="s">
        <v>363</v>
      </c>
      <c r="F125" t="s">
        <v>397</v>
      </c>
      <c r="G125" t="s">
        <v>387</v>
      </c>
      <c r="H125" t="s">
        <v>384</v>
      </c>
    </row>
    <row r="126" spans="1:8" x14ac:dyDescent="0.25">
      <c r="A126" t="s">
        <v>389</v>
      </c>
      <c r="B126" t="s">
        <v>359</v>
      </c>
      <c r="C126" t="s">
        <v>396</v>
      </c>
      <c r="D126" t="s">
        <v>393</v>
      </c>
      <c r="E126" t="s">
        <v>364</v>
      </c>
      <c r="F126" t="s">
        <v>398</v>
      </c>
      <c r="G126" t="s">
        <v>388</v>
      </c>
      <c r="H126" t="s">
        <v>385</v>
      </c>
    </row>
    <row r="127" spans="1:8" x14ac:dyDescent="0.25">
      <c r="A127" t="s">
        <v>349</v>
      </c>
      <c r="B127" t="s">
        <v>382</v>
      </c>
      <c r="C127" t="s">
        <v>359</v>
      </c>
      <c r="D127" t="s">
        <v>363</v>
      </c>
      <c r="E127" t="s">
        <v>365</v>
      </c>
      <c r="F127" t="s">
        <v>399</v>
      </c>
      <c r="G127" t="s">
        <v>390</v>
      </c>
      <c r="H127" t="s">
        <v>386</v>
      </c>
    </row>
    <row r="128" spans="1:8" x14ac:dyDescent="0.25">
      <c r="A128" t="s">
        <v>351</v>
      </c>
      <c r="B128" t="s">
        <v>353</v>
      </c>
      <c r="C128" t="s">
        <v>382</v>
      </c>
      <c r="D128" t="s">
        <v>364</v>
      </c>
      <c r="E128" t="s">
        <v>366</v>
      </c>
      <c r="F128" t="s">
        <v>400</v>
      </c>
      <c r="G128" t="s">
        <v>401</v>
      </c>
      <c r="H128" t="s">
        <v>395</v>
      </c>
    </row>
    <row r="129" spans="1:8" x14ac:dyDescent="0.25">
      <c r="A129" t="s">
        <v>352</v>
      </c>
      <c r="B129" t="s">
        <v>354</v>
      </c>
      <c r="C129" t="s">
        <v>353</v>
      </c>
      <c r="D129" t="s">
        <v>365</v>
      </c>
      <c r="E129" t="s">
        <v>368</v>
      </c>
      <c r="F129" t="s">
        <v>402</v>
      </c>
      <c r="G129" t="s">
        <v>391</v>
      </c>
      <c r="H129" t="s">
        <v>387</v>
      </c>
    </row>
    <row r="130" spans="1:8" x14ac:dyDescent="0.25">
      <c r="A130" t="s">
        <v>396</v>
      </c>
      <c r="B130" t="s">
        <v>367</v>
      </c>
      <c r="C130" t="s">
        <v>354</v>
      </c>
      <c r="D130" t="s">
        <v>366</v>
      </c>
      <c r="E130" t="s">
        <v>369</v>
      </c>
      <c r="F130" t="s">
        <v>403</v>
      </c>
      <c r="G130" t="s">
        <v>392</v>
      </c>
      <c r="H130" t="s">
        <v>390</v>
      </c>
    </row>
    <row r="131" spans="1:8" x14ac:dyDescent="0.25">
      <c r="A131" t="s">
        <v>359</v>
      </c>
      <c r="B131" t="s">
        <v>356</v>
      </c>
      <c r="C131" t="s">
        <v>367</v>
      </c>
      <c r="D131" t="s">
        <v>368</v>
      </c>
      <c r="E131" t="s">
        <v>370</v>
      </c>
      <c r="F131" t="s">
        <v>404</v>
      </c>
      <c r="G131" t="s">
        <v>394</v>
      </c>
      <c r="H131" t="s">
        <v>401</v>
      </c>
    </row>
    <row r="132" spans="1:8" x14ac:dyDescent="0.25">
      <c r="A132" t="s">
        <v>382</v>
      </c>
      <c r="B132" t="s">
        <v>357</v>
      </c>
      <c r="C132" t="s">
        <v>356</v>
      </c>
      <c r="D132" t="s">
        <v>369</v>
      </c>
      <c r="E132" t="s">
        <v>371</v>
      </c>
      <c r="F132" t="s">
        <v>405</v>
      </c>
      <c r="G132" t="s">
        <v>397</v>
      </c>
      <c r="H132" t="s">
        <v>391</v>
      </c>
    </row>
    <row r="133" spans="1:8" x14ac:dyDescent="0.25">
      <c r="A133" t="s">
        <v>353</v>
      </c>
      <c r="B133" t="s">
        <v>358</v>
      </c>
      <c r="C133" t="s">
        <v>357</v>
      </c>
      <c r="D133" t="s">
        <v>370</v>
      </c>
      <c r="E133" t="s">
        <v>372</v>
      </c>
      <c r="F133" t="s">
        <v>406</v>
      </c>
      <c r="G133" t="s">
        <v>398</v>
      </c>
      <c r="H133" t="s">
        <v>392</v>
      </c>
    </row>
    <row r="134" spans="1:8" x14ac:dyDescent="0.25">
      <c r="A134" t="s">
        <v>354</v>
      </c>
      <c r="B134" t="s">
        <v>361</v>
      </c>
      <c r="C134" t="s">
        <v>358</v>
      </c>
      <c r="D134" t="s">
        <v>371</v>
      </c>
      <c r="E134" t="s">
        <v>374</v>
      </c>
      <c r="F134" t="s">
        <v>407</v>
      </c>
      <c r="G134" t="s">
        <v>399</v>
      </c>
      <c r="H134" t="s">
        <v>394</v>
      </c>
    </row>
    <row r="135" spans="1:8" x14ac:dyDescent="0.25">
      <c r="A135" t="s">
        <v>367</v>
      </c>
      <c r="B135" t="s">
        <v>362</v>
      </c>
      <c r="C135" t="s">
        <v>361</v>
      </c>
      <c r="D135" t="s">
        <v>372</v>
      </c>
      <c r="E135" t="s">
        <v>375</v>
      </c>
      <c r="F135" t="s">
        <v>408</v>
      </c>
      <c r="G135" t="s">
        <v>400</v>
      </c>
      <c r="H135" t="s">
        <v>397</v>
      </c>
    </row>
    <row r="136" spans="1:8" x14ac:dyDescent="0.25">
      <c r="A136" t="s">
        <v>356</v>
      </c>
      <c r="B136" t="s">
        <v>393</v>
      </c>
      <c r="C136" t="s">
        <v>362</v>
      </c>
      <c r="D136" t="s">
        <v>374</v>
      </c>
      <c r="E136" t="s">
        <v>377</v>
      </c>
      <c r="F136" t="s">
        <v>409</v>
      </c>
      <c r="G136" t="s">
        <v>402</v>
      </c>
      <c r="H136" t="s">
        <v>398</v>
      </c>
    </row>
    <row r="137" spans="1:8" x14ac:dyDescent="0.25">
      <c r="A137" t="s">
        <v>357</v>
      </c>
      <c r="B137" t="s">
        <v>363</v>
      </c>
      <c r="C137" t="s">
        <v>393</v>
      </c>
      <c r="D137" t="s">
        <v>375</v>
      </c>
      <c r="E137" t="s">
        <v>378</v>
      </c>
      <c r="F137" t="s">
        <v>410</v>
      </c>
      <c r="G137" t="s">
        <v>403</v>
      </c>
      <c r="H137" t="s">
        <v>399</v>
      </c>
    </row>
    <row r="138" spans="1:8" x14ac:dyDescent="0.25">
      <c r="A138" t="s">
        <v>358</v>
      </c>
      <c r="B138" t="s">
        <v>364</v>
      </c>
      <c r="C138" t="s">
        <v>363</v>
      </c>
      <c r="D138" t="s">
        <v>377</v>
      </c>
      <c r="E138" t="s">
        <v>379</v>
      </c>
      <c r="F138" t="s">
        <v>411</v>
      </c>
      <c r="G138" t="s">
        <v>412</v>
      </c>
      <c r="H138" t="s">
        <v>400</v>
      </c>
    </row>
    <row r="139" spans="1:8" x14ac:dyDescent="0.25">
      <c r="A139" t="s">
        <v>361</v>
      </c>
      <c r="B139" t="s">
        <v>365</v>
      </c>
      <c r="C139" t="s">
        <v>364</v>
      </c>
      <c r="D139" t="s">
        <v>378</v>
      </c>
      <c r="E139" t="s">
        <v>380</v>
      </c>
      <c r="F139" t="s">
        <v>413</v>
      </c>
      <c r="G139" t="s">
        <v>404</v>
      </c>
      <c r="H139" t="s">
        <v>402</v>
      </c>
    </row>
    <row r="140" spans="1:8" x14ac:dyDescent="0.25">
      <c r="A140" t="s">
        <v>362</v>
      </c>
      <c r="B140" t="s">
        <v>366</v>
      </c>
      <c r="C140" t="s">
        <v>365</v>
      </c>
      <c r="D140" t="s">
        <v>414</v>
      </c>
      <c r="E140" t="s">
        <v>381</v>
      </c>
      <c r="F140" t="s">
        <v>415</v>
      </c>
      <c r="G140" t="s">
        <v>405</v>
      </c>
      <c r="H140" t="s">
        <v>403</v>
      </c>
    </row>
    <row r="141" spans="1:8" x14ac:dyDescent="0.25">
      <c r="A141" t="s">
        <v>393</v>
      </c>
      <c r="B141" t="s">
        <v>368</v>
      </c>
      <c r="C141" t="s">
        <v>366</v>
      </c>
      <c r="D141" t="s">
        <v>379</v>
      </c>
      <c r="E141" t="s">
        <v>383</v>
      </c>
      <c r="F141" t="s">
        <v>416</v>
      </c>
      <c r="G141" t="s">
        <v>406</v>
      </c>
      <c r="H141" t="s">
        <v>417</v>
      </c>
    </row>
    <row r="142" spans="1:8" x14ac:dyDescent="0.25">
      <c r="A142" t="s">
        <v>363</v>
      </c>
      <c r="B142" t="s">
        <v>369</v>
      </c>
      <c r="C142" t="s">
        <v>368</v>
      </c>
      <c r="D142" t="s">
        <v>380</v>
      </c>
      <c r="E142" t="s">
        <v>384</v>
      </c>
      <c r="F142" t="s">
        <v>418</v>
      </c>
      <c r="G142" t="s">
        <v>407</v>
      </c>
      <c r="H142" t="s">
        <v>412</v>
      </c>
    </row>
    <row r="143" spans="1:8" x14ac:dyDescent="0.25">
      <c r="A143" t="s">
        <v>364</v>
      </c>
      <c r="B143" t="s">
        <v>370</v>
      </c>
      <c r="C143" t="s">
        <v>369</v>
      </c>
      <c r="D143" t="s">
        <v>381</v>
      </c>
      <c r="E143" t="s">
        <v>385</v>
      </c>
      <c r="F143" t="s">
        <v>419</v>
      </c>
      <c r="G143" t="s">
        <v>408</v>
      </c>
      <c r="H143" t="s">
        <v>404</v>
      </c>
    </row>
    <row r="144" spans="1:8" x14ac:dyDescent="0.25">
      <c r="A144" t="s">
        <v>365</v>
      </c>
      <c r="B144" t="s">
        <v>371</v>
      </c>
      <c r="C144" t="s">
        <v>370</v>
      </c>
      <c r="D144" t="s">
        <v>383</v>
      </c>
      <c r="E144" t="s">
        <v>420</v>
      </c>
      <c r="F144" t="s">
        <v>421</v>
      </c>
      <c r="G144" t="s">
        <v>409</v>
      </c>
      <c r="H144" t="s">
        <v>405</v>
      </c>
    </row>
    <row r="145" spans="1:8" x14ac:dyDescent="0.25">
      <c r="A145" t="s">
        <v>366</v>
      </c>
      <c r="B145" t="s">
        <v>372</v>
      </c>
      <c r="C145" t="s">
        <v>371</v>
      </c>
      <c r="D145" t="s">
        <v>384</v>
      </c>
      <c r="E145" t="s">
        <v>386</v>
      </c>
      <c r="F145" t="s">
        <v>422</v>
      </c>
      <c r="G145" t="s">
        <v>410</v>
      </c>
      <c r="H145" t="s">
        <v>406</v>
      </c>
    </row>
    <row r="146" spans="1:8" x14ac:dyDescent="0.25">
      <c r="A146" t="s">
        <v>368</v>
      </c>
      <c r="B146" t="s">
        <v>374</v>
      </c>
      <c r="C146" t="s">
        <v>372</v>
      </c>
      <c r="D146" t="s">
        <v>385</v>
      </c>
      <c r="E146" t="s">
        <v>395</v>
      </c>
      <c r="F146" t="s">
        <v>423</v>
      </c>
      <c r="G146" t="s">
        <v>411</v>
      </c>
      <c r="H146" t="s">
        <v>407</v>
      </c>
    </row>
    <row r="147" spans="1:8" x14ac:dyDescent="0.25">
      <c r="A147" t="s">
        <v>369</v>
      </c>
      <c r="B147" t="s">
        <v>375</v>
      </c>
      <c r="C147" t="s">
        <v>374</v>
      </c>
      <c r="D147" t="s">
        <v>386</v>
      </c>
      <c r="E147" t="s">
        <v>387</v>
      </c>
      <c r="F147" t="s">
        <v>424</v>
      </c>
      <c r="G147" t="s">
        <v>413</v>
      </c>
      <c r="H147" t="s">
        <v>408</v>
      </c>
    </row>
    <row r="148" spans="1:8" x14ac:dyDescent="0.25">
      <c r="A148" t="s">
        <v>370</v>
      </c>
      <c r="B148" t="s">
        <v>377</v>
      </c>
      <c r="C148" t="s">
        <v>375</v>
      </c>
      <c r="D148" t="s">
        <v>387</v>
      </c>
      <c r="E148" t="s">
        <v>388</v>
      </c>
      <c r="F148" t="s">
        <v>425</v>
      </c>
      <c r="G148" t="s">
        <v>415</v>
      </c>
      <c r="H148" t="s">
        <v>409</v>
      </c>
    </row>
    <row r="149" spans="1:8" x14ac:dyDescent="0.25">
      <c r="A149" t="s">
        <v>371</v>
      </c>
      <c r="B149" t="s">
        <v>378</v>
      </c>
      <c r="C149" t="s">
        <v>377</v>
      </c>
      <c r="D149" t="s">
        <v>390</v>
      </c>
      <c r="E149" t="s">
        <v>390</v>
      </c>
      <c r="F149" t="s">
        <v>426</v>
      </c>
      <c r="G149" t="s">
        <v>416</v>
      </c>
      <c r="H149" t="s">
        <v>410</v>
      </c>
    </row>
    <row r="150" spans="1:8" x14ac:dyDescent="0.25">
      <c r="A150" t="s">
        <v>372</v>
      </c>
      <c r="B150" t="s">
        <v>414</v>
      </c>
      <c r="C150" t="s">
        <v>378</v>
      </c>
      <c r="D150" t="s">
        <v>391</v>
      </c>
      <c r="E150" t="s">
        <v>391</v>
      </c>
      <c r="F150" t="s">
        <v>427</v>
      </c>
      <c r="G150" t="s">
        <v>418</v>
      </c>
      <c r="H150" t="s">
        <v>411</v>
      </c>
    </row>
    <row r="151" spans="1:8" x14ac:dyDescent="0.25">
      <c r="A151" t="s">
        <v>374</v>
      </c>
      <c r="B151" t="s">
        <v>379</v>
      </c>
      <c r="C151" t="s">
        <v>414</v>
      </c>
      <c r="D151" t="s">
        <v>392</v>
      </c>
      <c r="E151" t="s">
        <v>392</v>
      </c>
      <c r="F151" t="s">
        <v>428</v>
      </c>
      <c r="G151" t="s">
        <v>419</v>
      </c>
      <c r="H151" t="s">
        <v>429</v>
      </c>
    </row>
    <row r="152" spans="1:8" x14ac:dyDescent="0.25">
      <c r="A152" t="s">
        <v>375</v>
      </c>
      <c r="B152" t="s">
        <v>380</v>
      </c>
      <c r="C152" t="s">
        <v>379</v>
      </c>
      <c r="D152" t="s">
        <v>394</v>
      </c>
      <c r="E152" t="s">
        <v>394</v>
      </c>
      <c r="F152" t="s">
        <v>430</v>
      </c>
      <c r="G152" t="s">
        <v>431</v>
      </c>
      <c r="H152" t="s">
        <v>413</v>
      </c>
    </row>
    <row r="153" spans="1:8" x14ac:dyDescent="0.25">
      <c r="A153" t="s">
        <v>377</v>
      </c>
      <c r="B153" t="s">
        <v>381</v>
      </c>
      <c r="C153" t="s">
        <v>380</v>
      </c>
      <c r="D153" t="s">
        <v>397</v>
      </c>
      <c r="E153" t="s">
        <v>397</v>
      </c>
      <c r="F153" t="s">
        <v>432</v>
      </c>
      <c r="G153" t="s">
        <v>421</v>
      </c>
      <c r="H153" t="s">
        <v>415</v>
      </c>
    </row>
    <row r="154" spans="1:8" x14ac:dyDescent="0.25">
      <c r="A154" t="s">
        <v>378</v>
      </c>
      <c r="B154" t="s">
        <v>383</v>
      </c>
      <c r="C154" t="s">
        <v>381</v>
      </c>
      <c r="D154" t="s">
        <v>398</v>
      </c>
      <c r="E154" t="s">
        <v>398</v>
      </c>
      <c r="F154" t="s">
        <v>433</v>
      </c>
      <c r="G154" t="s">
        <v>422</v>
      </c>
      <c r="H154" t="s">
        <v>416</v>
      </c>
    </row>
    <row r="155" spans="1:8" x14ac:dyDescent="0.25">
      <c r="A155" t="s">
        <v>414</v>
      </c>
      <c r="B155" t="s">
        <v>384</v>
      </c>
      <c r="C155" t="s">
        <v>383</v>
      </c>
      <c r="D155" t="s">
        <v>399</v>
      </c>
      <c r="E155" t="s">
        <v>399</v>
      </c>
      <c r="F155" t="s">
        <v>434</v>
      </c>
      <c r="G155" t="s">
        <v>423</v>
      </c>
      <c r="H155" t="s">
        <v>418</v>
      </c>
    </row>
    <row r="156" spans="1:8" x14ac:dyDescent="0.25">
      <c r="A156" t="s">
        <v>379</v>
      </c>
      <c r="B156" t="s">
        <v>385</v>
      </c>
      <c r="C156" t="s">
        <v>384</v>
      </c>
      <c r="D156" t="s">
        <v>400</v>
      </c>
      <c r="E156" t="s">
        <v>400</v>
      </c>
      <c r="F156" t="s">
        <v>435</v>
      </c>
      <c r="G156" t="s">
        <v>424</v>
      </c>
      <c r="H156" t="s">
        <v>419</v>
      </c>
    </row>
    <row r="157" spans="1:8" x14ac:dyDescent="0.25">
      <c r="A157" t="s">
        <v>380</v>
      </c>
      <c r="B157" t="s">
        <v>386</v>
      </c>
      <c r="C157" t="s">
        <v>385</v>
      </c>
      <c r="D157" t="s">
        <v>402</v>
      </c>
      <c r="E157" t="s">
        <v>402</v>
      </c>
      <c r="F157" t="s">
        <v>436</v>
      </c>
      <c r="G157" t="s">
        <v>425</v>
      </c>
      <c r="H157" t="s">
        <v>421</v>
      </c>
    </row>
    <row r="158" spans="1:8" x14ac:dyDescent="0.25">
      <c r="A158" t="s">
        <v>381</v>
      </c>
      <c r="B158" t="s">
        <v>395</v>
      </c>
      <c r="C158" t="s">
        <v>420</v>
      </c>
      <c r="D158" t="s">
        <v>437</v>
      </c>
      <c r="E158" t="s">
        <v>437</v>
      </c>
      <c r="F158" t="s">
        <v>438</v>
      </c>
      <c r="G158" t="s">
        <v>426</v>
      </c>
      <c r="H158" t="s">
        <v>439</v>
      </c>
    </row>
    <row r="159" spans="1:8" x14ac:dyDescent="0.25">
      <c r="A159" t="s">
        <v>383</v>
      </c>
      <c r="B159" t="s">
        <v>387</v>
      </c>
      <c r="C159" t="s">
        <v>386</v>
      </c>
      <c r="D159" t="s">
        <v>403</v>
      </c>
      <c r="E159" t="s">
        <v>403</v>
      </c>
      <c r="F159" t="s">
        <v>440</v>
      </c>
      <c r="G159" t="s">
        <v>427</v>
      </c>
      <c r="H159" t="s">
        <v>423</v>
      </c>
    </row>
    <row r="160" spans="1:8" x14ac:dyDescent="0.25">
      <c r="A160" t="s">
        <v>384</v>
      </c>
      <c r="B160" t="s">
        <v>390</v>
      </c>
      <c r="C160" t="s">
        <v>395</v>
      </c>
      <c r="D160" t="s">
        <v>441</v>
      </c>
      <c r="E160" t="s">
        <v>441</v>
      </c>
      <c r="F160" t="s">
        <v>442</v>
      </c>
      <c r="G160" t="s">
        <v>428</v>
      </c>
      <c r="H160" t="s">
        <v>424</v>
      </c>
    </row>
    <row r="161" spans="1:8" x14ac:dyDescent="0.25">
      <c r="A161" t="s">
        <v>385</v>
      </c>
      <c r="B161" t="s">
        <v>391</v>
      </c>
      <c r="C161" t="s">
        <v>387</v>
      </c>
      <c r="D161" t="s">
        <v>417</v>
      </c>
      <c r="E161" t="s">
        <v>417</v>
      </c>
      <c r="F161" t="s">
        <v>443</v>
      </c>
      <c r="G161" t="s">
        <v>444</v>
      </c>
      <c r="H161" t="s">
        <v>425</v>
      </c>
    </row>
    <row r="162" spans="1:8" x14ac:dyDescent="0.25">
      <c r="A162" t="s">
        <v>420</v>
      </c>
      <c r="B162" t="s">
        <v>392</v>
      </c>
      <c r="C162" t="s">
        <v>390</v>
      </c>
      <c r="D162" t="s">
        <v>412</v>
      </c>
      <c r="E162" t="s">
        <v>412</v>
      </c>
      <c r="F162" t="s">
        <v>445</v>
      </c>
      <c r="G162" t="s">
        <v>430</v>
      </c>
      <c r="H162" t="s">
        <v>426</v>
      </c>
    </row>
    <row r="163" spans="1:8" x14ac:dyDescent="0.25">
      <c r="A163" t="s">
        <v>386</v>
      </c>
      <c r="B163" t="s">
        <v>394</v>
      </c>
      <c r="C163" t="s">
        <v>401</v>
      </c>
      <c r="D163" t="s">
        <v>446</v>
      </c>
      <c r="E163" t="s">
        <v>446</v>
      </c>
      <c r="F163" t="s">
        <v>447</v>
      </c>
      <c r="G163" t="s">
        <v>432</v>
      </c>
      <c r="H163" t="s">
        <v>427</v>
      </c>
    </row>
    <row r="164" spans="1:8" x14ac:dyDescent="0.25">
      <c r="A164" t="s">
        <v>395</v>
      </c>
      <c r="B164" t="s">
        <v>397</v>
      </c>
      <c r="C164" t="s">
        <v>391</v>
      </c>
      <c r="D164" t="s">
        <v>448</v>
      </c>
      <c r="E164" t="s">
        <v>448</v>
      </c>
      <c r="F164" t="s">
        <v>449</v>
      </c>
      <c r="G164" t="s">
        <v>433</v>
      </c>
      <c r="H164" t="s">
        <v>428</v>
      </c>
    </row>
    <row r="165" spans="1:8" x14ac:dyDescent="0.25">
      <c r="A165" t="s">
        <v>387</v>
      </c>
      <c r="B165" t="s">
        <v>398</v>
      </c>
      <c r="C165" t="s">
        <v>392</v>
      </c>
      <c r="D165" t="s">
        <v>404</v>
      </c>
      <c r="E165" t="s">
        <v>404</v>
      </c>
      <c r="F165" t="s">
        <v>450</v>
      </c>
      <c r="G165" t="s">
        <v>434</v>
      </c>
      <c r="H165" t="s">
        <v>444</v>
      </c>
    </row>
    <row r="166" spans="1:8" x14ac:dyDescent="0.25">
      <c r="A166" t="s">
        <v>390</v>
      </c>
      <c r="B166" t="s">
        <v>399</v>
      </c>
      <c r="C166" t="s">
        <v>394</v>
      </c>
      <c r="D166" t="s">
        <v>405</v>
      </c>
      <c r="E166" t="s">
        <v>405</v>
      </c>
      <c r="F166" t="s">
        <v>451</v>
      </c>
      <c r="G166" t="s">
        <v>435</v>
      </c>
      <c r="H166" t="s">
        <v>430</v>
      </c>
    </row>
    <row r="167" spans="1:8" x14ac:dyDescent="0.25">
      <c r="A167" t="s">
        <v>401</v>
      </c>
      <c r="B167" t="s">
        <v>400</v>
      </c>
      <c r="C167" t="s">
        <v>397</v>
      </c>
      <c r="D167" t="s">
        <v>406</v>
      </c>
      <c r="E167" t="s">
        <v>406</v>
      </c>
      <c r="F167" t="s">
        <v>452</v>
      </c>
      <c r="G167" t="s">
        <v>436</v>
      </c>
      <c r="H167" t="s">
        <v>432</v>
      </c>
    </row>
    <row r="168" spans="1:8" x14ac:dyDescent="0.25">
      <c r="A168" t="s">
        <v>391</v>
      </c>
      <c r="B168" t="s">
        <v>402</v>
      </c>
      <c r="C168" t="s">
        <v>398</v>
      </c>
      <c r="D168" t="s">
        <v>407</v>
      </c>
      <c r="E168" t="s">
        <v>407</v>
      </c>
      <c r="F168" t="s">
        <v>453</v>
      </c>
      <c r="G168" t="s">
        <v>438</v>
      </c>
      <c r="H168" t="s">
        <v>433</v>
      </c>
    </row>
    <row r="169" spans="1:8" x14ac:dyDescent="0.25">
      <c r="A169" t="s">
        <v>392</v>
      </c>
      <c r="B169" t="s">
        <v>437</v>
      </c>
      <c r="C169" t="s">
        <v>399</v>
      </c>
      <c r="D169" t="s">
        <v>408</v>
      </c>
      <c r="E169" t="s">
        <v>408</v>
      </c>
      <c r="F169" t="s">
        <v>454</v>
      </c>
      <c r="G169" t="s">
        <v>440</v>
      </c>
      <c r="H169" t="s">
        <v>434</v>
      </c>
    </row>
    <row r="170" spans="1:8" x14ac:dyDescent="0.25">
      <c r="A170" t="s">
        <v>394</v>
      </c>
      <c r="B170" t="s">
        <v>403</v>
      </c>
      <c r="C170" t="s">
        <v>400</v>
      </c>
      <c r="D170" t="s">
        <v>409</v>
      </c>
      <c r="E170" t="s">
        <v>409</v>
      </c>
      <c r="F170" t="s">
        <v>455</v>
      </c>
      <c r="G170" t="s">
        <v>442</v>
      </c>
      <c r="H170" t="s">
        <v>435</v>
      </c>
    </row>
    <row r="171" spans="1:8" x14ac:dyDescent="0.25">
      <c r="A171" t="s">
        <v>397</v>
      </c>
      <c r="B171" t="s">
        <v>441</v>
      </c>
      <c r="C171" t="s">
        <v>402</v>
      </c>
      <c r="D171" t="s">
        <v>410</v>
      </c>
      <c r="E171" t="s">
        <v>410</v>
      </c>
      <c r="F171" t="s">
        <v>456</v>
      </c>
      <c r="G171" t="s">
        <v>457</v>
      </c>
      <c r="H171" t="s">
        <v>436</v>
      </c>
    </row>
    <row r="172" spans="1:8" x14ac:dyDescent="0.25">
      <c r="A172" t="s">
        <v>398</v>
      </c>
      <c r="B172" t="s">
        <v>417</v>
      </c>
      <c r="C172" t="s">
        <v>437</v>
      </c>
      <c r="D172" t="s">
        <v>411</v>
      </c>
      <c r="E172" t="s">
        <v>411</v>
      </c>
      <c r="F172" t="s">
        <v>458</v>
      </c>
      <c r="G172" t="s">
        <v>459</v>
      </c>
      <c r="H172" t="s">
        <v>438</v>
      </c>
    </row>
    <row r="173" spans="1:8" x14ac:dyDescent="0.25">
      <c r="A173" t="s">
        <v>399</v>
      </c>
      <c r="B173" t="s">
        <v>412</v>
      </c>
      <c r="C173" t="s">
        <v>403</v>
      </c>
      <c r="D173" t="s">
        <v>429</v>
      </c>
      <c r="E173" t="s">
        <v>429</v>
      </c>
      <c r="F173" t="s">
        <v>460</v>
      </c>
      <c r="G173" t="s">
        <v>461</v>
      </c>
      <c r="H173" t="s">
        <v>440</v>
      </c>
    </row>
    <row r="174" spans="1:8" x14ac:dyDescent="0.25">
      <c r="A174" t="s">
        <v>400</v>
      </c>
      <c r="B174" t="s">
        <v>446</v>
      </c>
      <c r="C174" t="s">
        <v>441</v>
      </c>
      <c r="D174" t="s">
        <v>413</v>
      </c>
      <c r="E174" t="s">
        <v>413</v>
      </c>
      <c r="F174" t="s">
        <v>462</v>
      </c>
      <c r="G174" t="s">
        <v>443</v>
      </c>
      <c r="H174" t="s">
        <v>442</v>
      </c>
    </row>
    <row r="175" spans="1:8" x14ac:dyDescent="0.25">
      <c r="A175" t="s">
        <v>402</v>
      </c>
      <c r="B175" t="s">
        <v>448</v>
      </c>
      <c r="C175" t="s">
        <v>417</v>
      </c>
      <c r="D175" t="s">
        <v>415</v>
      </c>
      <c r="E175" t="s">
        <v>415</v>
      </c>
      <c r="F175" t="s">
        <v>463</v>
      </c>
      <c r="G175" t="s">
        <v>445</v>
      </c>
      <c r="H175" t="s">
        <v>459</v>
      </c>
    </row>
    <row r="176" spans="1:8" x14ac:dyDescent="0.25">
      <c r="A176" t="s">
        <v>437</v>
      </c>
      <c r="B176" t="s">
        <v>404</v>
      </c>
      <c r="C176" t="s">
        <v>412</v>
      </c>
      <c r="D176" t="s">
        <v>416</v>
      </c>
      <c r="E176" t="s">
        <v>416</v>
      </c>
      <c r="F176" t="s">
        <v>464</v>
      </c>
      <c r="G176" t="s">
        <v>447</v>
      </c>
      <c r="H176" t="s">
        <v>443</v>
      </c>
    </row>
    <row r="177" spans="1:8" x14ac:dyDescent="0.25">
      <c r="A177" t="s">
        <v>403</v>
      </c>
      <c r="B177" t="s">
        <v>405</v>
      </c>
      <c r="C177" t="s">
        <v>446</v>
      </c>
      <c r="D177" t="s">
        <v>418</v>
      </c>
      <c r="E177" t="s">
        <v>418</v>
      </c>
      <c r="F177" t="s">
        <v>465</v>
      </c>
      <c r="G177" t="s">
        <v>449</v>
      </c>
      <c r="H177" t="s">
        <v>445</v>
      </c>
    </row>
    <row r="178" spans="1:8" x14ac:dyDescent="0.25">
      <c r="A178" t="s">
        <v>441</v>
      </c>
      <c r="B178" t="s">
        <v>406</v>
      </c>
      <c r="C178" t="s">
        <v>404</v>
      </c>
      <c r="D178" t="s">
        <v>419</v>
      </c>
      <c r="E178" t="s">
        <v>419</v>
      </c>
      <c r="F178" t="s">
        <v>466</v>
      </c>
      <c r="G178" t="s">
        <v>450</v>
      </c>
      <c r="H178" t="s">
        <v>447</v>
      </c>
    </row>
    <row r="179" spans="1:8" x14ac:dyDescent="0.25">
      <c r="A179" t="s">
        <v>417</v>
      </c>
      <c r="B179" t="s">
        <v>407</v>
      </c>
      <c r="C179" t="s">
        <v>405</v>
      </c>
      <c r="D179" t="s">
        <v>431</v>
      </c>
      <c r="E179" t="s">
        <v>431</v>
      </c>
      <c r="F179" t="s">
        <v>467</v>
      </c>
      <c r="G179" t="s">
        <v>468</v>
      </c>
      <c r="H179" t="s">
        <v>449</v>
      </c>
    </row>
    <row r="180" spans="1:8" x14ac:dyDescent="0.25">
      <c r="A180" t="s">
        <v>412</v>
      </c>
      <c r="B180" t="s">
        <v>408</v>
      </c>
      <c r="C180" t="s">
        <v>406</v>
      </c>
      <c r="D180" t="s">
        <v>421</v>
      </c>
      <c r="E180" t="s">
        <v>421</v>
      </c>
      <c r="F180" t="s">
        <v>469</v>
      </c>
      <c r="G180" t="s">
        <v>451</v>
      </c>
      <c r="H180" t="s">
        <v>450</v>
      </c>
    </row>
    <row r="181" spans="1:8" x14ac:dyDescent="0.25">
      <c r="A181" t="s">
        <v>446</v>
      </c>
      <c r="B181" t="s">
        <v>470</v>
      </c>
      <c r="C181" t="s">
        <v>407</v>
      </c>
      <c r="D181" t="s">
        <v>422</v>
      </c>
      <c r="E181" t="s">
        <v>422</v>
      </c>
      <c r="F181" t="s">
        <v>471</v>
      </c>
      <c r="G181" t="s">
        <v>452</v>
      </c>
      <c r="H181" t="s">
        <v>468</v>
      </c>
    </row>
    <row r="182" spans="1:8" x14ac:dyDescent="0.25">
      <c r="A182" t="s">
        <v>448</v>
      </c>
      <c r="B182" t="s">
        <v>409</v>
      </c>
      <c r="C182" t="s">
        <v>408</v>
      </c>
      <c r="D182" t="s">
        <v>423</v>
      </c>
      <c r="E182" t="s">
        <v>439</v>
      </c>
      <c r="F182" t="s">
        <v>472</v>
      </c>
      <c r="G182" t="s">
        <v>453</v>
      </c>
      <c r="H182" t="s">
        <v>451</v>
      </c>
    </row>
    <row r="183" spans="1:8" x14ac:dyDescent="0.25">
      <c r="A183" t="s">
        <v>404</v>
      </c>
      <c r="B183" t="s">
        <v>410</v>
      </c>
      <c r="C183" t="s">
        <v>470</v>
      </c>
      <c r="D183" t="s">
        <v>424</v>
      </c>
      <c r="E183" t="s">
        <v>423</v>
      </c>
      <c r="F183" t="s">
        <v>473</v>
      </c>
      <c r="G183" t="s">
        <v>474</v>
      </c>
      <c r="H183" t="s">
        <v>452</v>
      </c>
    </row>
    <row r="184" spans="1:8" x14ac:dyDescent="0.25">
      <c r="A184" t="s">
        <v>405</v>
      </c>
      <c r="B184" t="s">
        <v>411</v>
      </c>
      <c r="C184" t="s">
        <v>409</v>
      </c>
      <c r="D184" t="s">
        <v>425</v>
      </c>
      <c r="E184" t="s">
        <v>424</v>
      </c>
      <c r="F184" t="s">
        <v>475</v>
      </c>
      <c r="G184" t="s">
        <v>454</v>
      </c>
      <c r="H184" t="s">
        <v>453</v>
      </c>
    </row>
    <row r="185" spans="1:8" x14ac:dyDescent="0.25">
      <c r="A185" t="s">
        <v>406</v>
      </c>
      <c r="B185" t="s">
        <v>429</v>
      </c>
      <c r="C185" t="s">
        <v>410</v>
      </c>
      <c r="D185" t="s">
        <v>426</v>
      </c>
      <c r="E185" t="s">
        <v>425</v>
      </c>
      <c r="F185" t="s">
        <v>476</v>
      </c>
      <c r="G185" t="s">
        <v>455</v>
      </c>
      <c r="H185" t="s">
        <v>474</v>
      </c>
    </row>
    <row r="186" spans="1:8" x14ac:dyDescent="0.25">
      <c r="A186" t="s">
        <v>407</v>
      </c>
      <c r="B186" t="s">
        <v>413</v>
      </c>
      <c r="C186" t="s">
        <v>411</v>
      </c>
      <c r="D186" t="s">
        <v>427</v>
      </c>
      <c r="E186" t="s">
        <v>426</v>
      </c>
      <c r="F186" t="s">
        <v>477</v>
      </c>
      <c r="G186" t="s">
        <v>456</v>
      </c>
      <c r="H186" t="s">
        <v>478</v>
      </c>
    </row>
    <row r="187" spans="1:8" x14ac:dyDescent="0.25">
      <c r="A187" t="s">
        <v>408</v>
      </c>
      <c r="B187" t="s">
        <v>415</v>
      </c>
      <c r="C187" t="s">
        <v>429</v>
      </c>
      <c r="D187" t="s">
        <v>428</v>
      </c>
      <c r="E187" t="s">
        <v>427</v>
      </c>
      <c r="F187" t="s">
        <v>479</v>
      </c>
      <c r="G187" t="s">
        <v>458</v>
      </c>
      <c r="H187" t="s">
        <v>454</v>
      </c>
    </row>
    <row r="188" spans="1:8" x14ac:dyDescent="0.25">
      <c r="A188" t="s">
        <v>470</v>
      </c>
      <c r="B188" t="s">
        <v>416</v>
      </c>
      <c r="C188" t="s">
        <v>413</v>
      </c>
      <c r="D188" t="s">
        <v>444</v>
      </c>
      <c r="E188" t="s">
        <v>428</v>
      </c>
      <c r="F188" t="s">
        <v>480</v>
      </c>
      <c r="G188" t="s">
        <v>460</v>
      </c>
      <c r="H188" t="s">
        <v>455</v>
      </c>
    </row>
    <row r="189" spans="1:8" x14ac:dyDescent="0.25">
      <c r="A189" t="s">
        <v>409</v>
      </c>
      <c r="B189" t="s">
        <v>418</v>
      </c>
      <c r="C189" t="s">
        <v>415</v>
      </c>
      <c r="D189" t="s">
        <v>430</v>
      </c>
      <c r="E189" t="s">
        <v>444</v>
      </c>
      <c r="F189" t="s">
        <v>481</v>
      </c>
      <c r="G189" t="s">
        <v>462</v>
      </c>
      <c r="H189" t="s">
        <v>456</v>
      </c>
    </row>
    <row r="190" spans="1:8" x14ac:dyDescent="0.25">
      <c r="A190" t="s">
        <v>410</v>
      </c>
      <c r="B190" t="s">
        <v>419</v>
      </c>
      <c r="C190" t="s">
        <v>416</v>
      </c>
      <c r="D190" t="s">
        <v>432</v>
      </c>
      <c r="E190" t="s">
        <v>430</v>
      </c>
      <c r="F190" t="s">
        <v>482</v>
      </c>
      <c r="G190" t="s">
        <v>463</v>
      </c>
      <c r="H190" t="s">
        <v>458</v>
      </c>
    </row>
    <row r="191" spans="1:8" x14ac:dyDescent="0.25">
      <c r="A191" t="s">
        <v>411</v>
      </c>
      <c r="B191" t="s">
        <v>431</v>
      </c>
      <c r="C191" t="s">
        <v>418</v>
      </c>
      <c r="D191" t="s">
        <v>433</v>
      </c>
      <c r="E191" t="s">
        <v>432</v>
      </c>
      <c r="F191" t="s">
        <v>483</v>
      </c>
      <c r="G191" t="s">
        <v>464</v>
      </c>
      <c r="H191" t="s">
        <v>460</v>
      </c>
    </row>
    <row r="192" spans="1:8" x14ac:dyDescent="0.25">
      <c r="A192" t="s">
        <v>429</v>
      </c>
      <c r="B192" t="s">
        <v>421</v>
      </c>
      <c r="C192" t="s">
        <v>419</v>
      </c>
      <c r="D192" t="s">
        <v>434</v>
      </c>
      <c r="E192" t="s">
        <v>433</v>
      </c>
      <c r="F192" t="s">
        <v>484</v>
      </c>
      <c r="G192" t="s">
        <v>465</v>
      </c>
      <c r="H192" t="s">
        <v>462</v>
      </c>
    </row>
    <row r="193" spans="1:8" x14ac:dyDescent="0.25">
      <c r="A193" t="s">
        <v>413</v>
      </c>
      <c r="B193" t="s">
        <v>422</v>
      </c>
      <c r="C193" t="s">
        <v>431</v>
      </c>
      <c r="D193" t="s">
        <v>435</v>
      </c>
      <c r="E193" t="s">
        <v>434</v>
      </c>
      <c r="F193" t="s">
        <v>485</v>
      </c>
      <c r="G193" t="s">
        <v>466</v>
      </c>
      <c r="H193" t="s">
        <v>486</v>
      </c>
    </row>
    <row r="194" spans="1:8" x14ac:dyDescent="0.25">
      <c r="A194" t="s">
        <v>415</v>
      </c>
      <c r="B194" t="s">
        <v>439</v>
      </c>
      <c r="C194" t="s">
        <v>421</v>
      </c>
      <c r="D194" t="s">
        <v>436</v>
      </c>
      <c r="E194" t="s">
        <v>435</v>
      </c>
      <c r="F194" t="s">
        <v>487</v>
      </c>
      <c r="G194" t="s">
        <v>467</v>
      </c>
      <c r="H194" t="s">
        <v>463</v>
      </c>
    </row>
    <row r="195" spans="1:8" x14ac:dyDescent="0.25">
      <c r="A195" t="s">
        <v>416</v>
      </c>
      <c r="B195" t="s">
        <v>423</v>
      </c>
      <c r="C195" t="s">
        <v>422</v>
      </c>
      <c r="D195" t="s">
        <v>438</v>
      </c>
      <c r="E195" t="s">
        <v>436</v>
      </c>
      <c r="F195" t="s">
        <v>488</v>
      </c>
      <c r="G195" t="s">
        <v>469</v>
      </c>
      <c r="H195" t="s">
        <v>464</v>
      </c>
    </row>
    <row r="196" spans="1:8" x14ac:dyDescent="0.25">
      <c r="A196" t="s">
        <v>418</v>
      </c>
      <c r="B196" t="s">
        <v>424</v>
      </c>
      <c r="C196" t="s">
        <v>439</v>
      </c>
      <c r="D196" t="s">
        <v>440</v>
      </c>
      <c r="E196" t="s">
        <v>438</v>
      </c>
      <c r="F196" t="s">
        <v>489</v>
      </c>
      <c r="G196" t="s">
        <v>490</v>
      </c>
      <c r="H196" t="s">
        <v>465</v>
      </c>
    </row>
    <row r="197" spans="1:8" x14ac:dyDescent="0.25">
      <c r="A197" t="s">
        <v>419</v>
      </c>
      <c r="B197" t="s">
        <v>425</v>
      </c>
      <c r="C197" t="s">
        <v>423</v>
      </c>
      <c r="D197" t="s">
        <v>442</v>
      </c>
      <c r="E197" t="s">
        <v>440</v>
      </c>
      <c r="F197" t="s">
        <v>491</v>
      </c>
      <c r="G197" t="s">
        <v>471</v>
      </c>
      <c r="H197" t="s">
        <v>492</v>
      </c>
    </row>
    <row r="198" spans="1:8" x14ac:dyDescent="0.25">
      <c r="A198" t="s">
        <v>431</v>
      </c>
      <c r="B198" t="s">
        <v>426</v>
      </c>
      <c r="C198" t="s">
        <v>424</v>
      </c>
      <c r="D198" t="s">
        <v>457</v>
      </c>
      <c r="E198" t="s">
        <v>442</v>
      </c>
      <c r="F198" t="s">
        <v>493</v>
      </c>
      <c r="G198" t="s">
        <v>472</v>
      </c>
      <c r="H198" t="s">
        <v>466</v>
      </c>
    </row>
    <row r="199" spans="1:8" x14ac:dyDescent="0.25">
      <c r="A199" t="s">
        <v>421</v>
      </c>
      <c r="B199" t="s">
        <v>427</v>
      </c>
      <c r="C199" t="s">
        <v>425</v>
      </c>
      <c r="D199" t="s">
        <v>459</v>
      </c>
      <c r="E199" t="s">
        <v>459</v>
      </c>
      <c r="F199" t="s">
        <v>494</v>
      </c>
      <c r="G199" t="s">
        <v>473</v>
      </c>
      <c r="H199" t="s">
        <v>467</v>
      </c>
    </row>
    <row r="200" spans="1:8" x14ac:dyDescent="0.25">
      <c r="A200" t="s">
        <v>422</v>
      </c>
      <c r="B200" t="s">
        <v>428</v>
      </c>
      <c r="C200" t="s">
        <v>426</v>
      </c>
      <c r="D200" t="s">
        <v>495</v>
      </c>
      <c r="E200" t="s">
        <v>495</v>
      </c>
      <c r="F200" t="s">
        <v>496</v>
      </c>
      <c r="G200" t="s">
        <v>475</v>
      </c>
      <c r="H200" t="s">
        <v>469</v>
      </c>
    </row>
    <row r="201" spans="1:8" x14ac:dyDescent="0.25">
      <c r="A201" t="s">
        <v>439</v>
      </c>
      <c r="B201" t="s">
        <v>444</v>
      </c>
      <c r="C201" t="s">
        <v>427</v>
      </c>
      <c r="D201" t="s">
        <v>443</v>
      </c>
      <c r="E201" t="s">
        <v>443</v>
      </c>
      <c r="F201" t="s">
        <v>497</v>
      </c>
      <c r="G201" t="s">
        <v>476</v>
      </c>
      <c r="H201" t="s">
        <v>490</v>
      </c>
    </row>
    <row r="202" spans="1:8" x14ac:dyDescent="0.25">
      <c r="A202" t="s">
        <v>423</v>
      </c>
      <c r="B202" t="s">
        <v>430</v>
      </c>
      <c r="C202" t="s">
        <v>428</v>
      </c>
      <c r="D202" t="s">
        <v>498</v>
      </c>
      <c r="E202" t="s">
        <v>498</v>
      </c>
      <c r="F202" t="s">
        <v>499</v>
      </c>
      <c r="G202" t="s">
        <v>477</v>
      </c>
      <c r="H202" t="s">
        <v>471</v>
      </c>
    </row>
    <row r="203" spans="1:8" x14ac:dyDescent="0.25">
      <c r="A203" t="s">
        <v>424</v>
      </c>
      <c r="B203" t="s">
        <v>432</v>
      </c>
      <c r="C203" t="s">
        <v>444</v>
      </c>
      <c r="D203" t="s">
        <v>445</v>
      </c>
      <c r="E203" t="s">
        <v>445</v>
      </c>
      <c r="F203" t="s">
        <v>500</v>
      </c>
      <c r="G203" t="s">
        <v>479</v>
      </c>
      <c r="H203" t="s">
        <v>501</v>
      </c>
    </row>
    <row r="204" spans="1:8" x14ac:dyDescent="0.25">
      <c r="A204" t="s">
        <v>425</v>
      </c>
      <c r="B204" t="s">
        <v>433</v>
      </c>
      <c r="C204" t="s">
        <v>430</v>
      </c>
      <c r="D204" t="s">
        <v>447</v>
      </c>
      <c r="E204" t="s">
        <v>447</v>
      </c>
      <c r="F204" t="s">
        <v>502</v>
      </c>
      <c r="G204" t="s">
        <v>480</v>
      </c>
      <c r="H204" t="s">
        <v>473</v>
      </c>
    </row>
    <row r="205" spans="1:8" x14ac:dyDescent="0.25">
      <c r="A205" t="s">
        <v>426</v>
      </c>
      <c r="B205" t="s">
        <v>434</v>
      </c>
      <c r="C205" t="s">
        <v>432</v>
      </c>
      <c r="D205" t="s">
        <v>449</v>
      </c>
      <c r="E205" t="s">
        <v>449</v>
      </c>
      <c r="F205" t="s">
        <v>503</v>
      </c>
      <c r="G205" t="s">
        <v>481</v>
      </c>
      <c r="H205" t="s">
        <v>475</v>
      </c>
    </row>
    <row r="206" spans="1:8" x14ac:dyDescent="0.25">
      <c r="A206" t="s">
        <v>427</v>
      </c>
      <c r="B206" t="s">
        <v>435</v>
      </c>
      <c r="C206" t="s">
        <v>433</v>
      </c>
      <c r="D206" t="s">
        <v>504</v>
      </c>
      <c r="E206" t="s">
        <v>504</v>
      </c>
      <c r="F206" t="s">
        <v>505</v>
      </c>
      <c r="G206" t="s">
        <v>482</v>
      </c>
      <c r="H206" t="s">
        <v>476</v>
      </c>
    </row>
    <row r="207" spans="1:8" x14ac:dyDescent="0.25">
      <c r="A207" t="s">
        <v>428</v>
      </c>
      <c r="B207" t="s">
        <v>436</v>
      </c>
      <c r="C207" t="s">
        <v>434</v>
      </c>
      <c r="D207" t="s">
        <v>450</v>
      </c>
      <c r="E207" t="s">
        <v>450</v>
      </c>
      <c r="F207" t="s">
        <v>506</v>
      </c>
      <c r="G207" t="s">
        <v>483</v>
      </c>
      <c r="H207" t="s">
        <v>477</v>
      </c>
    </row>
    <row r="208" spans="1:8" x14ac:dyDescent="0.25">
      <c r="A208" t="s">
        <v>444</v>
      </c>
      <c r="B208" t="s">
        <v>507</v>
      </c>
      <c r="C208" t="s">
        <v>435</v>
      </c>
      <c r="D208" t="s">
        <v>468</v>
      </c>
      <c r="E208" t="s">
        <v>468</v>
      </c>
      <c r="F208" t="s">
        <v>508</v>
      </c>
      <c r="G208" t="s">
        <v>484</v>
      </c>
      <c r="H208" t="s">
        <v>479</v>
      </c>
    </row>
    <row r="209" spans="1:8" x14ac:dyDescent="0.25">
      <c r="A209" t="s">
        <v>430</v>
      </c>
      <c r="B209" t="s">
        <v>438</v>
      </c>
      <c r="C209" t="s">
        <v>436</v>
      </c>
      <c r="D209" t="s">
        <v>451</v>
      </c>
      <c r="E209" t="s">
        <v>451</v>
      </c>
      <c r="F209" t="s">
        <v>509</v>
      </c>
      <c r="G209" t="s">
        <v>485</v>
      </c>
      <c r="H209" t="s">
        <v>480</v>
      </c>
    </row>
    <row r="210" spans="1:8" x14ac:dyDescent="0.25">
      <c r="A210" t="s">
        <v>510</v>
      </c>
      <c r="B210" t="s">
        <v>440</v>
      </c>
      <c r="C210" t="s">
        <v>507</v>
      </c>
      <c r="D210" t="s">
        <v>452</v>
      </c>
      <c r="E210" t="s">
        <v>452</v>
      </c>
      <c r="F210" t="s">
        <v>511</v>
      </c>
      <c r="G210" t="s">
        <v>512</v>
      </c>
      <c r="H210" t="s">
        <v>481</v>
      </c>
    </row>
    <row r="211" spans="1:8" x14ac:dyDescent="0.25">
      <c r="A211" t="s">
        <v>432</v>
      </c>
      <c r="B211" t="s">
        <v>442</v>
      </c>
      <c r="C211" t="s">
        <v>438</v>
      </c>
      <c r="D211" t="s">
        <v>453</v>
      </c>
      <c r="E211" t="s">
        <v>453</v>
      </c>
      <c r="F211" t="s">
        <v>513</v>
      </c>
      <c r="G211" t="s">
        <v>488</v>
      </c>
      <c r="H211" t="s">
        <v>482</v>
      </c>
    </row>
    <row r="212" spans="1:8" x14ac:dyDescent="0.25">
      <c r="A212" t="s">
        <v>433</v>
      </c>
      <c r="B212" t="s">
        <v>457</v>
      </c>
      <c r="C212" t="s">
        <v>440</v>
      </c>
      <c r="D212" t="s">
        <v>474</v>
      </c>
      <c r="E212" t="s">
        <v>474</v>
      </c>
      <c r="F212" t="s">
        <v>514</v>
      </c>
      <c r="G212" t="s">
        <v>515</v>
      </c>
      <c r="H212" t="s">
        <v>483</v>
      </c>
    </row>
    <row r="213" spans="1:8" x14ac:dyDescent="0.25">
      <c r="A213" t="s">
        <v>434</v>
      </c>
      <c r="B213" t="s">
        <v>459</v>
      </c>
      <c r="C213" t="s">
        <v>442</v>
      </c>
      <c r="D213" t="s">
        <v>478</v>
      </c>
      <c r="E213" t="s">
        <v>478</v>
      </c>
      <c r="F213" t="s">
        <v>516</v>
      </c>
      <c r="G213" t="s">
        <v>489</v>
      </c>
      <c r="H213" t="s">
        <v>484</v>
      </c>
    </row>
    <row r="214" spans="1:8" x14ac:dyDescent="0.25">
      <c r="A214" t="s">
        <v>435</v>
      </c>
      <c r="B214" t="s">
        <v>461</v>
      </c>
      <c r="C214" t="s">
        <v>459</v>
      </c>
      <c r="D214" t="s">
        <v>454</v>
      </c>
      <c r="E214" t="s">
        <v>454</v>
      </c>
      <c r="F214" t="s">
        <v>517</v>
      </c>
      <c r="G214" t="s">
        <v>491</v>
      </c>
      <c r="H214" t="s">
        <v>485</v>
      </c>
    </row>
    <row r="215" spans="1:8" x14ac:dyDescent="0.25">
      <c r="A215" t="s">
        <v>436</v>
      </c>
      <c r="B215" t="s">
        <v>495</v>
      </c>
      <c r="C215" t="s">
        <v>495</v>
      </c>
      <c r="D215" t="s">
        <v>455</v>
      </c>
      <c r="E215" t="s">
        <v>455</v>
      </c>
      <c r="F215" t="s">
        <v>518</v>
      </c>
      <c r="G215" t="s">
        <v>493</v>
      </c>
      <c r="H215" t="s">
        <v>512</v>
      </c>
    </row>
    <row r="216" spans="1:8" x14ac:dyDescent="0.25">
      <c r="A216" t="s">
        <v>507</v>
      </c>
      <c r="B216" t="s">
        <v>443</v>
      </c>
      <c r="C216" t="s">
        <v>443</v>
      </c>
      <c r="D216" t="s">
        <v>456</v>
      </c>
      <c r="E216" t="s">
        <v>456</v>
      </c>
      <c r="F216" t="s">
        <v>519</v>
      </c>
      <c r="G216" t="s">
        <v>494</v>
      </c>
      <c r="H216" t="s">
        <v>487</v>
      </c>
    </row>
    <row r="217" spans="1:8" x14ac:dyDescent="0.25">
      <c r="A217" t="s">
        <v>438</v>
      </c>
      <c r="B217" t="s">
        <v>445</v>
      </c>
      <c r="C217" t="s">
        <v>498</v>
      </c>
      <c r="D217" t="s">
        <v>458</v>
      </c>
      <c r="E217" t="s">
        <v>458</v>
      </c>
      <c r="F217" t="s">
        <v>520</v>
      </c>
      <c r="G217" t="s">
        <v>496</v>
      </c>
      <c r="H217" t="s">
        <v>488</v>
      </c>
    </row>
    <row r="218" spans="1:8" x14ac:dyDescent="0.25">
      <c r="A218" t="s">
        <v>440</v>
      </c>
      <c r="B218" t="s">
        <v>447</v>
      </c>
      <c r="C218" t="s">
        <v>445</v>
      </c>
      <c r="D218" t="s">
        <v>460</v>
      </c>
      <c r="E218" t="s">
        <v>460</v>
      </c>
      <c r="F218" t="s">
        <v>521</v>
      </c>
      <c r="G218" t="s">
        <v>497</v>
      </c>
      <c r="H218" t="s">
        <v>489</v>
      </c>
    </row>
    <row r="219" spans="1:8" x14ac:dyDescent="0.25">
      <c r="A219" t="s">
        <v>442</v>
      </c>
      <c r="B219" t="s">
        <v>449</v>
      </c>
      <c r="C219" t="s">
        <v>447</v>
      </c>
      <c r="D219" t="s">
        <v>462</v>
      </c>
      <c r="E219" t="s">
        <v>462</v>
      </c>
      <c r="F219" t="s">
        <v>522</v>
      </c>
      <c r="G219" t="s">
        <v>499</v>
      </c>
      <c r="H219" t="s">
        <v>491</v>
      </c>
    </row>
    <row r="220" spans="1:8" x14ac:dyDescent="0.25">
      <c r="A220" t="s">
        <v>457</v>
      </c>
      <c r="B220" t="s">
        <v>504</v>
      </c>
      <c r="C220" t="s">
        <v>449</v>
      </c>
      <c r="D220" t="s">
        <v>486</v>
      </c>
      <c r="E220" t="s">
        <v>463</v>
      </c>
      <c r="F220" t="s">
        <v>523</v>
      </c>
      <c r="G220" t="s">
        <v>500</v>
      </c>
      <c r="H220" t="s">
        <v>493</v>
      </c>
    </row>
    <row r="221" spans="1:8" x14ac:dyDescent="0.25">
      <c r="A221" t="s">
        <v>459</v>
      </c>
      <c r="B221" t="s">
        <v>450</v>
      </c>
      <c r="C221" t="s">
        <v>504</v>
      </c>
      <c r="D221" t="s">
        <v>463</v>
      </c>
      <c r="E221" t="s">
        <v>464</v>
      </c>
      <c r="F221" t="s">
        <v>524</v>
      </c>
      <c r="G221" t="s">
        <v>502</v>
      </c>
      <c r="H221" t="s">
        <v>525</v>
      </c>
    </row>
    <row r="222" spans="1:8" x14ac:dyDescent="0.25">
      <c r="A222" t="s">
        <v>461</v>
      </c>
      <c r="B222" t="s">
        <v>468</v>
      </c>
      <c r="C222" t="s">
        <v>450</v>
      </c>
      <c r="D222" t="s">
        <v>464</v>
      </c>
      <c r="E222" t="s">
        <v>465</v>
      </c>
      <c r="F222" t="s">
        <v>526</v>
      </c>
      <c r="G222" t="s">
        <v>503</v>
      </c>
      <c r="H222" t="s">
        <v>494</v>
      </c>
    </row>
    <row r="223" spans="1:8" x14ac:dyDescent="0.25">
      <c r="A223" t="s">
        <v>495</v>
      </c>
      <c r="B223" t="s">
        <v>451</v>
      </c>
      <c r="C223" t="s">
        <v>468</v>
      </c>
      <c r="D223" t="s">
        <v>465</v>
      </c>
      <c r="E223" t="s">
        <v>492</v>
      </c>
      <c r="F223" t="s">
        <v>527</v>
      </c>
      <c r="G223" t="s">
        <v>505</v>
      </c>
      <c r="H223" t="s">
        <v>496</v>
      </c>
    </row>
    <row r="224" spans="1:8" x14ac:dyDescent="0.25">
      <c r="A224" t="s">
        <v>443</v>
      </c>
      <c r="B224" t="s">
        <v>452</v>
      </c>
      <c r="C224" t="s">
        <v>451</v>
      </c>
      <c r="D224" t="s">
        <v>492</v>
      </c>
      <c r="E224" t="s">
        <v>466</v>
      </c>
      <c r="F224" t="s">
        <v>528</v>
      </c>
      <c r="G224" t="s">
        <v>529</v>
      </c>
      <c r="H224" t="s">
        <v>497</v>
      </c>
    </row>
    <row r="225" spans="1:8" x14ac:dyDescent="0.25">
      <c r="A225" t="s">
        <v>445</v>
      </c>
      <c r="B225" t="s">
        <v>453</v>
      </c>
      <c r="C225" t="s">
        <v>452</v>
      </c>
      <c r="D225" t="s">
        <v>466</v>
      </c>
      <c r="E225" t="s">
        <v>467</v>
      </c>
      <c r="F225" t="s">
        <v>530</v>
      </c>
      <c r="G225" t="s">
        <v>506</v>
      </c>
      <c r="H225" t="s">
        <v>499</v>
      </c>
    </row>
    <row r="226" spans="1:8" x14ac:dyDescent="0.25">
      <c r="A226" t="s">
        <v>447</v>
      </c>
      <c r="B226" t="s">
        <v>531</v>
      </c>
      <c r="C226" t="s">
        <v>453</v>
      </c>
      <c r="D226" t="s">
        <v>467</v>
      </c>
      <c r="E226" t="s">
        <v>469</v>
      </c>
      <c r="F226" t="s">
        <v>532</v>
      </c>
      <c r="G226" t="s">
        <v>508</v>
      </c>
      <c r="H226" t="s">
        <v>500</v>
      </c>
    </row>
    <row r="227" spans="1:8" x14ac:dyDescent="0.25">
      <c r="A227" t="s">
        <v>449</v>
      </c>
      <c r="B227" t="s">
        <v>474</v>
      </c>
      <c r="C227" t="s">
        <v>531</v>
      </c>
      <c r="D227" t="s">
        <v>469</v>
      </c>
      <c r="E227" t="s">
        <v>490</v>
      </c>
      <c r="F227" t="s">
        <v>533</v>
      </c>
      <c r="G227" t="s">
        <v>509</v>
      </c>
      <c r="H227" t="s">
        <v>502</v>
      </c>
    </row>
    <row r="228" spans="1:8" x14ac:dyDescent="0.25">
      <c r="A228" t="s">
        <v>504</v>
      </c>
      <c r="B228" t="s">
        <v>478</v>
      </c>
      <c r="C228" t="s">
        <v>474</v>
      </c>
      <c r="D228" t="s">
        <v>471</v>
      </c>
      <c r="E228" t="s">
        <v>471</v>
      </c>
      <c r="F228" t="s">
        <v>534</v>
      </c>
      <c r="G228" t="s">
        <v>511</v>
      </c>
      <c r="H228" t="s">
        <v>503</v>
      </c>
    </row>
    <row r="229" spans="1:8" x14ac:dyDescent="0.25">
      <c r="A229" t="s">
        <v>450</v>
      </c>
      <c r="B229" t="s">
        <v>454</v>
      </c>
      <c r="C229" t="s">
        <v>478</v>
      </c>
      <c r="D229" t="s">
        <v>472</v>
      </c>
      <c r="E229" t="s">
        <v>501</v>
      </c>
      <c r="F229" t="s">
        <v>535</v>
      </c>
      <c r="G229" t="s">
        <v>514</v>
      </c>
      <c r="H229" t="s">
        <v>505</v>
      </c>
    </row>
    <row r="230" spans="1:8" x14ac:dyDescent="0.25">
      <c r="A230" t="s">
        <v>468</v>
      </c>
      <c r="B230" t="s">
        <v>455</v>
      </c>
      <c r="C230" t="s">
        <v>454</v>
      </c>
      <c r="D230" t="s">
        <v>473</v>
      </c>
      <c r="E230" t="s">
        <v>472</v>
      </c>
      <c r="F230" t="s">
        <v>536</v>
      </c>
      <c r="G230" t="s">
        <v>516</v>
      </c>
      <c r="H230" t="s">
        <v>506</v>
      </c>
    </row>
    <row r="231" spans="1:8" x14ac:dyDescent="0.25">
      <c r="A231" t="s">
        <v>451</v>
      </c>
      <c r="B231" t="s">
        <v>456</v>
      </c>
      <c r="C231" t="s">
        <v>456</v>
      </c>
      <c r="D231" t="s">
        <v>475</v>
      </c>
      <c r="E231" t="s">
        <v>473</v>
      </c>
      <c r="F231" t="s">
        <v>537</v>
      </c>
      <c r="G231" t="s">
        <v>517</v>
      </c>
      <c r="H231" t="s">
        <v>509</v>
      </c>
    </row>
    <row r="232" spans="1:8" x14ac:dyDescent="0.25">
      <c r="A232" t="s">
        <v>538</v>
      </c>
      <c r="B232" t="s">
        <v>458</v>
      </c>
      <c r="C232" t="s">
        <v>458</v>
      </c>
      <c r="D232" t="s">
        <v>476</v>
      </c>
      <c r="E232" t="s">
        <v>475</v>
      </c>
      <c r="F232" t="s">
        <v>539</v>
      </c>
      <c r="G232" t="s">
        <v>518</v>
      </c>
      <c r="H232" t="s">
        <v>511</v>
      </c>
    </row>
    <row r="233" spans="1:8" x14ac:dyDescent="0.25">
      <c r="A233" t="s">
        <v>452</v>
      </c>
      <c r="B233" t="s">
        <v>460</v>
      </c>
      <c r="C233" t="s">
        <v>460</v>
      </c>
      <c r="D233" t="s">
        <v>477</v>
      </c>
      <c r="E233" t="s">
        <v>476</v>
      </c>
      <c r="F233" t="s">
        <v>540</v>
      </c>
      <c r="G233" t="s">
        <v>519</v>
      </c>
      <c r="H233" t="s">
        <v>513</v>
      </c>
    </row>
    <row r="234" spans="1:8" x14ac:dyDescent="0.25">
      <c r="A234" t="s">
        <v>453</v>
      </c>
      <c r="B234" t="s">
        <v>462</v>
      </c>
      <c r="C234" t="s">
        <v>462</v>
      </c>
      <c r="D234" t="s">
        <v>479</v>
      </c>
      <c r="E234" t="s">
        <v>477</v>
      </c>
      <c r="F234" t="s">
        <v>541</v>
      </c>
      <c r="G234" t="s">
        <v>520</v>
      </c>
      <c r="H234" t="s">
        <v>514</v>
      </c>
    </row>
    <row r="235" spans="1:8" x14ac:dyDescent="0.25">
      <c r="A235" t="s">
        <v>531</v>
      </c>
      <c r="B235" t="s">
        <v>486</v>
      </c>
      <c r="C235" t="s">
        <v>486</v>
      </c>
      <c r="D235" t="s">
        <v>480</v>
      </c>
      <c r="E235" t="s">
        <v>479</v>
      </c>
      <c r="F235" t="s">
        <v>542</v>
      </c>
      <c r="G235" t="s">
        <v>521</v>
      </c>
      <c r="H235" t="s">
        <v>516</v>
      </c>
    </row>
    <row r="236" spans="1:8" x14ac:dyDescent="0.25">
      <c r="A236" t="s">
        <v>474</v>
      </c>
      <c r="B236" t="s">
        <v>463</v>
      </c>
      <c r="C236" t="s">
        <v>463</v>
      </c>
      <c r="D236" t="s">
        <v>481</v>
      </c>
      <c r="E236" t="s">
        <v>480</v>
      </c>
      <c r="F236" t="s">
        <v>543</v>
      </c>
      <c r="G236" t="s">
        <v>522</v>
      </c>
      <c r="H236" t="s">
        <v>517</v>
      </c>
    </row>
    <row r="237" spans="1:8" x14ac:dyDescent="0.25">
      <c r="A237" t="s">
        <v>478</v>
      </c>
      <c r="B237" t="s">
        <v>464</v>
      </c>
      <c r="C237" t="s">
        <v>464</v>
      </c>
      <c r="D237" t="s">
        <v>482</v>
      </c>
      <c r="E237" t="s">
        <v>481</v>
      </c>
      <c r="F237" t="s">
        <v>544</v>
      </c>
      <c r="G237" t="s">
        <v>523</v>
      </c>
      <c r="H237" t="s">
        <v>545</v>
      </c>
    </row>
    <row r="238" spans="1:8" x14ac:dyDescent="0.25">
      <c r="A238" t="s">
        <v>454</v>
      </c>
      <c r="B238" t="s">
        <v>546</v>
      </c>
      <c r="C238" t="s">
        <v>546</v>
      </c>
      <c r="D238" t="s">
        <v>484</v>
      </c>
      <c r="E238" t="s">
        <v>482</v>
      </c>
      <c r="F238" t="s">
        <v>547</v>
      </c>
      <c r="G238" t="s">
        <v>524</v>
      </c>
      <c r="H238" t="s">
        <v>518</v>
      </c>
    </row>
    <row r="239" spans="1:8" x14ac:dyDescent="0.25">
      <c r="A239" t="s">
        <v>455</v>
      </c>
      <c r="B239" t="s">
        <v>465</v>
      </c>
      <c r="C239" t="s">
        <v>465</v>
      </c>
      <c r="D239" t="s">
        <v>485</v>
      </c>
      <c r="E239" t="s">
        <v>484</v>
      </c>
      <c r="F239" t="s">
        <v>548</v>
      </c>
      <c r="G239" t="s">
        <v>526</v>
      </c>
      <c r="H239" t="s">
        <v>519</v>
      </c>
    </row>
    <row r="240" spans="1:8" x14ac:dyDescent="0.25">
      <c r="A240" t="s">
        <v>456</v>
      </c>
      <c r="B240" t="s">
        <v>492</v>
      </c>
      <c r="C240" t="s">
        <v>492</v>
      </c>
      <c r="D240" t="s">
        <v>512</v>
      </c>
      <c r="E240" t="s">
        <v>485</v>
      </c>
      <c r="F240" t="s">
        <v>549</v>
      </c>
      <c r="G240" t="s">
        <v>527</v>
      </c>
      <c r="H240" t="s">
        <v>520</v>
      </c>
    </row>
    <row r="241" spans="1:8" x14ac:dyDescent="0.25">
      <c r="A241" t="s">
        <v>458</v>
      </c>
      <c r="B241" t="s">
        <v>466</v>
      </c>
      <c r="C241" t="s">
        <v>466</v>
      </c>
      <c r="D241" t="s">
        <v>487</v>
      </c>
      <c r="E241" t="s">
        <v>512</v>
      </c>
      <c r="F241" t="s">
        <v>550</v>
      </c>
      <c r="G241" t="s">
        <v>528</v>
      </c>
      <c r="H241" t="s">
        <v>521</v>
      </c>
    </row>
    <row r="242" spans="1:8" x14ac:dyDescent="0.25">
      <c r="A242" t="s">
        <v>460</v>
      </c>
      <c r="B242" t="s">
        <v>467</v>
      </c>
      <c r="C242" t="s">
        <v>467</v>
      </c>
      <c r="D242" t="s">
        <v>488</v>
      </c>
      <c r="E242" t="s">
        <v>487</v>
      </c>
      <c r="F242" t="s">
        <v>551</v>
      </c>
      <c r="G242" t="s">
        <v>530</v>
      </c>
      <c r="H242" t="s">
        <v>522</v>
      </c>
    </row>
    <row r="243" spans="1:8" x14ac:dyDescent="0.25">
      <c r="A243" t="s">
        <v>462</v>
      </c>
      <c r="B243" t="s">
        <v>469</v>
      </c>
      <c r="C243" t="s">
        <v>469</v>
      </c>
      <c r="D243" t="s">
        <v>515</v>
      </c>
      <c r="E243" t="s">
        <v>488</v>
      </c>
      <c r="F243" t="s">
        <v>552</v>
      </c>
      <c r="G243" t="s">
        <v>532</v>
      </c>
      <c r="H243" t="s">
        <v>523</v>
      </c>
    </row>
    <row r="244" spans="1:8" x14ac:dyDescent="0.25">
      <c r="A244" t="s">
        <v>486</v>
      </c>
      <c r="B244" t="s">
        <v>471</v>
      </c>
      <c r="C244" t="s">
        <v>490</v>
      </c>
      <c r="D244" t="s">
        <v>489</v>
      </c>
      <c r="E244" t="s">
        <v>515</v>
      </c>
      <c r="F244" t="s">
        <v>553</v>
      </c>
      <c r="G244" t="s">
        <v>533</v>
      </c>
      <c r="H244" t="s">
        <v>524</v>
      </c>
    </row>
    <row r="245" spans="1:8" x14ac:dyDescent="0.25">
      <c r="A245" t="s">
        <v>463</v>
      </c>
      <c r="B245" t="s">
        <v>501</v>
      </c>
      <c r="C245" t="s">
        <v>471</v>
      </c>
      <c r="D245" t="s">
        <v>491</v>
      </c>
      <c r="E245" t="s">
        <v>489</v>
      </c>
      <c r="F245" t="s">
        <v>554</v>
      </c>
      <c r="G245" t="s">
        <v>534</v>
      </c>
      <c r="H245" t="s">
        <v>526</v>
      </c>
    </row>
    <row r="246" spans="1:8" x14ac:dyDescent="0.25">
      <c r="A246" t="s">
        <v>464</v>
      </c>
      <c r="B246" t="s">
        <v>472</v>
      </c>
      <c r="C246" t="s">
        <v>501</v>
      </c>
      <c r="D246" t="s">
        <v>493</v>
      </c>
      <c r="E246" t="s">
        <v>491</v>
      </c>
      <c r="F246" t="s">
        <v>555</v>
      </c>
      <c r="G246" t="s">
        <v>535</v>
      </c>
      <c r="H246" t="s">
        <v>528</v>
      </c>
    </row>
    <row r="247" spans="1:8" x14ac:dyDescent="0.25">
      <c r="A247" t="s">
        <v>546</v>
      </c>
      <c r="B247" t="s">
        <v>473</v>
      </c>
      <c r="C247" t="s">
        <v>472</v>
      </c>
      <c r="D247" t="s">
        <v>494</v>
      </c>
      <c r="E247" t="s">
        <v>493</v>
      </c>
      <c r="F247" t="s">
        <v>556</v>
      </c>
      <c r="G247" t="s">
        <v>536</v>
      </c>
      <c r="H247" t="s">
        <v>530</v>
      </c>
    </row>
    <row r="248" spans="1:8" x14ac:dyDescent="0.25">
      <c r="A248" t="s">
        <v>465</v>
      </c>
      <c r="B248" t="s">
        <v>557</v>
      </c>
      <c r="C248" t="s">
        <v>473</v>
      </c>
      <c r="D248" t="s">
        <v>496</v>
      </c>
      <c r="E248" t="s">
        <v>494</v>
      </c>
      <c r="F248" t="s">
        <v>558</v>
      </c>
      <c r="G248" t="s">
        <v>537</v>
      </c>
      <c r="H248" t="s">
        <v>532</v>
      </c>
    </row>
    <row r="249" spans="1:8" x14ac:dyDescent="0.25">
      <c r="A249" t="s">
        <v>492</v>
      </c>
      <c r="B249" t="s">
        <v>475</v>
      </c>
      <c r="C249" t="s">
        <v>557</v>
      </c>
      <c r="D249" t="s">
        <v>497</v>
      </c>
      <c r="E249" t="s">
        <v>496</v>
      </c>
      <c r="F249" t="s">
        <v>559</v>
      </c>
      <c r="G249" t="s">
        <v>539</v>
      </c>
      <c r="H249" t="s">
        <v>533</v>
      </c>
    </row>
    <row r="250" spans="1:8" x14ac:dyDescent="0.25">
      <c r="A250" t="s">
        <v>466</v>
      </c>
      <c r="B250" t="s">
        <v>476</v>
      </c>
      <c r="C250" t="s">
        <v>475</v>
      </c>
      <c r="D250" t="s">
        <v>499</v>
      </c>
      <c r="E250" t="s">
        <v>497</v>
      </c>
      <c r="F250" t="s">
        <v>560</v>
      </c>
      <c r="G250" t="s">
        <v>540</v>
      </c>
      <c r="H250" t="s">
        <v>534</v>
      </c>
    </row>
    <row r="251" spans="1:8" x14ac:dyDescent="0.25">
      <c r="A251" t="s">
        <v>467</v>
      </c>
      <c r="B251" t="s">
        <v>477</v>
      </c>
      <c r="C251" t="s">
        <v>476</v>
      </c>
      <c r="D251" t="s">
        <v>500</v>
      </c>
      <c r="E251" t="s">
        <v>499</v>
      </c>
      <c r="F251" t="s">
        <v>561</v>
      </c>
      <c r="G251" t="s">
        <v>541</v>
      </c>
      <c r="H251" t="s">
        <v>535</v>
      </c>
    </row>
    <row r="252" spans="1:8" x14ac:dyDescent="0.25">
      <c r="A252" t="s">
        <v>469</v>
      </c>
      <c r="B252" t="s">
        <v>562</v>
      </c>
      <c r="C252" t="s">
        <v>477</v>
      </c>
      <c r="D252" t="s">
        <v>502</v>
      </c>
      <c r="E252" t="s">
        <v>500</v>
      </c>
      <c r="F252" t="s">
        <v>563</v>
      </c>
      <c r="G252" t="s">
        <v>542</v>
      </c>
      <c r="H252" t="s">
        <v>536</v>
      </c>
    </row>
    <row r="253" spans="1:8" x14ac:dyDescent="0.25">
      <c r="A253" t="s">
        <v>490</v>
      </c>
      <c r="B253" t="s">
        <v>479</v>
      </c>
      <c r="C253" t="s">
        <v>562</v>
      </c>
      <c r="D253" t="s">
        <v>503</v>
      </c>
      <c r="E253" t="s">
        <v>502</v>
      </c>
      <c r="F253" t="s">
        <v>564</v>
      </c>
      <c r="G253" t="s">
        <v>543</v>
      </c>
      <c r="H253" t="s">
        <v>537</v>
      </c>
    </row>
    <row r="254" spans="1:8" x14ac:dyDescent="0.25">
      <c r="A254" t="s">
        <v>471</v>
      </c>
      <c r="B254" t="s">
        <v>480</v>
      </c>
      <c r="C254" t="s">
        <v>479</v>
      </c>
      <c r="D254" t="s">
        <v>505</v>
      </c>
      <c r="E254" t="s">
        <v>503</v>
      </c>
      <c r="F254" t="s">
        <v>565</v>
      </c>
      <c r="G254" t="s">
        <v>544</v>
      </c>
      <c r="H254" t="s">
        <v>539</v>
      </c>
    </row>
    <row r="255" spans="1:8" x14ac:dyDescent="0.25">
      <c r="A255" t="s">
        <v>501</v>
      </c>
      <c r="B255" t="s">
        <v>481</v>
      </c>
      <c r="C255" t="s">
        <v>480</v>
      </c>
      <c r="D255" t="s">
        <v>529</v>
      </c>
      <c r="E255" t="s">
        <v>505</v>
      </c>
      <c r="F255" t="s">
        <v>566</v>
      </c>
      <c r="G255" t="s">
        <v>547</v>
      </c>
      <c r="H255" t="s">
        <v>540</v>
      </c>
    </row>
    <row r="256" spans="1:8" x14ac:dyDescent="0.25">
      <c r="A256" t="s">
        <v>472</v>
      </c>
      <c r="B256" t="s">
        <v>482</v>
      </c>
      <c r="C256" t="s">
        <v>481</v>
      </c>
      <c r="D256" t="s">
        <v>506</v>
      </c>
      <c r="E256" t="s">
        <v>529</v>
      </c>
      <c r="F256" t="s">
        <v>567</v>
      </c>
      <c r="G256" t="s">
        <v>548</v>
      </c>
      <c r="H256" t="s">
        <v>541</v>
      </c>
    </row>
    <row r="257" spans="1:8" x14ac:dyDescent="0.25">
      <c r="A257" t="s">
        <v>473</v>
      </c>
      <c r="B257" t="s">
        <v>483</v>
      </c>
      <c r="C257" t="s">
        <v>482</v>
      </c>
      <c r="D257" t="s">
        <v>508</v>
      </c>
      <c r="E257" t="s">
        <v>506</v>
      </c>
      <c r="F257" t="s">
        <v>568</v>
      </c>
      <c r="G257" t="s">
        <v>549</v>
      </c>
      <c r="H257" t="s">
        <v>542</v>
      </c>
    </row>
    <row r="258" spans="1:8" x14ac:dyDescent="0.25">
      <c r="A258" t="s">
        <v>557</v>
      </c>
      <c r="B258" t="s">
        <v>484</v>
      </c>
      <c r="C258" t="s">
        <v>483</v>
      </c>
      <c r="D258" t="s">
        <v>509</v>
      </c>
      <c r="E258" t="s">
        <v>508</v>
      </c>
      <c r="F258" t="s">
        <v>569</v>
      </c>
      <c r="G258" t="s">
        <v>550</v>
      </c>
      <c r="H258" t="s">
        <v>543</v>
      </c>
    </row>
    <row r="259" spans="1:8" x14ac:dyDescent="0.25">
      <c r="A259" t="s">
        <v>475</v>
      </c>
      <c r="B259" t="s">
        <v>485</v>
      </c>
      <c r="C259" t="s">
        <v>484</v>
      </c>
      <c r="D259" t="s">
        <v>511</v>
      </c>
      <c r="E259" t="s">
        <v>509</v>
      </c>
      <c r="F259" t="s">
        <v>570</v>
      </c>
      <c r="G259" t="s">
        <v>551</v>
      </c>
      <c r="H259" t="s">
        <v>544</v>
      </c>
    </row>
    <row r="260" spans="1:8" x14ac:dyDescent="0.25">
      <c r="A260" t="s">
        <v>476</v>
      </c>
      <c r="B260" t="s">
        <v>512</v>
      </c>
      <c r="C260" t="s">
        <v>485</v>
      </c>
      <c r="D260" t="s">
        <v>513</v>
      </c>
      <c r="E260" t="s">
        <v>511</v>
      </c>
      <c r="F260" t="s">
        <v>571</v>
      </c>
      <c r="G260" t="s">
        <v>553</v>
      </c>
      <c r="H260" t="s">
        <v>547</v>
      </c>
    </row>
    <row r="261" spans="1:8" x14ac:dyDescent="0.25">
      <c r="A261" t="s">
        <v>477</v>
      </c>
      <c r="B261" t="s">
        <v>487</v>
      </c>
      <c r="C261" t="s">
        <v>512</v>
      </c>
      <c r="D261" t="s">
        <v>514</v>
      </c>
      <c r="E261" t="s">
        <v>513</v>
      </c>
      <c r="F261" t="s">
        <v>572</v>
      </c>
      <c r="G261" t="s">
        <v>554</v>
      </c>
      <c r="H261" t="s">
        <v>548</v>
      </c>
    </row>
    <row r="262" spans="1:8" x14ac:dyDescent="0.25">
      <c r="A262" t="s">
        <v>562</v>
      </c>
      <c r="B262" t="s">
        <v>573</v>
      </c>
      <c r="C262" t="s">
        <v>487</v>
      </c>
      <c r="D262" t="s">
        <v>516</v>
      </c>
      <c r="E262" t="s">
        <v>514</v>
      </c>
      <c r="F262" t="s">
        <v>574</v>
      </c>
      <c r="G262" t="s">
        <v>555</v>
      </c>
      <c r="H262" t="s">
        <v>549</v>
      </c>
    </row>
    <row r="263" spans="1:8" x14ac:dyDescent="0.25">
      <c r="A263" t="s">
        <v>479</v>
      </c>
      <c r="B263" t="s">
        <v>488</v>
      </c>
      <c r="C263" t="s">
        <v>575</v>
      </c>
      <c r="D263" t="s">
        <v>517</v>
      </c>
      <c r="E263" t="s">
        <v>516</v>
      </c>
      <c r="F263" t="s">
        <v>576</v>
      </c>
      <c r="G263" t="s">
        <v>556</v>
      </c>
      <c r="H263" t="s">
        <v>550</v>
      </c>
    </row>
    <row r="264" spans="1:8" x14ac:dyDescent="0.25">
      <c r="A264" t="s">
        <v>480</v>
      </c>
      <c r="B264" t="s">
        <v>515</v>
      </c>
      <c r="C264" t="s">
        <v>488</v>
      </c>
      <c r="D264" t="s">
        <v>577</v>
      </c>
      <c r="E264" t="s">
        <v>517</v>
      </c>
      <c r="F264" t="s">
        <v>578</v>
      </c>
      <c r="G264" t="s">
        <v>558</v>
      </c>
      <c r="H264" t="s">
        <v>551</v>
      </c>
    </row>
    <row r="265" spans="1:8" x14ac:dyDescent="0.25">
      <c r="A265" t="s">
        <v>481</v>
      </c>
      <c r="B265" t="s">
        <v>489</v>
      </c>
      <c r="C265" t="s">
        <v>515</v>
      </c>
      <c r="D265" t="s">
        <v>545</v>
      </c>
      <c r="E265" t="s">
        <v>545</v>
      </c>
      <c r="F265" t="s">
        <v>579</v>
      </c>
      <c r="G265" t="s">
        <v>559</v>
      </c>
      <c r="H265" t="s">
        <v>553</v>
      </c>
    </row>
    <row r="266" spans="1:8" x14ac:dyDescent="0.25">
      <c r="A266" t="s">
        <v>482</v>
      </c>
      <c r="B266" t="s">
        <v>580</v>
      </c>
      <c r="C266" t="s">
        <v>489</v>
      </c>
      <c r="D266" t="s">
        <v>518</v>
      </c>
      <c r="E266" t="s">
        <v>518</v>
      </c>
      <c r="F266" t="s">
        <v>581</v>
      </c>
      <c r="G266" t="s">
        <v>560</v>
      </c>
      <c r="H266" t="s">
        <v>554</v>
      </c>
    </row>
    <row r="267" spans="1:8" x14ac:dyDescent="0.25">
      <c r="A267" t="s">
        <v>483</v>
      </c>
      <c r="B267" t="s">
        <v>491</v>
      </c>
      <c r="C267" t="s">
        <v>580</v>
      </c>
      <c r="D267" t="s">
        <v>519</v>
      </c>
      <c r="E267" t="s">
        <v>519</v>
      </c>
      <c r="F267" t="s">
        <v>582</v>
      </c>
      <c r="G267" t="s">
        <v>561</v>
      </c>
      <c r="H267" t="s">
        <v>555</v>
      </c>
    </row>
    <row r="268" spans="1:8" x14ac:dyDescent="0.25">
      <c r="A268" t="s">
        <v>484</v>
      </c>
      <c r="B268" t="s">
        <v>583</v>
      </c>
      <c r="C268" t="s">
        <v>491</v>
      </c>
      <c r="D268" t="s">
        <v>520</v>
      </c>
      <c r="E268" t="s">
        <v>520</v>
      </c>
      <c r="F268" t="s">
        <v>584</v>
      </c>
      <c r="G268" t="s">
        <v>563</v>
      </c>
      <c r="H268" t="s">
        <v>556</v>
      </c>
    </row>
    <row r="269" spans="1:8" x14ac:dyDescent="0.25">
      <c r="A269" t="s">
        <v>485</v>
      </c>
      <c r="B269" t="s">
        <v>493</v>
      </c>
      <c r="C269" t="s">
        <v>493</v>
      </c>
      <c r="D269" t="s">
        <v>521</v>
      </c>
      <c r="E269" t="s">
        <v>521</v>
      </c>
      <c r="F269" t="s">
        <v>585</v>
      </c>
      <c r="G269" t="s">
        <v>564</v>
      </c>
      <c r="H269" t="s">
        <v>586</v>
      </c>
    </row>
    <row r="270" spans="1:8" x14ac:dyDescent="0.25">
      <c r="A270" t="s">
        <v>512</v>
      </c>
      <c r="B270" t="s">
        <v>494</v>
      </c>
      <c r="C270" t="s">
        <v>525</v>
      </c>
      <c r="D270" t="s">
        <v>522</v>
      </c>
      <c r="E270" t="s">
        <v>522</v>
      </c>
      <c r="F270" t="s">
        <v>587</v>
      </c>
      <c r="G270" t="s">
        <v>565</v>
      </c>
      <c r="H270" t="s">
        <v>558</v>
      </c>
    </row>
    <row r="271" spans="1:8" x14ac:dyDescent="0.25">
      <c r="A271" t="s">
        <v>487</v>
      </c>
      <c r="B271" t="s">
        <v>496</v>
      </c>
      <c r="C271" t="s">
        <v>494</v>
      </c>
      <c r="D271" t="s">
        <v>523</v>
      </c>
      <c r="E271" t="s">
        <v>523</v>
      </c>
      <c r="F271" t="s">
        <v>588</v>
      </c>
      <c r="G271" t="s">
        <v>566</v>
      </c>
      <c r="H271" t="s">
        <v>559</v>
      </c>
    </row>
    <row r="272" spans="1:8" x14ac:dyDescent="0.25">
      <c r="A272" t="s">
        <v>575</v>
      </c>
      <c r="B272" t="s">
        <v>497</v>
      </c>
      <c r="C272" t="s">
        <v>496</v>
      </c>
      <c r="D272" t="s">
        <v>524</v>
      </c>
      <c r="E272" t="s">
        <v>524</v>
      </c>
      <c r="F272" t="s">
        <v>589</v>
      </c>
      <c r="G272" t="s">
        <v>590</v>
      </c>
      <c r="H272" t="s">
        <v>560</v>
      </c>
    </row>
    <row r="273" spans="1:8" x14ac:dyDescent="0.25">
      <c r="A273" t="s">
        <v>573</v>
      </c>
      <c r="B273" t="s">
        <v>499</v>
      </c>
      <c r="C273" t="s">
        <v>497</v>
      </c>
      <c r="D273" t="s">
        <v>526</v>
      </c>
      <c r="E273" t="s">
        <v>526</v>
      </c>
      <c r="F273" t="s">
        <v>591</v>
      </c>
      <c r="G273" t="s">
        <v>567</v>
      </c>
      <c r="H273" t="s">
        <v>561</v>
      </c>
    </row>
    <row r="274" spans="1:8" x14ac:dyDescent="0.25">
      <c r="A274" t="s">
        <v>488</v>
      </c>
      <c r="B274" t="s">
        <v>500</v>
      </c>
      <c r="C274" t="s">
        <v>499</v>
      </c>
      <c r="D274" t="s">
        <v>527</v>
      </c>
      <c r="E274" t="s">
        <v>527</v>
      </c>
      <c r="F274" t="s">
        <v>592</v>
      </c>
      <c r="G274" t="s">
        <v>568</v>
      </c>
      <c r="H274" t="s">
        <v>563</v>
      </c>
    </row>
    <row r="275" spans="1:8" x14ac:dyDescent="0.25">
      <c r="A275" t="s">
        <v>515</v>
      </c>
      <c r="B275" t="s">
        <v>502</v>
      </c>
      <c r="C275" t="s">
        <v>500</v>
      </c>
      <c r="D275" t="s">
        <v>528</v>
      </c>
      <c r="E275" t="s">
        <v>528</v>
      </c>
      <c r="F275" t="s">
        <v>593</v>
      </c>
      <c r="G275" t="s">
        <v>594</v>
      </c>
      <c r="H275" t="s">
        <v>564</v>
      </c>
    </row>
    <row r="276" spans="1:8" x14ac:dyDescent="0.25">
      <c r="A276" t="s">
        <v>489</v>
      </c>
      <c r="B276" t="s">
        <v>503</v>
      </c>
      <c r="C276" t="s">
        <v>502</v>
      </c>
      <c r="D276" t="s">
        <v>530</v>
      </c>
      <c r="E276" t="s">
        <v>530</v>
      </c>
      <c r="F276" t="s">
        <v>595</v>
      </c>
      <c r="G276" t="s">
        <v>569</v>
      </c>
      <c r="H276" t="s">
        <v>596</v>
      </c>
    </row>
    <row r="277" spans="1:8" x14ac:dyDescent="0.25">
      <c r="A277" t="s">
        <v>580</v>
      </c>
      <c r="B277" t="s">
        <v>505</v>
      </c>
      <c r="C277" t="s">
        <v>503</v>
      </c>
      <c r="D277" t="s">
        <v>532</v>
      </c>
      <c r="E277" t="s">
        <v>532</v>
      </c>
      <c r="F277" t="s">
        <v>597</v>
      </c>
      <c r="G277" t="s">
        <v>570</v>
      </c>
      <c r="H277" t="s">
        <v>565</v>
      </c>
    </row>
    <row r="278" spans="1:8" x14ac:dyDescent="0.25">
      <c r="A278" t="s">
        <v>491</v>
      </c>
      <c r="B278" t="s">
        <v>529</v>
      </c>
      <c r="C278" t="s">
        <v>505</v>
      </c>
      <c r="D278" t="s">
        <v>533</v>
      </c>
      <c r="E278" t="s">
        <v>533</v>
      </c>
      <c r="F278" t="s">
        <v>598</v>
      </c>
      <c r="G278" t="s">
        <v>599</v>
      </c>
      <c r="H278" t="s">
        <v>566</v>
      </c>
    </row>
    <row r="279" spans="1:8" x14ac:dyDescent="0.25">
      <c r="A279" t="s">
        <v>583</v>
      </c>
      <c r="B279" t="s">
        <v>506</v>
      </c>
      <c r="C279" t="s">
        <v>529</v>
      </c>
      <c r="D279" t="s">
        <v>534</v>
      </c>
      <c r="E279" t="s">
        <v>534</v>
      </c>
      <c r="F279" t="s">
        <v>600</v>
      </c>
      <c r="G279" t="s">
        <v>571</v>
      </c>
      <c r="H279" t="s">
        <v>567</v>
      </c>
    </row>
    <row r="280" spans="1:8" x14ac:dyDescent="0.25">
      <c r="A280" t="s">
        <v>493</v>
      </c>
      <c r="B280" t="s">
        <v>508</v>
      </c>
      <c r="C280" t="s">
        <v>506</v>
      </c>
      <c r="D280" t="s">
        <v>535</v>
      </c>
      <c r="E280" t="s">
        <v>535</v>
      </c>
      <c r="F280" t="s">
        <v>601</v>
      </c>
      <c r="G280" t="s">
        <v>572</v>
      </c>
      <c r="H280" t="s">
        <v>568</v>
      </c>
    </row>
    <row r="281" spans="1:8" x14ac:dyDescent="0.25">
      <c r="A281" t="s">
        <v>525</v>
      </c>
      <c r="B281" t="s">
        <v>509</v>
      </c>
      <c r="C281" t="s">
        <v>508</v>
      </c>
      <c r="D281" t="s">
        <v>536</v>
      </c>
      <c r="E281" t="s">
        <v>536</v>
      </c>
      <c r="F281" t="s">
        <v>602</v>
      </c>
      <c r="G281" t="s">
        <v>603</v>
      </c>
      <c r="H281" t="s">
        <v>594</v>
      </c>
    </row>
    <row r="282" spans="1:8" x14ac:dyDescent="0.25">
      <c r="A282" t="s">
        <v>494</v>
      </c>
      <c r="B282" t="s">
        <v>511</v>
      </c>
      <c r="C282" t="s">
        <v>509</v>
      </c>
      <c r="D282" t="s">
        <v>537</v>
      </c>
      <c r="E282" t="s">
        <v>537</v>
      </c>
      <c r="F282" t="s">
        <v>604</v>
      </c>
      <c r="G282" t="s">
        <v>574</v>
      </c>
      <c r="H282" t="s">
        <v>569</v>
      </c>
    </row>
    <row r="283" spans="1:8" x14ac:dyDescent="0.25">
      <c r="A283" t="s">
        <v>496</v>
      </c>
      <c r="B283" t="s">
        <v>513</v>
      </c>
      <c r="C283" t="s">
        <v>511</v>
      </c>
      <c r="D283" t="s">
        <v>605</v>
      </c>
      <c r="E283" t="s">
        <v>605</v>
      </c>
      <c r="F283" t="s">
        <v>606</v>
      </c>
      <c r="G283" t="s">
        <v>576</v>
      </c>
      <c r="H283" t="s">
        <v>570</v>
      </c>
    </row>
    <row r="284" spans="1:8" x14ac:dyDescent="0.25">
      <c r="A284" t="s">
        <v>497</v>
      </c>
      <c r="B284" t="s">
        <v>514</v>
      </c>
      <c r="C284" t="s">
        <v>513</v>
      </c>
      <c r="D284" t="s">
        <v>539</v>
      </c>
      <c r="E284" t="s">
        <v>539</v>
      </c>
      <c r="F284" t="s">
        <v>607</v>
      </c>
      <c r="G284" t="s">
        <v>578</v>
      </c>
      <c r="H284" t="s">
        <v>571</v>
      </c>
    </row>
    <row r="285" spans="1:8" x14ac:dyDescent="0.25">
      <c r="A285" t="s">
        <v>499</v>
      </c>
      <c r="B285" t="s">
        <v>516</v>
      </c>
      <c r="C285" t="s">
        <v>514</v>
      </c>
      <c r="D285" t="s">
        <v>540</v>
      </c>
      <c r="E285" t="s">
        <v>540</v>
      </c>
      <c r="F285" t="s">
        <v>608</v>
      </c>
      <c r="G285" t="s">
        <v>579</v>
      </c>
      <c r="H285" t="s">
        <v>574</v>
      </c>
    </row>
    <row r="286" spans="1:8" x14ac:dyDescent="0.25">
      <c r="A286" t="s">
        <v>609</v>
      </c>
      <c r="B286" t="s">
        <v>517</v>
      </c>
      <c r="C286" t="s">
        <v>516</v>
      </c>
      <c r="D286" t="s">
        <v>610</v>
      </c>
      <c r="E286" t="s">
        <v>610</v>
      </c>
      <c r="F286" t="s">
        <v>611</v>
      </c>
      <c r="G286" t="s">
        <v>582</v>
      </c>
      <c r="H286" t="s">
        <v>576</v>
      </c>
    </row>
    <row r="287" spans="1:8" x14ac:dyDescent="0.25">
      <c r="A287" t="s">
        <v>500</v>
      </c>
      <c r="B287" t="s">
        <v>577</v>
      </c>
      <c r="C287" t="s">
        <v>517</v>
      </c>
      <c r="D287" t="s">
        <v>541</v>
      </c>
      <c r="E287" t="s">
        <v>541</v>
      </c>
      <c r="F287" t="s">
        <v>612</v>
      </c>
      <c r="G287" t="s">
        <v>584</v>
      </c>
      <c r="H287" t="s">
        <v>578</v>
      </c>
    </row>
    <row r="288" spans="1:8" x14ac:dyDescent="0.25">
      <c r="A288" t="s">
        <v>502</v>
      </c>
      <c r="B288" t="s">
        <v>545</v>
      </c>
      <c r="C288" t="s">
        <v>577</v>
      </c>
      <c r="D288" t="s">
        <v>542</v>
      </c>
      <c r="E288" t="s">
        <v>542</v>
      </c>
      <c r="F288" t="s">
        <v>613</v>
      </c>
      <c r="G288" t="s">
        <v>585</v>
      </c>
      <c r="H288" t="s">
        <v>579</v>
      </c>
    </row>
    <row r="289" spans="1:8" x14ac:dyDescent="0.25">
      <c r="A289" t="s">
        <v>503</v>
      </c>
      <c r="B289" t="s">
        <v>518</v>
      </c>
      <c r="C289" t="s">
        <v>545</v>
      </c>
      <c r="D289" t="s">
        <v>543</v>
      </c>
      <c r="E289" t="s">
        <v>543</v>
      </c>
      <c r="F289" t="s">
        <v>614</v>
      </c>
      <c r="G289" t="s">
        <v>587</v>
      </c>
      <c r="H289" t="s">
        <v>581</v>
      </c>
    </row>
    <row r="290" spans="1:8" x14ac:dyDescent="0.25">
      <c r="A290" t="s">
        <v>505</v>
      </c>
      <c r="B290" t="s">
        <v>519</v>
      </c>
      <c r="C290" t="s">
        <v>518</v>
      </c>
      <c r="D290" t="s">
        <v>544</v>
      </c>
      <c r="E290" t="s">
        <v>544</v>
      </c>
      <c r="F290" t="s">
        <v>615</v>
      </c>
      <c r="G290" t="s">
        <v>588</v>
      </c>
      <c r="H290" t="s">
        <v>582</v>
      </c>
    </row>
    <row r="291" spans="1:8" x14ac:dyDescent="0.25">
      <c r="A291" t="s">
        <v>529</v>
      </c>
      <c r="B291" t="s">
        <v>520</v>
      </c>
      <c r="C291" t="s">
        <v>519</v>
      </c>
      <c r="D291" t="s">
        <v>547</v>
      </c>
      <c r="E291" t="s">
        <v>547</v>
      </c>
      <c r="F291" t="s">
        <v>616</v>
      </c>
      <c r="G291" t="s">
        <v>589</v>
      </c>
      <c r="H291" t="s">
        <v>584</v>
      </c>
    </row>
    <row r="292" spans="1:8" x14ac:dyDescent="0.25">
      <c r="A292" t="s">
        <v>506</v>
      </c>
      <c r="B292" t="s">
        <v>521</v>
      </c>
      <c r="C292" t="s">
        <v>520</v>
      </c>
      <c r="D292" t="s">
        <v>548</v>
      </c>
      <c r="E292" t="s">
        <v>548</v>
      </c>
      <c r="F292" t="s">
        <v>617</v>
      </c>
      <c r="G292" t="s">
        <v>591</v>
      </c>
      <c r="H292" t="s">
        <v>585</v>
      </c>
    </row>
    <row r="293" spans="1:8" x14ac:dyDescent="0.25">
      <c r="A293" t="s">
        <v>508</v>
      </c>
      <c r="B293" t="s">
        <v>522</v>
      </c>
      <c r="C293" t="s">
        <v>521</v>
      </c>
      <c r="D293" t="s">
        <v>618</v>
      </c>
      <c r="E293" t="s">
        <v>618</v>
      </c>
      <c r="F293" t="s">
        <v>619</v>
      </c>
      <c r="G293" t="s">
        <v>592</v>
      </c>
      <c r="H293" t="s">
        <v>587</v>
      </c>
    </row>
    <row r="294" spans="1:8" x14ac:dyDescent="0.25">
      <c r="A294" t="s">
        <v>509</v>
      </c>
      <c r="B294" t="s">
        <v>523</v>
      </c>
      <c r="C294" t="s">
        <v>522</v>
      </c>
      <c r="D294" t="s">
        <v>549</v>
      </c>
      <c r="E294" t="s">
        <v>549</v>
      </c>
      <c r="F294" t="s">
        <v>620</v>
      </c>
      <c r="G294" t="s">
        <v>593</v>
      </c>
      <c r="H294" t="s">
        <v>588</v>
      </c>
    </row>
    <row r="295" spans="1:8" x14ac:dyDescent="0.25">
      <c r="A295" t="s">
        <v>511</v>
      </c>
      <c r="B295" t="s">
        <v>524</v>
      </c>
      <c r="C295" t="s">
        <v>523</v>
      </c>
      <c r="D295" t="s">
        <v>550</v>
      </c>
      <c r="E295" t="s">
        <v>550</v>
      </c>
      <c r="F295" t="s">
        <v>621</v>
      </c>
      <c r="G295" t="s">
        <v>595</v>
      </c>
      <c r="H295" t="s">
        <v>589</v>
      </c>
    </row>
    <row r="296" spans="1:8" x14ac:dyDescent="0.25">
      <c r="A296" t="s">
        <v>513</v>
      </c>
      <c r="B296" t="s">
        <v>526</v>
      </c>
      <c r="C296" t="s">
        <v>524</v>
      </c>
      <c r="D296" t="s">
        <v>551</v>
      </c>
      <c r="E296" t="s">
        <v>551</v>
      </c>
      <c r="F296" t="s">
        <v>622</v>
      </c>
      <c r="G296" t="s">
        <v>597</v>
      </c>
      <c r="H296" t="s">
        <v>591</v>
      </c>
    </row>
    <row r="297" spans="1:8" x14ac:dyDescent="0.25">
      <c r="A297" t="s">
        <v>514</v>
      </c>
      <c r="B297" t="s">
        <v>527</v>
      </c>
      <c r="C297" t="s">
        <v>526</v>
      </c>
      <c r="D297" t="s">
        <v>552</v>
      </c>
      <c r="E297" t="s">
        <v>552</v>
      </c>
      <c r="F297" t="s">
        <v>623</v>
      </c>
      <c r="G297" t="s">
        <v>598</v>
      </c>
      <c r="H297" t="s">
        <v>592</v>
      </c>
    </row>
    <row r="298" spans="1:8" x14ac:dyDescent="0.25">
      <c r="A298" t="s">
        <v>516</v>
      </c>
      <c r="B298" t="s">
        <v>528</v>
      </c>
      <c r="C298" t="s">
        <v>527</v>
      </c>
      <c r="D298" t="s">
        <v>553</v>
      </c>
      <c r="E298" t="s">
        <v>553</v>
      </c>
      <c r="F298" t="s">
        <v>624</v>
      </c>
      <c r="G298" t="s">
        <v>601</v>
      </c>
      <c r="H298" t="s">
        <v>593</v>
      </c>
    </row>
    <row r="299" spans="1:8" x14ac:dyDescent="0.25">
      <c r="A299" t="s">
        <v>517</v>
      </c>
      <c r="B299" t="s">
        <v>625</v>
      </c>
      <c r="C299" t="s">
        <v>528</v>
      </c>
      <c r="D299" t="s">
        <v>554</v>
      </c>
      <c r="E299" t="s">
        <v>554</v>
      </c>
      <c r="F299" t="s">
        <v>626</v>
      </c>
      <c r="G299" t="s">
        <v>602</v>
      </c>
      <c r="H299" t="s">
        <v>595</v>
      </c>
    </row>
    <row r="300" spans="1:8" x14ac:dyDescent="0.25">
      <c r="A300" t="s">
        <v>577</v>
      </c>
      <c r="B300" t="s">
        <v>530</v>
      </c>
      <c r="C300" t="s">
        <v>625</v>
      </c>
      <c r="D300" t="s">
        <v>555</v>
      </c>
      <c r="E300" t="s">
        <v>555</v>
      </c>
      <c r="F300" t="s">
        <v>627</v>
      </c>
      <c r="G300" t="s">
        <v>604</v>
      </c>
      <c r="H300" t="s">
        <v>597</v>
      </c>
    </row>
    <row r="301" spans="1:8" x14ac:dyDescent="0.25">
      <c r="A301" t="s">
        <v>545</v>
      </c>
      <c r="B301" t="s">
        <v>628</v>
      </c>
      <c r="C301" t="s">
        <v>530</v>
      </c>
      <c r="D301" t="s">
        <v>556</v>
      </c>
      <c r="E301" t="s">
        <v>556</v>
      </c>
      <c r="F301" t="s">
        <v>629</v>
      </c>
      <c r="G301" t="s">
        <v>606</v>
      </c>
      <c r="H301" t="s">
        <v>600</v>
      </c>
    </row>
    <row r="302" spans="1:8" x14ac:dyDescent="0.25">
      <c r="A302" t="s">
        <v>518</v>
      </c>
      <c r="B302" t="s">
        <v>532</v>
      </c>
      <c r="C302" t="s">
        <v>628</v>
      </c>
      <c r="D302" t="s">
        <v>586</v>
      </c>
      <c r="E302" t="s">
        <v>586</v>
      </c>
      <c r="F302" t="s">
        <v>630</v>
      </c>
      <c r="G302" t="s">
        <v>631</v>
      </c>
      <c r="H302" t="s">
        <v>601</v>
      </c>
    </row>
    <row r="303" spans="1:8" x14ac:dyDescent="0.25">
      <c r="A303" t="s">
        <v>519</v>
      </c>
      <c r="B303" t="s">
        <v>533</v>
      </c>
      <c r="C303" t="s">
        <v>532</v>
      </c>
      <c r="D303" t="s">
        <v>558</v>
      </c>
      <c r="E303" t="s">
        <v>558</v>
      </c>
      <c r="F303" t="s">
        <v>632</v>
      </c>
      <c r="G303" t="s">
        <v>607</v>
      </c>
      <c r="H303" t="s">
        <v>602</v>
      </c>
    </row>
    <row r="304" spans="1:8" x14ac:dyDescent="0.25">
      <c r="A304" t="s">
        <v>520</v>
      </c>
      <c r="B304" t="s">
        <v>534</v>
      </c>
      <c r="C304" t="s">
        <v>533</v>
      </c>
      <c r="D304" t="s">
        <v>559</v>
      </c>
      <c r="E304" t="s">
        <v>559</v>
      </c>
      <c r="F304" t="s">
        <v>633</v>
      </c>
      <c r="G304" t="s">
        <v>608</v>
      </c>
      <c r="H304" t="s">
        <v>604</v>
      </c>
    </row>
    <row r="305" spans="1:8" x14ac:dyDescent="0.25">
      <c r="A305" t="s">
        <v>521</v>
      </c>
      <c r="B305" t="s">
        <v>535</v>
      </c>
      <c r="C305" t="s">
        <v>534</v>
      </c>
      <c r="D305" t="s">
        <v>560</v>
      </c>
      <c r="E305" t="s">
        <v>560</v>
      </c>
      <c r="F305" t="s">
        <v>634</v>
      </c>
      <c r="G305" t="s">
        <v>611</v>
      </c>
      <c r="H305" t="s">
        <v>606</v>
      </c>
    </row>
    <row r="306" spans="1:8" x14ac:dyDescent="0.25">
      <c r="A306" t="s">
        <v>522</v>
      </c>
      <c r="B306" t="s">
        <v>536</v>
      </c>
      <c r="C306" t="s">
        <v>535</v>
      </c>
      <c r="D306" t="s">
        <v>561</v>
      </c>
      <c r="E306" t="s">
        <v>561</v>
      </c>
      <c r="F306" t="s">
        <v>635</v>
      </c>
      <c r="G306" t="s">
        <v>612</v>
      </c>
      <c r="H306" t="s">
        <v>607</v>
      </c>
    </row>
    <row r="307" spans="1:8" x14ac:dyDescent="0.25">
      <c r="A307" t="s">
        <v>523</v>
      </c>
      <c r="B307" t="s">
        <v>537</v>
      </c>
      <c r="C307" t="s">
        <v>536</v>
      </c>
      <c r="D307" t="s">
        <v>563</v>
      </c>
      <c r="E307" t="s">
        <v>563</v>
      </c>
      <c r="F307" t="s">
        <v>636</v>
      </c>
      <c r="G307" t="s">
        <v>637</v>
      </c>
      <c r="H307" t="s">
        <v>608</v>
      </c>
    </row>
    <row r="308" spans="1:8" x14ac:dyDescent="0.25">
      <c r="A308" t="s">
        <v>524</v>
      </c>
      <c r="B308" t="s">
        <v>605</v>
      </c>
      <c r="C308" t="s">
        <v>537</v>
      </c>
      <c r="D308" t="s">
        <v>564</v>
      </c>
      <c r="E308" t="s">
        <v>564</v>
      </c>
      <c r="F308" t="s">
        <v>638</v>
      </c>
      <c r="G308" t="s">
        <v>613</v>
      </c>
      <c r="H308" t="s">
        <v>611</v>
      </c>
    </row>
    <row r="309" spans="1:8" x14ac:dyDescent="0.25">
      <c r="A309" t="s">
        <v>526</v>
      </c>
      <c r="B309" t="s">
        <v>539</v>
      </c>
      <c r="C309" t="s">
        <v>605</v>
      </c>
      <c r="D309" t="s">
        <v>596</v>
      </c>
      <c r="E309" t="s">
        <v>596</v>
      </c>
      <c r="F309" t="s">
        <v>639</v>
      </c>
      <c r="G309" t="s">
        <v>614</v>
      </c>
      <c r="H309" t="s">
        <v>612</v>
      </c>
    </row>
    <row r="310" spans="1:8" x14ac:dyDescent="0.25">
      <c r="A310" t="s">
        <v>527</v>
      </c>
      <c r="B310" t="s">
        <v>540</v>
      </c>
      <c r="C310" t="s">
        <v>539</v>
      </c>
      <c r="D310" t="s">
        <v>565</v>
      </c>
      <c r="E310" t="s">
        <v>565</v>
      </c>
      <c r="F310" t="s">
        <v>640</v>
      </c>
      <c r="G310" t="s">
        <v>615</v>
      </c>
      <c r="H310" t="s">
        <v>637</v>
      </c>
    </row>
    <row r="311" spans="1:8" x14ac:dyDescent="0.25">
      <c r="A311" t="s">
        <v>528</v>
      </c>
      <c r="B311" t="s">
        <v>610</v>
      </c>
      <c r="C311" t="s">
        <v>540</v>
      </c>
      <c r="D311" t="s">
        <v>566</v>
      </c>
      <c r="E311" t="s">
        <v>566</v>
      </c>
      <c r="F311" t="s">
        <v>641</v>
      </c>
      <c r="G311" t="s">
        <v>616</v>
      </c>
      <c r="H311" t="s">
        <v>613</v>
      </c>
    </row>
    <row r="312" spans="1:8" x14ac:dyDescent="0.25">
      <c r="A312" t="s">
        <v>625</v>
      </c>
      <c r="B312" t="s">
        <v>541</v>
      </c>
      <c r="C312" t="s">
        <v>610</v>
      </c>
      <c r="D312" t="s">
        <v>590</v>
      </c>
      <c r="E312" t="s">
        <v>590</v>
      </c>
      <c r="F312" t="s">
        <v>642</v>
      </c>
      <c r="G312" t="s">
        <v>617</v>
      </c>
      <c r="H312" t="s">
        <v>614</v>
      </c>
    </row>
    <row r="313" spans="1:8" x14ac:dyDescent="0.25">
      <c r="A313" t="s">
        <v>530</v>
      </c>
      <c r="B313" t="s">
        <v>542</v>
      </c>
      <c r="C313" t="s">
        <v>541</v>
      </c>
      <c r="D313" t="s">
        <v>567</v>
      </c>
      <c r="E313" t="s">
        <v>567</v>
      </c>
      <c r="F313" t="s">
        <v>643</v>
      </c>
      <c r="G313" t="s">
        <v>619</v>
      </c>
      <c r="H313" t="s">
        <v>615</v>
      </c>
    </row>
    <row r="314" spans="1:8" x14ac:dyDescent="0.25">
      <c r="A314" t="s">
        <v>628</v>
      </c>
      <c r="B314" t="s">
        <v>543</v>
      </c>
      <c r="C314" t="s">
        <v>542</v>
      </c>
      <c r="D314" t="s">
        <v>568</v>
      </c>
      <c r="E314" t="s">
        <v>568</v>
      </c>
      <c r="F314" t="s">
        <v>644</v>
      </c>
      <c r="G314" t="s">
        <v>620</v>
      </c>
      <c r="H314" t="s">
        <v>616</v>
      </c>
    </row>
    <row r="315" spans="1:8" x14ac:dyDescent="0.25">
      <c r="A315" t="s">
        <v>532</v>
      </c>
      <c r="B315" t="s">
        <v>544</v>
      </c>
      <c r="C315" t="s">
        <v>543</v>
      </c>
      <c r="D315" t="s">
        <v>594</v>
      </c>
      <c r="E315" t="s">
        <v>594</v>
      </c>
      <c r="F315" t="s">
        <v>645</v>
      </c>
      <c r="G315" t="s">
        <v>621</v>
      </c>
      <c r="H315" t="s">
        <v>617</v>
      </c>
    </row>
    <row r="316" spans="1:8" x14ac:dyDescent="0.25">
      <c r="A316" t="s">
        <v>533</v>
      </c>
      <c r="B316" t="s">
        <v>547</v>
      </c>
      <c r="C316" t="s">
        <v>544</v>
      </c>
      <c r="D316" t="s">
        <v>569</v>
      </c>
      <c r="E316" t="s">
        <v>569</v>
      </c>
      <c r="F316" t="s">
        <v>646</v>
      </c>
      <c r="G316" t="s">
        <v>622</v>
      </c>
      <c r="H316" t="s">
        <v>619</v>
      </c>
    </row>
    <row r="317" spans="1:8" x14ac:dyDescent="0.25">
      <c r="A317" t="s">
        <v>534</v>
      </c>
      <c r="B317" t="s">
        <v>548</v>
      </c>
      <c r="C317" t="s">
        <v>547</v>
      </c>
      <c r="D317" t="s">
        <v>570</v>
      </c>
      <c r="E317" t="s">
        <v>570</v>
      </c>
      <c r="F317" t="s">
        <v>647</v>
      </c>
      <c r="G317" t="s">
        <v>623</v>
      </c>
      <c r="H317" t="s">
        <v>620</v>
      </c>
    </row>
    <row r="318" spans="1:8" x14ac:dyDescent="0.25">
      <c r="A318" t="s">
        <v>535</v>
      </c>
      <c r="B318" t="s">
        <v>618</v>
      </c>
      <c r="C318" t="s">
        <v>548</v>
      </c>
      <c r="D318" t="s">
        <v>648</v>
      </c>
      <c r="E318" t="s">
        <v>648</v>
      </c>
      <c r="F318" t="s">
        <v>649</v>
      </c>
      <c r="G318" t="s">
        <v>624</v>
      </c>
      <c r="H318" t="s">
        <v>621</v>
      </c>
    </row>
    <row r="319" spans="1:8" x14ac:dyDescent="0.25">
      <c r="A319" t="s">
        <v>650</v>
      </c>
      <c r="B319" t="s">
        <v>549</v>
      </c>
      <c r="C319" t="s">
        <v>618</v>
      </c>
      <c r="D319" t="s">
        <v>651</v>
      </c>
      <c r="E319" t="s">
        <v>571</v>
      </c>
      <c r="F319" t="s">
        <v>652</v>
      </c>
      <c r="G319" t="s">
        <v>626</v>
      </c>
      <c r="H319" t="s">
        <v>622</v>
      </c>
    </row>
    <row r="320" spans="1:8" x14ac:dyDescent="0.25">
      <c r="A320" t="s">
        <v>536</v>
      </c>
      <c r="B320" t="s">
        <v>550</v>
      </c>
      <c r="C320" t="s">
        <v>549</v>
      </c>
      <c r="D320" t="s">
        <v>571</v>
      </c>
      <c r="E320" t="s">
        <v>572</v>
      </c>
      <c r="F320" t="s">
        <v>653</v>
      </c>
      <c r="G320" t="s">
        <v>627</v>
      </c>
      <c r="H320" t="s">
        <v>623</v>
      </c>
    </row>
    <row r="321" spans="1:8" x14ac:dyDescent="0.25">
      <c r="A321" t="s">
        <v>537</v>
      </c>
      <c r="B321" t="s">
        <v>551</v>
      </c>
      <c r="C321" t="s">
        <v>550</v>
      </c>
      <c r="D321" t="s">
        <v>572</v>
      </c>
      <c r="E321" t="s">
        <v>603</v>
      </c>
      <c r="F321" t="s">
        <v>654</v>
      </c>
      <c r="G321" t="s">
        <v>629</v>
      </c>
      <c r="H321" t="s">
        <v>655</v>
      </c>
    </row>
    <row r="322" spans="1:8" x14ac:dyDescent="0.25">
      <c r="A322" t="s">
        <v>605</v>
      </c>
      <c r="B322" t="s">
        <v>552</v>
      </c>
      <c r="C322" t="s">
        <v>551</v>
      </c>
      <c r="D322" t="s">
        <v>603</v>
      </c>
      <c r="E322" t="s">
        <v>574</v>
      </c>
      <c r="F322" t="s">
        <v>656</v>
      </c>
      <c r="G322" t="s">
        <v>657</v>
      </c>
      <c r="H322" t="s">
        <v>624</v>
      </c>
    </row>
    <row r="323" spans="1:8" x14ac:dyDescent="0.25">
      <c r="A323" t="s">
        <v>539</v>
      </c>
      <c r="B323" t="s">
        <v>553</v>
      </c>
      <c r="C323" t="s">
        <v>552</v>
      </c>
      <c r="D323" t="s">
        <v>574</v>
      </c>
      <c r="E323" t="s">
        <v>576</v>
      </c>
      <c r="F323" t="s">
        <v>658</v>
      </c>
      <c r="G323" t="s">
        <v>630</v>
      </c>
      <c r="H323" t="s">
        <v>626</v>
      </c>
    </row>
    <row r="324" spans="1:8" x14ac:dyDescent="0.25">
      <c r="A324" t="s">
        <v>540</v>
      </c>
      <c r="B324" t="s">
        <v>659</v>
      </c>
      <c r="C324" t="s">
        <v>553</v>
      </c>
      <c r="D324" t="s">
        <v>576</v>
      </c>
      <c r="E324" t="s">
        <v>578</v>
      </c>
      <c r="F324" t="s">
        <v>660</v>
      </c>
      <c r="G324" t="s">
        <v>632</v>
      </c>
      <c r="H324" t="s">
        <v>627</v>
      </c>
    </row>
    <row r="325" spans="1:8" x14ac:dyDescent="0.25">
      <c r="A325" t="s">
        <v>610</v>
      </c>
      <c r="B325" t="s">
        <v>554</v>
      </c>
      <c r="C325" t="s">
        <v>659</v>
      </c>
      <c r="D325" t="s">
        <v>578</v>
      </c>
      <c r="E325" t="s">
        <v>579</v>
      </c>
      <c r="F325" t="s">
        <v>661</v>
      </c>
      <c r="G325" t="s">
        <v>633</v>
      </c>
      <c r="H325" t="s">
        <v>629</v>
      </c>
    </row>
    <row r="326" spans="1:8" x14ac:dyDescent="0.25">
      <c r="A326" t="s">
        <v>541</v>
      </c>
      <c r="B326" t="s">
        <v>555</v>
      </c>
      <c r="C326" t="s">
        <v>554</v>
      </c>
      <c r="D326" t="s">
        <v>579</v>
      </c>
      <c r="E326" t="s">
        <v>581</v>
      </c>
      <c r="F326" t="s">
        <v>662</v>
      </c>
      <c r="G326" t="s">
        <v>634</v>
      </c>
      <c r="H326" t="s">
        <v>657</v>
      </c>
    </row>
    <row r="327" spans="1:8" x14ac:dyDescent="0.25">
      <c r="A327" t="s">
        <v>542</v>
      </c>
      <c r="B327" t="s">
        <v>556</v>
      </c>
      <c r="C327" t="s">
        <v>555</v>
      </c>
      <c r="D327" t="s">
        <v>663</v>
      </c>
      <c r="E327" t="s">
        <v>582</v>
      </c>
      <c r="F327" t="s">
        <v>664</v>
      </c>
      <c r="G327" t="s">
        <v>635</v>
      </c>
      <c r="H327" t="s">
        <v>630</v>
      </c>
    </row>
    <row r="328" spans="1:8" x14ac:dyDescent="0.25">
      <c r="A328" t="s">
        <v>543</v>
      </c>
      <c r="B328" t="s">
        <v>586</v>
      </c>
      <c r="C328" t="s">
        <v>556</v>
      </c>
      <c r="D328" t="s">
        <v>581</v>
      </c>
      <c r="E328" t="s">
        <v>584</v>
      </c>
      <c r="F328" t="s">
        <v>665</v>
      </c>
      <c r="G328" t="s">
        <v>636</v>
      </c>
      <c r="H328" t="s">
        <v>632</v>
      </c>
    </row>
    <row r="329" spans="1:8" x14ac:dyDescent="0.25">
      <c r="A329" t="s">
        <v>544</v>
      </c>
      <c r="B329" t="s">
        <v>558</v>
      </c>
      <c r="C329" t="s">
        <v>586</v>
      </c>
      <c r="D329" t="s">
        <v>582</v>
      </c>
      <c r="E329" t="s">
        <v>585</v>
      </c>
      <c r="F329" t="s">
        <v>666</v>
      </c>
      <c r="G329" t="s">
        <v>638</v>
      </c>
      <c r="H329" t="s">
        <v>633</v>
      </c>
    </row>
    <row r="330" spans="1:8" x14ac:dyDescent="0.25">
      <c r="A330" t="s">
        <v>547</v>
      </c>
      <c r="B330" t="s">
        <v>667</v>
      </c>
      <c r="C330" t="s">
        <v>558</v>
      </c>
      <c r="D330" t="s">
        <v>584</v>
      </c>
      <c r="E330" t="s">
        <v>668</v>
      </c>
      <c r="F330" t="s">
        <v>669</v>
      </c>
      <c r="G330" t="s">
        <v>639</v>
      </c>
      <c r="H330" t="s">
        <v>634</v>
      </c>
    </row>
    <row r="331" spans="1:8" x14ac:dyDescent="0.25">
      <c r="A331" t="s">
        <v>548</v>
      </c>
      <c r="B331" t="s">
        <v>559</v>
      </c>
      <c r="C331" t="s">
        <v>667</v>
      </c>
      <c r="D331" t="s">
        <v>585</v>
      </c>
      <c r="E331" t="s">
        <v>587</v>
      </c>
      <c r="F331" t="s">
        <v>670</v>
      </c>
      <c r="G331" t="s">
        <v>640</v>
      </c>
      <c r="H331" t="s">
        <v>635</v>
      </c>
    </row>
    <row r="332" spans="1:8" x14ac:dyDescent="0.25">
      <c r="A332" t="s">
        <v>618</v>
      </c>
      <c r="B332" t="s">
        <v>560</v>
      </c>
      <c r="C332" t="s">
        <v>559</v>
      </c>
      <c r="D332" t="s">
        <v>668</v>
      </c>
      <c r="E332" t="s">
        <v>588</v>
      </c>
      <c r="F332" t="s">
        <v>671</v>
      </c>
      <c r="G332" t="s">
        <v>641</v>
      </c>
      <c r="H332" t="s">
        <v>636</v>
      </c>
    </row>
    <row r="333" spans="1:8" x14ac:dyDescent="0.25">
      <c r="A333" t="s">
        <v>549</v>
      </c>
      <c r="B333" t="s">
        <v>561</v>
      </c>
      <c r="C333" t="s">
        <v>560</v>
      </c>
      <c r="D333" t="s">
        <v>587</v>
      </c>
      <c r="E333" t="s">
        <v>589</v>
      </c>
      <c r="F333" t="s">
        <v>672</v>
      </c>
      <c r="G333" t="s">
        <v>642</v>
      </c>
      <c r="H333" t="s">
        <v>638</v>
      </c>
    </row>
    <row r="334" spans="1:8" x14ac:dyDescent="0.25">
      <c r="A334" t="s">
        <v>550</v>
      </c>
      <c r="B334" t="s">
        <v>563</v>
      </c>
      <c r="C334" t="s">
        <v>561</v>
      </c>
      <c r="D334" t="s">
        <v>588</v>
      </c>
      <c r="E334" t="s">
        <v>591</v>
      </c>
      <c r="F334" t="s">
        <v>673</v>
      </c>
      <c r="G334" t="s">
        <v>643</v>
      </c>
      <c r="H334" t="s">
        <v>639</v>
      </c>
    </row>
    <row r="335" spans="1:8" x14ac:dyDescent="0.25">
      <c r="A335" t="s">
        <v>551</v>
      </c>
      <c r="B335" t="s">
        <v>564</v>
      </c>
      <c r="C335" t="s">
        <v>563</v>
      </c>
      <c r="D335" t="s">
        <v>589</v>
      </c>
      <c r="E335" t="s">
        <v>592</v>
      </c>
      <c r="F335" t="s">
        <v>674</v>
      </c>
      <c r="G335" t="s">
        <v>644</v>
      </c>
      <c r="H335" t="s">
        <v>640</v>
      </c>
    </row>
    <row r="336" spans="1:8" x14ac:dyDescent="0.25">
      <c r="A336" t="s">
        <v>552</v>
      </c>
      <c r="B336" t="s">
        <v>596</v>
      </c>
      <c r="C336" t="s">
        <v>564</v>
      </c>
      <c r="D336" t="s">
        <v>675</v>
      </c>
      <c r="E336" t="s">
        <v>676</v>
      </c>
      <c r="F336" t="s">
        <v>677</v>
      </c>
      <c r="G336" t="s">
        <v>645</v>
      </c>
      <c r="H336" t="s">
        <v>641</v>
      </c>
    </row>
    <row r="337" spans="1:8" x14ac:dyDescent="0.25">
      <c r="A337" t="s">
        <v>553</v>
      </c>
      <c r="B337" t="s">
        <v>565</v>
      </c>
      <c r="C337" t="s">
        <v>596</v>
      </c>
      <c r="D337" t="s">
        <v>591</v>
      </c>
      <c r="E337" t="s">
        <v>593</v>
      </c>
      <c r="F337" t="s">
        <v>678</v>
      </c>
      <c r="G337" t="s">
        <v>646</v>
      </c>
      <c r="H337" t="s">
        <v>642</v>
      </c>
    </row>
    <row r="338" spans="1:8" x14ac:dyDescent="0.25">
      <c r="A338" t="s">
        <v>659</v>
      </c>
      <c r="B338" t="s">
        <v>566</v>
      </c>
      <c r="C338" t="s">
        <v>565</v>
      </c>
      <c r="D338" t="s">
        <v>592</v>
      </c>
      <c r="E338" t="s">
        <v>595</v>
      </c>
      <c r="F338" t="s">
        <v>679</v>
      </c>
      <c r="G338" t="s">
        <v>649</v>
      </c>
      <c r="H338" t="s">
        <v>643</v>
      </c>
    </row>
    <row r="339" spans="1:8" x14ac:dyDescent="0.25">
      <c r="A339" t="s">
        <v>554</v>
      </c>
      <c r="B339" t="s">
        <v>590</v>
      </c>
      <c r="C339" t="s">
        <v>566</v>
      </c>
      <c r="D339" t="s">
        <v>676</v>
      </c>
      <c r="E339" t="s">
        <v>597</v>
      </c>
      <c r="F339" t="s">
        <v>680</v>
      </c>
      <c r="G339" t="s">
        <v>652</v>
      </c>
      <c r="H339" t="s">
        <v>644</v>
      </c>
    </row>
    <row r="340" spans="1:8" x14ac:dyDescent="0.25">
      <c r="A340" t="s">
        <v>555</v>
      </c>
      <c r="B340" t="s">
        <v>681</v>
      </c>
      <c r="C340" t="s">
        <v>590</v>
      </c>
      <c r="D340" t="s">
        <v>593</v>
      </c>
      <c r="E340" t="s">
        <v>598</v>
      </c>
      <c r="F340" t="s">
        <v>682</v>
      </c>
      <c r="G340" t="s">
        <v>653</v>
      </c>
      <c r="H340" t="s">
        <v>645</v>
      </c>
    </row>
    <row r="341" spans="1:8" x14ac:dyDescent="0.25">
      <c r="A341" t="s">
        <v>556</v>
      </c>
      <c r="B341" t="s">
        <v>567</v>
      </c>
      <c r="C341" t="s">
        <v>681</v>
      </c>
      <c r="D341" t="s">
        <v>595</v>
      </c>
      <c r="E341" t="s">
        <v>600</v>
      </c>
      <c r="F341" t="s">
        <v>683</v>
      </c>
      <c r="G341" t="s">
        <v>654</v>
      </c>
      <c r="H341" t="s">
        <v>646</v>
      </c>
    </row>
    <row r="342" spans="1:8" x14ac:dyDescent="0.25">
      <c r="A342" t="s">
        <v>586</v>
      </c>
      <c r="B342" t="s">
        <v>568</v>
      </c>
      <c r="C342" t="s">
        <v>567</v>
      </c>
      <c r="D342" t="s">
        <v>597</v>
      </c>
      <c r="E342" t="s">
        <v>601</v>
      </c>
      <c r="F342" t="s">
        <v>684</v>
      </c>
      <c r="G342" t="s">
        <v>656</v>
      </c>
      <c r="H342" t="s">
        <v>649</v>
      </c>
    </row>
    <row r="343" spans="1:8" x14ac:dyDescent="0.25">
      <c r="A343" t="s">
        <v>558</v>
      </c>
      <c r="B343" t="s">
        <v>594</v>
      </c>
      <c r="C343" t="s">
        <v>568</v>
      </c>
      <c r="D343" t="s">
        <v>598</v>
      </c>
      <c r="E343" t="s">
        <v>602</v>
      </c>
      <c r="F343" t="s">
        <v>685</v>
      </c>
      <c r="G343" t="s">
        <v>658</v>
      </c>
      <c r="H343" t="s">
        <v>653</v>
      </c>
    </row>
    <row r="344" spans="1:8" x14ac:dyDescent="0.25">
      <c r="A344" t="s">
        <v>667</v>
      </c>
      <c r="B344" t="s">
        <v>569</v>
      </c>
      <c r="C344" t="s">
        <v>594</v>
      </c>
      <c r="D344" t="s">
        <v>600</v>
      </c>
      <c r="E344" t="s">
        <v>604</v>
      </c>
      <c r="F344" t="s">
        <v>686</v>
      </c>
      <c r="G344" t="s">
        <v>660</v>
      </c>
      <c r="H344" t="s">
        <v>654</v>
      </c>
    </row>
    <row r="345" spans="1:8" x14ac:dyDescent="0.25">
      <c r="A345" t="s">
        <v>559</v>
      </c>
      <c r="B345" t="s">
        <v>570</v>
      </c>
      <c r="C345" t="s">
        <v>569</v>
      </c>
      <c r="D345" t="s">
        <v>601</v>
      </c>
      <c r="E345" t="s">
        <v>606</v>
      </c>
      <c r="F345" t="s">
        <v>687</v>
      </c>
      <c r="G345" t="s">
        <v>661</v>
      </c>
      <c r="H345" t="s">
        <v>656</v>
      </c>
    </row>
    <row r="346" spans="1:8" x14ac:dyDescent="0.25">
      <c r="A346" t="s">
        <v>560</v>
      </c>
      <c r="B346" t="s">
        <v>648</v>
      </c>
      <c r="C346" t="s">
        <v>570</v>
      </c>
      <c r="D346" t="s">
        <v>602</v>
      </c>
      <c r="E346" t="s">
        <v>631</v>
      </c>
      <c r="F346" t="s">
        <v>688</v>
      </c>
      <c r="G346" t="s">
        <v>662</v>
      </c>
      <c r="H346" t="s">
        <v>658</v>
      </c>
    </row>
    <row r="347" spans="1:8" x14ac:dyDescent="0.25">
      <c r="A347" t="s">
        <v>561</v>
      </c>
      <c r="B347" t="s">
        <v>599</v>
      </c>
      <c r="C347" t="s">
        <v>648</v>
      </c>
      <c r="D347" t="s">
        <v>604</v>
      </c>
      <c r="E347" t="s">
        <v>607</v>
      </c>
      <c r="F347" t="s">
        <v>689</v>
      </c>
      <c r="G347" t="s">
        <v>664</v>
      </c>
      <c r="H347" t="s">
        <v>660</v>
      </c>
    </row>
    <row r="348" spans="1:8" x14ac:dyDescent="0.25">
      <c r="A348" t="s">
        <v>563</v>
      </c>
      <c r="B348" t="s">
        <v>651</v>
      </c>
      <c r="C348" t="s">
        <v>599</v>
      </c>
      <c r="D348" t="s">
        <v>606</v>
      </c>
      <c r="E348" t="s">
        <v>608</v>
      </c>
      <c r="F348" t="s">
        <v>690</v>
      </c>
      <c r="G348" t="s">
        <v>665</v>
      </c>
      <c r="H348" t="s">
        <v>661</v>
      </c>
    </row>
    <row r="349" spans="1:8" x14ac:dyDescent="0.25">
      <c r="A349" t="s">
        <v>564</v>
      </c>
      <c r="B349" t="s">
        <v>571</v>
      </c>
      <c r="C349" t="s">
        <v>651</v>
      </c>
      <c r="D349" t="s">
        <v>607</v>
      </c>
      <c r="E349" t="s">
        <v>611</v>
      </c>
      <c r="F349" t="s">
        <v>691</v>
      </c>
      <c r="G349" t="s">
        <v>666</v>
      </c>
      <c r="H349" t="s">
        <v>692</v>
      </c>
    </row>
    <row r="350" spans="1:8" x14ac:dyDescent="0.25">
      <c r="A350" t="s">
        <v>596</v>
      </c>
      <c r="B350" t="s">
        <v>572</v>
      </c>
      <c r="C350" t="s">
        <v>571</v>
      </c>
      <c r="D350" t="s">
        <v>693</v>
      </c>
      <c r="E350" t="s">
        <v>612</v>
      </c>
      <c r="F350" t="s">
        <v>694</v>
      </c>
      <c r="G350" t="s">
        <v>669</v>
      </c>
      <c r="H350" t="s">
        <v>664</v>
      </c>
    </row>
    <row r="351" spans="1:8" x14ac:dyDescent="0.25">
      <c r="A351" t="s">
        <v>565</v>
      </c>
      <c r="B351" t="s">
        <v>603</v>
      </c>
      <c r="C351" t="s">
        <v>572</v>
      </c>
      <c r="D351" t="s">
        <v>608</v>
      </c>
      <c r="E351" t="s">
        <v>637</v>
      </c>
      <c r="F351" t="s">
        <v>695</v>
      </c>
      <c r="G351" t="s">
        <v>696</v>
      </c>
      <c r="H351" t="s">
        <v>665</v>
      </c>
    </row>
    <row r="352" spans="1:8" x14ac:dyDescent="0.25">
      <c r="A352" t="s">
        <v>566</v>
      </c>
      <c r="B352" t="s">
        <v>574</v>
      </c>
      <c r="C352" t="s">
        <v>603</v>
      </c>
      <c r="D352" t="s">
        <v>611</v>
      </c>
      <c r="E352" t="s">
        <v>613</v>
      </c>
      <c r="F352" t="s">
        <v>697</v>
      </c>
      <c r="G352" t="s">
        <v>670</v>
      </c>
      <c r="H352" t="s">
        <v>666</v>
      </c>
    </row>
    <row r="353" spans="1:8" x14ac:dyDescent="0.25">
      <c r="A353" t="s">
        <v>590</v>
      </c>
      <c r="B353" t="s">
        <v>576</v>
      </c>
      <c r="C353" t="s">
        <v>574</v>
      </c>
      <c r="D353" t="s">
        <v>612</v>
      </c>
      <c r="E353" t="s">
        <v>614</v>
      </c>
      <c r="F353" t="s">
        <v>698</v>
      </c>
      <c r="G353" t="s">
        <v>671</v>
      </c>
      <c r="H353" t="s">
        <v>669</v>
      </c>
    </row>
    <row r="354" spans="1:8" x14ac:dyDescent="0.25">
      <c r="A354" t="s">
        <v>681</v>
      </c>
      <c r="B354" t="s">
        <v>578</v>
      </c>
      <c r="C354" t="s">
        <v>576</v>
      </c>
      <c r="D354" t="s">
        <v>637</v>
      </c>
      <c r="E354" t="s">
        <v>699</v>
      </c>
      <c r="F354" t="s">
        <v>700</v>
      </c>
      <c r="G354" t="s">
        <v>672</v>
      </c>
      <c r="H354" t="s">
        <v>696</v>
      </c>
    </row>
    <row r="355" spans="1:8" x14ac:dyDescent="0.25">
      <c r="A355" t="s">
        <v>567</v>
      </c>
      <c r="B355" t="s">
        <v>579</v>
      </c>
      <c r="C355" t="s">
        <v>578</v>
      </c>
      <c r="D355" t="s">
        <v>613</v>
      </c>
      <c r="E355" t="s">
        <v>615</v>
      </c>
      <c r="F355" t="s">
        <v>701</v>
      </c>
      <c r="G355" t="s">
        <v>673</v>
      </c>
      <c r="H355" t="s">
        <v>670</v>
      </c>
    </row>
    <row r="356" spans="1:8" x14ac:dyDescent="0.25">
      <c r="A356" t="s">
        <v>568</v>
      </c>
      <c r="B356" t="s">
        <v>663</v>
      </c>
      <c r="C356" t="s">
        <v>579</v>
      </c>
      <c r="D356" t="s">
        <v>614</v>
      </c>
      <c r="E356" t="s">
        <v>616</v>
      </c>
      <c r="F356" t="s">
        <v>702</v>
      </c>
      <c r="G356" t="s">
        <v>703</v>
      </c>
      <c r="H356" t="s">
        <v>704</v>
      </c>
    </row>
    <row r="357" spans="1:8" x14ac:dyDescent="0.25">
      <c r="A357" t="s">
        <v>594</v>
      </c>
      <c r="B357" t="s">
        <v>581</v>
      </c>
      <c r="C357" t="s">
        <v>663</v>
      </c>
      <c r="D357" t="s">
        <v>705</v>
      </c>
      <c r="E357" t="s">
        <v>617</v>
      </c>
      <c r="F357" t="s">
        <v>706</v>
      </c>
      <c r="G357" t="s">
        <v>677</v>
      </c>
      <c r="H357" t="s">
        <v>671</v>
      </c>
    </row>
    <row r="358" spans="1:8" x14ac:dyDescent="0.25">
      <c r="A358" t="s">
        <v>569</v>
      </c>
      <c r="B358" t="s">
        <v>582</v>
      </c>
      <c r="C358" t="s">
        <v>581</v>
      </c>
      <c r="D358" t="s">
        <v>699</v>
      </c>
      <c r="E358" t="s">
        <v>619</v>
      </c>
      <c r="F358" t="s">
        <v>707</v>
      </c>
      <c r="G358" t="s">
        <v>679</v>
      </c>
      <c r="H358" t="s">
        <v>672</v>
      </c>
    </row>
    <row r="359" spans="1:8" x14ac:dyDescent="0.25">
      <c r="A359" t="s">
        <v>570</v>
      </c>
      <c r="B359" t="s">
        <v>584</v>
      </c>
      <c r="C359" t="s">
        <v>582</v>
      </c>
      <c r="D359" t="s">
        <v>615</v>
      </c>
      <c r="E359" t="s">
        <v>620</v>
      </c>
      <c r="F359" t="s">
        <v>708</v>
      </c>
      <c r="G359" t="s">
        <v>680</v>
      </c>
      <c r="H359" t="s">
        <v>709</v>
      </c>
    </row>
    <row r="360" spans="1:8" x14ac:dyDescent="0.25">
      <c r="A360" t="s">
        <v>710</v>
      </c>
      <c r="B360" t="s">
        <v>585</v>
      </c>
      <c r="C360" t="s">
        <v>584</v>
      </c>
      <c r="D360" t="s">
        <v>616</v>
      </c>
      <c r="E360" t="s">
        <v>621</v>
      </c>
      <c r="F360" t="s">
        <v>711</v>
      </c>
      <c r="G360" t="s">
        <v>682</v>
      </c>
      <c r="H360" t="s">
        <v>673</v>
      </c>
    </row>
    <row r="361" spans="1:8" x14ac:dyDescent="0.25">
      <c r="A361" t="s">
        <v>648</v>
      </c>
      <c r="B361" t="s">
        <v>587</v>
      </c>
      <c r="C361" t="s">
        <v>585</v>
      </c>
      <c r="D361" t="s">
        <v>617</v>
      </c>
      <c r="E361" t="s">
        <v>622</v>
      </c>
      <c r="F361" t="s">
        <v>712</v>
      </c>
      <c r="G361" t="s">
        <v>713</v>
      </c>
      <c r="H361" t="s">
        <v>703</v>
      </c>
    </row>
    <row r="362" spans="1:8" x14ac:dyDescent="0.25">
      <c r="A362" t="s">
        <v>599</v>
      </c>
      <c r="B362" t="s">
        <v>588</v>
      </c>
      <c r="C362" t="s">
        <v>668</v>
      </c>
      <c r="D362" t="s">
        <v>619</v>
      </c>
      <c r="E362" t="s">
        <v>623</v>
      </c>
      <c r="F362" t="s">
        <v>714</v>
      </c>
      <c r="G362" t="s">
        <v>683</v>
      </c>
      <c r="H362" t="s">
        <v>677</v>
      </c>
    </row>
    <row r="363" spans="1:8" x14ac:dyDescent="0.25">
      <c r="A363" t="s">
        <v>651</v>
      </c>
      <c r="B363" t="s">
        <v>589</v>
      </c>
      <c r="C363" t="s">
        <v>587</v>
      </c>
      <c r="D363" t="s">
        <v>620</v>
      </c>
      <c r="E363" t="s">
        <v>655</v>
      </c>
      <c r="F363" t="s">
        <v>715</v>
      </c>
      <c r="G363" t="s">
        <v>684</v>
      </c>
      <c r="H363" t="s">
        <v>679</v>
      </c>
    </row>
    <row r="364" spans="1:8" x14ac:dyDescent="0.25">
      <c r="A364" t="s">
        <v>571</v>
      </c>
      <c r="B364" t="s">
        <v>675</v>
      </c>
      <c r="C364" t="s">
        <v>588</v>
      </c>
      <c r="D364" t="s">
        <v>621</v>
      </c>
      <c r="E364" t="s">
        <v>624</v>
      </c>
      <c r="F364" t="s">
        <v>716</v>
      </c>
      <c r="G364" t="s">
        <v>685</v>
      </c>
      <c r="H364" t="s">
        <v>680</v>
      </c>
    </row>
    <row r="365" spans="1:8" x14ac:dyDescent="0.25">
      <c r="A365" t="s">
        <v>572</v>
      </c>
      <c r="B365" t="s">
        <v>591</v>
      </c>
      <c r="C365" t="s">
        <v>589</v>
      </c>
      <c r="D365" t="s">
        <v>622</v>
      </c>
      <c r="E365" t="s">
        <v>626</v>
      </c>
      <c r="F365" t="s">
        <v>717</v>
      </c>
      <c r="G365" t="s">
        <v>686</v>
      </c>
      <c r="H365" t="s">
        <v>682</v>
      </c>
    </row>
    <row r="366" spans="1:8" x14ac:dyDescent="0.25">
      <c r="A366" t="s">
        <v>603</v>
      </c>
      <c r="B366" t="s">
        <v>592</v>
      </c>
      <c r="C366" t="s">
        <v>591</v>
      </c>
      <c r="D366" t="s">
        <v>623</v>
      </c>
      <c r="E366" t="s">
        <v>627</v>
      </c>
      <c r="F366" t="s">
        <v>718</v>
      </c>
      <c r="G366" t="s">
        <v>687</v>
      </c>
      <c r="H366" t="s">
        <v>713</v>
      </c>
    </row>
    <row r="367" spans="1:8" x14ac:dyDescent="0.25">
      <c r="A367" t="s">
        <v>574</v>
      </c>
      <c r="B367" t="s">
        <v>676</v>
      </c>
      <c r="C367" t="s">
        <v>592</v>
      </c>
      <c r="D367" t="s">
        <v>624</v>
      </c>
      <c r="E367" t="s">
        <v>719</v>
      </c>
      <c r="F367" t="s">
        <v>720</v>
      </c>
      <c r="G367" t="s">
        <v>721</v>
      </c>
      <c r="H367" t="s">
        <v>684</v>
      </c>
    </row>
    <row r="368" spans="1:8" x14ac:dyDescent="0.25">
      <c r="A368" t="s">
        <v>576</v>
      </c>
      <c r="B368" t="s">
        <v>593</v>
      </c>
      <c r="C368" t="s">
        <v>676</v>
      </c>
      <c r="D368" t="s">
        <v>626</v>
      </c>
      <c r="E368" t="s">
        <v>629</v>
      </c>
      <c r="F368" t="s">
        <v>722</v>
      </c>
      <c r="G368" t="s">
        <v>688</v>
      </c>
      <c r="H368" t="s">
        <v>685</v>
      </c>
    </row>
    <row r="369" spans="1:8" x14ac:dyDescent="0.25">
      <c r="A369" t="s">
        <v>578</v>
      </c>
      <c r="B369" t="s">
        <v>595</v>
      </c>
      <c r="C369" t="s">
        <v>593</v>
      </c>
      <c r="D369" t="s">
        <v>627</v>
      </c>
      <c r="E369" t="s">
        <v>657</v>
      </c>
      <c r="F369" t="s">
        <v>723</v>
      </c>
      <c r="G369" t="s">
        <v>689</v>
      </c>
      <c r="H369" t="s">
        <v>686</v>
      </c>
    </row>
    <row r="370" spans="1:8" x14ac:dyDescent="0.25">
      <c r="A370" t="s">
        <v>579</v>
      </c>
      <c r="B370" t="s">
        <v>597</v>
      </c>
      <c r="C370" t="s">
        <v>595</v>
      </c>
      <c r="D370" t="s">
        <v>719</v>
      </c>
      <c r="E370" t="s">
        <v>630</v>
      </c>
      <c r="F370" t="s">
        <v>724</v>
      </c>
      <c r="G370" t="s">
        <v>690</v>
      </c>
      <c r="H370" t="s">
        <v>687</v>
      </c>
    </row>
    <row r="371" spans="1:8" x14ac:dyDescent="0.25">
      <c r="A371" t="s">
        <v>663</v>
      </c>
      <c r="B371" t="s">
        <v>598</v>
      </c>
      <c r="C371" t="s">
        <v>597</v>
      </c>
      <c r="D371" t="s">
        <v>629</v>
      </c>
      <c r="E371" t="s">
        <v>632</v>
      </c>
      <c r="F371" t="s">
        <v>725</v>
      </c>
      <c r="G371" t="s">
        <v>691</v>
      </c>
      <c r="H371" t="s">
        <v>689</v>
      </c>
    </row>
    <row r="372" spans="1:8" x14ac:dyDescent="0.25">
      <c r="A372" t="s">
        <v>581</v>
      </c>
      <c r="B372" t="s">
        <v>600</v>
      </c>
      <c r="C372" t="s">
        <v>598</v>
      </c>
      <c r="D372" t="s">
        <v>657</v>
      </c>
      <c r="E372" t="s">
        <v>726</v>
      </c>
      <c r="F372" t="s">
        <v>727</v>
      </c>
      <c r="G372" t="s">
        <v>694</v>
      </c>
      <c r="H372" t="s">
        <v>690</v>
      </c>
    </row>
    <row r="373" spans="1:8" x14ac:dyDescent="0.25">
      <c r="A373" t="s">
        <v>582</v>
      </c>
      <c r="B373" t="s">
        <v>601</v>
      </c>
      <c r="C373" t="s">
        <v>600</v>
      </c>
      <c r="D373" t="s">
        <v>630</v>
      </c>
      <c r="E373" t="s">
        <v>728</v>
      </c>
      <c r="F373" t="s">
        <v>729</v>
      </c>
      <c r="G373" t="s">
        <v>695</v>
      </c>
      <c r="H373" t="s">
        <v>691</v>
      </c>
    </row>
    <row r="374" spans="1:8" x14ac:dyDescent="0.25">
      <c r="A374" t="s">
        <v>584</v>
      </c>
      <c r="B374" t="s">
        <v>602</v>
      </c>
      <c r="C374" t="s">
        <v>601</v>
      </c>
      <c r="D374" t="s">
        <v>632</v>
      </c>
      <c r="E374" t="s">
        <v>633</v>
      </c>
      <c r="F374" t="s">
        <v>730</v>
      </c>
      <c r="G374" t="s">
        <v>697</v>
      </c>
      <c r="H374" t="s">
        <v>694</v>
      </c>
    </row>
    <row r="375" spans="1:8" x14ac:dyDescent="0.25">
      <c r="A375" t="s">
        <v>585</v>
      </c>
      <c r="B375" t="s">
        <v>604</v>
      </c>
      <c r="C375" t="s">
        <v>602</v>
      </c>
      <c r="D375" t="s">
        <v>726</v>
      </c>
      <c r="E375" t="s">
        <v>634</v>
      </c>
      <c r="F375" t="s">
        <v>731</v>
      </c>
      <c r="G375" t="s">
        <v>698</v>
      </c>
      <c r="H375" t="s">
        <v>695</v>
      </c>
    </row>
    <row r="376" spans="1:8" x14ac:dyDescent="0.25">
      <c r="A376" t="s">
        <v>668</v>
      </c>
      <c r="B376" t="s">
        <v>606</v>
      </c>
      <c r="C376" t="s">
        <v>604</v>
      </c>
      <c r="D376" t="s">
        <v>728</v>
      </c>
      <c r="E376" t="s">
        <v>635</v>
      </c>
      <c r="F376" t="s">
        <v>732</v>
      </c>
      <c r="G376" t="s">
        <v>700</v>
      </c>
      <c r="H376" t="s">
        <v>733</v>
      </c>
    </row>
    <row r="377" spans="1:8" x14ac:dyDescent="0.25">
      <c r="A377" t="s">
        <v>587</v>
      </c>
      <c r="B377" t="s">
        <v>631</v>
      </c>
      <c r="C377" t="s">
        <v>606</v>
      </c>
      <c r="D377" t="s">
        <v>633</v>
      </c>
      <c r="E377" t="s">
        <v>636</v>
      </c>
      <c r="F377" t="s">
        <v>734</v>
      </c>
      <c r="G377" t="s">
        <v>701</v>
      </c>
      <c r="H377" t="s">
        <v>697</v>
      </c>
    </row>
    <row r="378" spans="1:8" x14ac:dyDescent="0.25">
      <c r="A378" t="s">
        <v>588</v>
      </c>
      <c r="B378" t="s">
        <v>607</v>
      </c>
      <c r="C378" t="s">
        <v>631</v>
      </c>
      <c r="D378" t="s">
        <v>634</v>
      </c>
      <c r="E378" t="s">
        <v>638</v>
      </c>
      <c r="F378" t="s">
        <v>735</v>
      </c>
      <c r="G378" t="s">
        <v>736</v>
      </c>
      <c r="H378" t="s">
        <v>698</v>
      </c>
    </row>
    <row r="379" spans="1:8" x14ac:dyDescent="0.25">
      <c r="A379" t="s">
        <v>589</v>
      </c>
      <c r="B379" t="s">
        <v>693</v>
      </c>
      <c r="C379" t="s">
        <v>607</v>
      </c>
      <c r="D379" t="s">
        <v>635</v>
      </c>
      <c r="E379" t="s">
        <v>639</v>
      </c>
      <c r="F379" t="s">
        <v>737</v>
      </c>
      <c r="G379" t="s">
        <v>738</v>
      </c>
      <c r="H379" t="s">
        <v>700</v>
      </c>
    </row>
    <row r="380" spans="1:8" x14ac:dyDescent="0.25">
      <c r="A380" t="s">
        <v>591</v>
      </c>
      <c r="B380" t="s">
        <v>608</v>
      </c>
      <c r="C380" t="s">
        <v>693</v>
      </c>
      <c r="D380" t="s">
        <v>636</v>
      </c>
      <c r="E380" t="s">
        <v>640</v>
      </c>
      <c r="F380" t="s">
        <v>739</v>
      </c>
      <c r="G380" t="s">
        <v>702</v>
      </c>
      <c r="H380" t="s">
        <v>701</v>
      </c>
    </row>
    <row r="381" spans="1:8" x14ac:dyDescent="0.25">
      <c r="A381" t="s">
        <v>740</v>
      </c>
      <c r="B381" t="s">
        <v>611</v>
      </c>
      <c r="C381" t="s">
        <v>608</v>
      </c>
      <c r="D381" t="s">
        <v>638</v>
      </c>
      <c r="E381" t="s">
        <v>641</v>
      </c>
      <c r="F381" t="s">
        <v>741</v>
      </c>
      <c r="G381" t="s">
        <v>706</v>
      </c>
      <c r="H381" t="s">
        <v>738</v>
      </c>
    </row>
    <row r="382" spans="1:8" x14ac:dyDescent="0.25">
      <c r="A382" t="s">
        <v>592</v>
      </c>
      <c r="B382" t="s">
        <v>612</v>
      </c>
      <c r="C382" t="s">
        <v>611</v>
      </c>
      <c r="D382" t="s">
        <v>639</v>
      </c>
      <c r="E382" t="s">
        <v>642</v>
      </c>
      <c r="F382" t="s">
        <v>742</v>
      </c>
      <c r="G382" t="s">
        <v>707</v>
      </c>
      <c r="H382" t="s">
        <v>702</v>
      </c>
    </row>
    <row r="383" spans="1:8" x14ac:dyDescent="0.25">
      <c r="A383" t="s">
        <v>676</v>
      </c>
      <c r="B383" t="s">
        <v>637</v>
      </c>
      <c r="C383" t="s">
        <v>612</v>
      </c>
      <c r="D383" t="s">
        <v>640</v>
      </c>
      <c r="E383" t="s">
        <v>643</v>
      </c>
      <c r="F383" t="s">
        <v>743</v>
      </c>
      <c r="G383" t="s">
        <v>708</v>
      </c>
      <c r="H383" t="s">
        <v>744</v>
      </c>
    </row>
    <row r="384" spans="1:8" x14ac:dyDescent="0.25">
      <c r="A384" t="s">
        <v>593</v>
      </c>
      <c r="B384" t="s">
        <v>613</v>
      </c>
      <c r="C384" t="s">
        <v>637</v>
      </c>
      <c r="D384" t="s">
        <v>641</v>
      </c>
      <c r="E384" t="s">
        <v>644</v>
      </c>
      <c r="F384" t="s">
        <v>745</v>
      </c>
      <c r="G384" t="s">
        <v>746</v>
      </c>
      <c r="H384" t="s">
        <v>706</v>
      </c>
    </row>
    <row r="385" spans="1:8" x14ac:dyDescent="0.25">
      <c r="A385" t="s">
        <v>595</v>
      </c>
      <c r="B385" t="s">
        <v>614</v>
      </c>
      <c r="C385" t="s">
        <v>747</v>
      </c>
      <c r="D385" t="s">
        <v>642</v>
      </c>
      <c r="E385" t="s">
        <v>645</v>
      </c>
      <c r="F385" t="s">
        <v>748</v>
      </c>
      <c r="G385" t="s">
        <v>711</v>
      </c>
      <c r="H385" t="s">
        <v>707</v>
      </c>
    </row>
    <row r="386" spans="1:8" x14ac:dyDescent="0.25">
      <c r="A386" t="s">
        <v>597</v>
      </c>
      <c r="B386" t="s">
        <v>705</v>
      </c>
      <c r="C386" t="s">
        <v>613</v>
      </c>
      <c r="D386" t="s">
        <v>643</v>
      </c>
      <c r="E386" t="s">
        <v>646</v>
      </c>
      <c r="F386" t="s">
        <v>749</v>
      </c>
      <c r="G386" t="s">
        <v>712</v>
      </c>
      <c r="H386" t="s">
        <v>708</v>
      </c>
    </row>
    <row r="387" spans="1:8" x14ac:dyDescent="0.25">
      <c r="A387" t="s">
        <v>598</v>
      </c>
      <c r="B387" t="s">
        <v>699</v>
      </c>
      <c r="C387" t="s">
        <v>614</v>
      </c>
      <c r="D387" t="s">
        <v>644</v>
      </c>
      <c r="E387" t="s">
        <v>750</v>
      </c>
      <c r="F387" t="s">
        <v>751</v>
      </c>
      <c r="G387" t="s">
        <v>714</v>
      </c>
      <c r="H387" t="s">
        <v>746</v>
      </c>
    </row>
    <row r="388" spans="1:8" x14ac:dyDescent="0.25">
      <c r="A388" t="s">
        <v>600</v>
      </c>
      <c r="B388" t="s">
        <v>615</v>
      </c>
      <c r="C388" t="s">
        <v>705</v>
      </c>
      <c r="D388" t="s">
        <v>645</v>
      </c>
      <c r="E388" t="s">
        <v>647</v>
      </c>
      <c r="F388" t="s">
        <v>752</v>
      </c>
      <c r="G388" t="s">
        <v>715</v>
      </c>
      <c r="H388" t="s">
        <v>711</v>
      </c>
    </row>
    <row r="389" spans="1:8" x14ac:dyDescent="0.25">
      <c r="A389" t="s">
        <v>601</v>
      </c>
      <c r="B389" t="s">
        <v>616</v>
      </c>
      <c r="C389" t="s">
        <v>699</v>
      </c>
      <c r="D389" t="s">
        <v>646</v>
      </c>
      <c r="E389" t="s">
        <v>649</v>
      </c>
      <c r="F389" t="s">
        <v>753</v>
      </c>
      <c r="G389" t="s">
        <v>716</v>
      </c>
      <c r="H389" t="s">
        <v>712</v>
      </c>
    </row>
    <row r="390" spans="1:8" x14ac:dyDescent="0.25">
      <c r="A390" t="s">
        <v>602</v>
      </c>
      <c r="B390" t="s">
        <v>617</v>
      </c>
      <c r="C390" t="s">
        <v>615</v>
      </c>
      <c r="D390" t="s">
        <v>647</v>
      </c>
      <c r="E390" t="s">
        <v>652</v>
      </c>
      <c r="F390" t="s">
        <v>754</v>
      </c>
      <c r="G390" t="s">
        <v>717</v>
      </c>
      <c r="H390" t="s">
        <v>714</v>
      </c>
    </row>
    <row r="391" spans="1:8" x14ac:dyDescent="0.25">
      <c r="A391" t="s">
        <v>604</v>
      </c>
      <c r="B391" t="s">
        <v>619</v>
      </c>
      <c r="C391" t="s">
        <v>616</v>
      </c>
      <c r="D391" t="s">
        <v>649</v>
      </c>
      <c r="E391" t="s">
        <v>653</v>
      </c>
      <c r="F391" t="s">
        <v>755</v>
      </c>
      <c r="G391" t="s">
        <v>718</v>
      </c>
      <c r="H391" t="s">
        <v>715</v>
      </c>
    </row>
    <row r="392" spans="1:8" x14ac:dyDescent="0.25">
      <c r="A392" t="s">
        <v>606</v>
      </c>
      <c r="B392" t="s">
        <v>620</v>
      </c>
      <c r="C392" t="s">
        <v>617</v>
      </c>
      <c r="D392" t="s">
        <v>652</v>
      </c>
      <c r="E392" t="s">
        <v>654</v>
      </c>
      <c r="F392" t="s">
        <v>756</v>
      </c>
      <c r="G392" t="s">
        <v>720</v>
      </c>
      <c r="H392" t="s">
        <v>716</v>
      </c>
    </row>
    <row r="393" spans="1:8" x14ac:dyDescent="0.25">
      <c r="A393" t="s">
        <v>631</v>
      </c>
      <c r="B393" t="s">
        <v>621</v>
      </c>
      <c r="C393" t="s">
        <v>619</v>
      </c>
      <c r="D393" t="s">
        <v>653</v>
      </c>
      <c r="E393" t="s">
        <v>656</v>
      </c>
      <c r="F393" t="s">
        <v>757</v>
      </c>
      <c r="G393" t="s">
        <v>758</v>
      </c>
      <c r="H393" t="s">
        <v>717</v>
      </c>
    </row>
    <row r="394" spans="1:8" x14ac:dyDescent="0.25">
      <c r="A394" t="s">
        <v>607</v>
      </c>
      <c r="B394" t="s">
        <v>622</v>
      </c>
      <c r="C394" t="s">
        <v>620</v>
      </c>
      <c r="D394" t="s">
        <v>654</v>
      </c>
      <c r="E394" t="s">
        <v>658</v>
      </c>
      <c r="F394" t="s">
        <v>759</v>
      </c>
      <c r="G394" t="s">
        <v>722</v>
      </c>
      <c r="H394" t="s">
        <v>720</v>
      </c>
    </row>
    <row r="395" spans="1:8" x14ac:dyDescent="0.25">
      <c r="A395" t="s">
        <v>693</v>
      </c>
      <c r="B395" t="s">
        <v>623</v>
      </c>
      <c r="C395" t="s">
        <v>621</v>
      </c>
      <c r="D395" t="s">
        <v>656</v>
      </c>
      <c r="E395" t="s">
        <v>660</v>
      </c>
      <c r="F395" t="s">
        <v>760</v>
      </c>
      <c r="G395" t="s">
        <v>723</v>
      </c>
      <c r="H395" t="s">
        <v>722</v>
      </c>
    </row>
    <row r="396" spans="1:8" x14ac:dyDescent="0.25">
      <c r="A396" t="s">
        <v>608</v>
      </c>
      <c r="B396" t="s">
        <v>655</v>
      </c>
      <c r="C396" t="s">
        <v>622</v>
      </c>
      <c r="D396" t="s">
        <v>658</v>
      </c>
      <c r="E396" t="s">
        <v>661</v>
      </c>
      <c r="F396" t="s">
        <v>761</v>
      </c>
      <c r="G396" t="s">
        <v>724</v>
      </c>
      <c r="H396" t="s">
        <v>723</v>
      </c>
    </row>
    <row r="397" spans="1:8" x14ac:dyDescent="0.25">
      <c r="A397" t="s">
        <v>611</v>
      </c>
      <c r="B397" t="s">
        <v>624</v>
      </c>
      <c r="C397" t="s">
        <v>623</v>
      </c>
      <c r="D397" t="s">
        <v>660</v>
      </c>
      <c r="E397" t="s">
        <v>692</v>
      </c>
      <c r="F397" t="s">
        <v>762</v>
      </c>
      <c r="G397" t="s">
        <v>763</v>
      </c>
      <c r="H397" t="s">
        <v>724</v>
      </c>
    </row>
    <row r="398" spans="1:8" x14ac:dyDescent="0.25">
      <c r="A398" t="s">
        <v>612</v>
      </c>
      <c r="B398" t="s">
        <v>626</v>
      </c>
      <c r="C398" t="s">
        <v>655</v>
      </c>
      <c r="D398" t="s">
        <v>661</v>
      </c>
      <c r="E398" t="s">
        <v>662</v>
      </c>
      <c r="F398" t="s">
        <v>764</v>
      </c>
      <c r="G398" t="s">
        <v>725</v>
      </c>
      <c r="H398" t="s">
        <v>725</v>
      </c>
    </row>
    <row r="399" spans="1:8" x14ac:dyDescent="0.25">
      <c r="A399" t="s">
        <v>637</v>
      </c>
      <c r="B399" t="s">
        <v>627</v>
      </c>
      <c r="C399" t="s">
        <v>624</v>
      </c>
      <c r="D399" t="s">
        <v>692</v>
      </c>
      <c r="E399" t="s">
        <v>664</v>
      </c>
      <c r="F399" t="s">
        <v>765</v>
      </c>
      <c r="G399" t="s">
        <v>766</v>
      </c>
      <c r="H399" t="s">
        <v>766</v>
      </c>
    </row>
    <row r="400" spans="1:8" x14ac:dyDescent="0.25">
      <c r="A400" t="s">
        <v>767</v>
      </c>
      <c r="B400" t="s">
        <v>719</v>
      </c>
      <c r="C400" t="s">
        <v>626</v>
      </c>
      <c r="D400" t="s">
        <v>662</v>
      </c>
      <c r="E400" t="s">
        <v>665</v>
      </c>
      <c r="F400" t="s">
        <v>768</v>
      </c>
      <c r="G400" t="s">
        <v>727</v>
      </c>
      <c r="H400" t="s">
        <v>727</v>
      </c>
    </row>
    <row r="401" spans="1:8" x14ac:dyDescent="0.25">
      <c r="A401" t="s">
        <v>747</v>
      </c>
      <c r="B401" t="s">
        <v>629</v>
      </c>
      <c r="C401" t="s">
        <v>627</v>
      </c>
      <c r="D401" t="s">
        <v>664</v>
      </c>
      <c r="E401" t="s">
        <v>666</v>
      </c>
      <c r="F401" t="s">
        <v>769</v>
      </c>
      <c r="G401" t="s">
        <v>729</v>
      </c>
      <c r="H401" t="s">
        <v>729</v>
      </c>
    </row>
    <row r="402" spans="1:8" x14ac:dyDescent="0.25">
      <c r="A402" t="s">
        <v>613</v>
      </c>
      <c r="B402" t="s">
        <v>657</v>
      </c>
      <c r="C402" t="s">
        <v>719</v>
      </c>
      <c r="D402" t="s">
        <v>665</v>
      </c>
      <c r="E402" t="s">
        <v>669</v>
      </c>
      <c r="F402" t="s">
        <v>770</v>
      </c>
      <c r="G402" t="s">
        <v>730</v>
      </c>
      <c r="H402" t="s">
        <v>730</v>
      </c>
    </row>
    <row r="403" spans="1:8" x14ac:dyDescent="0.25">
      <c r="A403" t="s">
        <v>614</v>
      </c>
      <c r="B403" t="s">
        <v>630</v>
      </c>
      <c r="C403" t="s">
        <v>629</v>
      </c>
      <c r="D403" t="s">
        <v>666</v>
      </c>
      <c r="E403" t="s">
        <v>771</v>
      </c>
      <c r="F403" t="s">
        <v>772</v>
      </c>
      <c r="G403" t="s">
        <v>731</v>
      </c>
      <c r="H403" t="s">
        <v>731</v>
      </c>
    </row>
    <row r="404" spans="1:8" x14ac:dyDescent="0.25">
      <c r="A404" t="s">
        <v>705</v>
      </c>
      <c r="B404" t="s">
        <v>773</v>
      </c>
      <c r="C404" t="s">
        <v>657</v>
      </c>
      <c r="D404" t="s">
        <v>669</v>
      </c>
      <c r="E404" t="s">
        <v>696</v>
      </c>
      <c r="F404" t="s">
        <v>774</v>
      </c>
      <c r="G404" t="s">
        <v>732</v>
      </c>
      <c r="H404" t="s">
        <v>732</v>
      </c>
    </row>
    <row r="405" spans="1:8" x14ac:dyDescent="0.25">
      <c r="A405" t="s">
        <v>699</v>
      </c>
      <c r="B405" t="s">
        <v>632</v>
      </c>
      <c r="C405" t="s">
        <v>630</v>
      </c>
      <c r="D405" t="s">
        <v>771</v>
      </c>
      <c r="E405" t="s">
        <v>670</v>
      </c>
      <c r="F405" t="s">
        <v>775</v>
      </c>
      <c r="G405" t="s">
        <v>734</v>
      </c>
      <c r="H405" t="s">
        <v>734</v>
      </c>
    </row>
    <row r="406" spans="1:8" x14ac:dyDescent="0.25">
      <c r="A406" t="s">
        <v>615</v>
      </c>
      <c r="B406" t="s">
        <v>726</v>
      </c>
      <c r="C406" t="s">
        <v>773</v>
      </c>
      <c r="D406" t="s">
        <v>696</v>
      </c>
      <c r="E406" t="s">
        <v>776</v>
      </c>
      <c r="F406" t="s">
        <v>777</v>
      </c>
      <c r="G406" t="s">
        <v>735</v>
      </c>
      <c r="H406" t="s">
        <v>735</v>
      </c>
    </row>
    <row r="407" spans="1:8" x14ac:dyDescent="0.25">
      <c r="A407" t="s">
        <v>616</v>
      </c>
      <c r="B407" t="s">
        <v>778</v>
      </c>
      <c r="C407" t="s">
        <v>632</v>
      </c>
      <c r="D407" t="s">
        <v>670</v>
      </c>
      <c r="E407" t="s">
        <v>704</v>
      </c>
      <c r="F407" t="s">
        <v>779</v>
      </c>
      <c r="G407" t="s">
        <v>737</v>
      </c>
      <c r="H407" t="s">
        <v>780</v>
      </c>
    </row>
    <row r="408" spans="1:8" x14ac:dyDescent="0.25">
      <c r="A408" t="s">
        <v>617</v>
      </c>
      <c r="B408" t="s">
        <v>728</v>
      </c>
      <c r="C408" t="s">
        <v>726</v>
      </c>
      <c r="D408" t="s">
        <v>776</v>
      </c>
      <c r="E408" t="s">
        <v>671</v>
      </c>
      <c r="F408" t="s">
        <v>781</v>
      </c>
      <c r="G408" t="s">
        <v>739</v>
      </c>
      <c r="H408" t="s">
        <v>737</v>
      </c>
    </row>
    <row r="409" spans="1:8" x14ac:dyDescent="0.25">
      <c r="A409" t="s">
        <v>619</v>
      </c>
      <c r="B409" t="s">
        <v>633</v>
      </c>
      <c r="C409" t="s">
        <v>778</v>
      </c>
      <c r="D409" t="s">
        <v>671</v>
      </c>
      <c r="E409" t="s">
        <v>672</v>
      </c>
      <c r="F409" t="s">
        <v>782</v>
      </c>
      <c r="G409" t="s">
        <v>741</v>
      </c>
      <c r="H409" t="s">
        <v>739</v>
      </c>
    </row>
    <row r="410" spans="1:8" x14ac:dyDescent="0.25">
      <c r="A410" t="s">
        <v>620</v>
      </c>
      <c r="B410" t="s">
        <v>634</v>
      </c>
      <c r="C410" t="s">
        <v>728</v>
      </c>
      <c r="D410" t="s">
        <v>672</v>
      </c>
      <c r="E410" t="s">
        <v>673</v>
      </c>
      <c r="F410" t="s">
        <v>783</v>
      </c>
      <c r="G410" t="s">
        <v>742</v>
      </c>
      <c r="H410" t="s">
        <v>741</v>
      </c>
    </row>
    <row r="411" spans="1:8" x14ac:dyDescent="0.25">
      <c r="A411" t="s">
        <v>621</v>
      </c>
      <c r="B411" t="s">
        <v>635</v>
      </c>
      <c r="C411" t="s">
        <v>633</v>
      </c>
      <c r="D411" t="s">
        <v>673</v>
      </c>
      <c r="E411" t="s">
        <v>703</v>
      </c>
      <c r="F411" t="s">
        <v>784</v>
      </c>
      <c r="G411" t="s">
        <v>743</v>
      </c>
      <c r="H411" t="s">
        <v>742</v>
      </c>
    </row>
    <row r="412" spans="1:8" x14ac:dyDescent="0.25">
      <c r="A412" t="s">
        <v>785</v>
      </c>
      <c r="B412" t="s">
        <v>636</v>
      </c>
      <c r="C412" t="s">
        <v>634</v>
      </c>
      <c r="D412" t="s">
        <v>703</v>
      </c>
      <c r="E412" t="s">
        <v>677</v>
      </c>
      <c r="F412" t="s">
        <v>786</v>
      </c>
      <c r="G412" t="s">
        <v>787</v>
      </c>
      <c r="H412" t="s">
        <v>743</v>
      </c>
    </row>
    <row r="413" spans="1:8" x14ac:dyDescent="0.25">
      <c r="A413" t="s">
        <v>622</v>
      </c>
      <c r="B413" t="s">
        <v>638</v>
      </c>
      <c r="C413" t="s">
        <v>635</v>
      </c>
      <c r="D413" t="s">
        <v>677</v>
      </c>
      <c r="E413" t="s">
        <v>678</v>
      </c>
      <c r="F413" t="s">
        <v>788</v>
      </c>
      <c r="G413" t="s">
        <v>745</v>
      </c>
      <c r="H413" t="s">
        <v>745</v>
      </c>
    </row>
    <row r="414" spans="1:8" x14ac:dyDescent="0.25">
      <c r="A414" t="s">
        <v>623</v>
      </c>
      <c r="B414" t="s">
        <v>639</v>
      </c>
      <c r="C414" t="s">
        <v>636</v>
      </c>
      <c r="D414" t="s">
        <v>678</v>
      </c>
      <c r="E414" t="s">
        <v>679</v>
      </c>
      <c r="F414" t="s">
        <v>789</v>
      </c>
      <c r="G414" t="s">
        <v>748</v>
      </c>
      <c r="H414" t="s">
        <v>748</v>
      </c>
    </row>
    <row r="415" spans="1:8" x14ac:dyDescent="0.25">
      <c r="A415" t="s">
        <v>655</v>
      </c>
      <c r="B415" t="s">
        <v>640</v>
      </c>
      <c r="C415" t="s">
        <v>638</v>
      </c>
      <c r="D415" t="s">
        <v>679</v>
      </c>
      <c r="E415" t="s">
        <v>790</v>
      </c>
      <c r="F415" t="s">
        <v>791</v>
      </c>
      <c r="G415" t="s">
        <v>749</v>
      </c>
      <c r="H415" t="s">
        <v>749</v>
      </c>
    </row>
    <row r="416" spans="1:8" x14ac:dyDescent="0.25">
      <c r="A416" t="s">
        <v>624</v>
      </c>
      <c r="B416" t="s">
        <v>641</v>
      </c>
      <c r="C416" t="s">
        <v>639</v>
      </c>
      <c r="D416" t="s">
        <v>680</v>
      </c>
      <c r="E416" t="s">
        <v>680</v>
      </c>
      <c r="F416" t="s">
        <v>792</v>
      </c>
      <c r="G416" t="s">
        <v>751</v>
      </c>
      <c r="H416" t="s">
        <v>751</v>
      </c>
    </row>
    <row r="417" spans="1:8" x14ac:dyDescent="0.25">
      <c r="A417" t="s">
        <v>626</v>
      </c>
      <c r="B417" t="s">
        <v>642</v>
      </c>
      <c r="C417" t="s">
        <v>640</v>
      </c>
      <c r="D417" t="s">
        <v>793</v>
      </c>
      <c r="E417" t="s">
        <v>793</v>
      </c>
      <c r="F417" t="s">
        <v>794</v>
      </c>
      <c r="G417" t="s">
        <v>752</v>
      </c>
      <c r="H417" t="s">
        <v>795</v>
      </c>
    </row>
    <row r="418" spans="1:8" x14ac:dyDescent="0.25">
      <c r="A418" t="s">
        <v>627</v>
      </c>
      <c r="B418" t="s">
        <v>643</v>
      </c>
      <c r="C418" t="s">
        <v>641</v>
      </c>
      <c r="D418" t="s">
        <v>682</v>
      </c>
      <c r="E418" t="s">
        <v>682</v>
      </c>
      <c r="F418" t="s">
        <v>796</v>
      </c>
      <c r="G418" t="s">
        <v>753</v>
      </c>
      <c r="H418" t="s">
        <v>753</v>
      </c>
    </row>
    <row r="419" spans="1:8" x14ac:dyDescent="0.25">
      <c r="A419" t="s">
        <v>719</v>
      </c>
      <c r="B419" t="s">
        <v>797</v>
      </c>
      <c r="C419" t="s">
        <v>642</v>
      </c>
      <c r="D419" t="s">
        <v>713</v>
      </c>
      <c r="E419" t="s">
        <v>683</v>
      </c>
      <c r="F419" t="s">
        <v>798</v>
      </c>
      <c r="G419" t="s">
        <v>754</v>
      </c>
      <c r="H419" t="s">
        <v>754</v>
      </c>
    </row>
    <row r="420" spans="1:8" x14ac:dyDescent="0.25">
      <c r="A420" t="s">
        <v>629</v>
      </c>
      <c r="B420" t="s">
        <v>644</v>
      </c>
      <c r="C420" t="s">
        <v>643</v>
      </c>
      <c r="D420" t="s">
        <v>683</v>
      </c>
      <c r="E420" t="s">
        <v>684</v>
      </c>
      <c r="F420" t="s">
        <v>799</v>
      </c>
      <c r="G420" t="s">
        <v>800</v>
      </c>
      <c r="H420" t="s">
        <v>800</v>
      </c>
    </row>
    <row r="421" spans="1:8" x14ac:dyDescent="0.25">
      <c r="A421" t="s">
        <v>657</v>
      </c>
      <c r="B421" t="s">
        <v>645</v>
      </c>
      <c r="C421" t="s">
        <v>797</v>
      </c>
      <c r="D421" t="s">
        <v>684</v>
      </c>
      <c r="E421" t="s">
        <v>801</v>
      </c>
      <c r="F421" t="s">
        <v>802</v>
      </c>
      <c r="G421" t="s">
        <v>755</v>
      </c>
      <c r="H421" t="s">
        <v>755</v>
      </c>
    </row>
    <row r="422" spans="1:8" x14ac:dyDescent="0.25">
      <c r="A422" t="s">
        <v>630</v>
      </c>
      <c r="B422" t="s">
        <v>646</v>
      </c>
      <c r="C422" t="s">
        <v>644</v>
      </c>
      <c r="D422" t="s">
        <v>801</v>
      </c>
      <c r="E422" t="s">
        <v>685</v>
      </c>
      <c r="F422" t="s">
        <v>803</v>
      </c>
      <c r="G422" t="s">
        <v>756</v>
      </c>
      <c r="H422" t="s">
        <v>756</v>
      </c>
    </row>
    <row r="423" spans="1:8" x14ac:dyDescent="0.25">
      <c r="A423" t="s">
        <v>773</v>
      </c>
      <c r="B423" t="s">
        <v>750</v>
      </c>
      <c r="C423" t="s">
        <v>645</v>
      </c>
      <c r="D423" t="s">
        <v>685</v>
      </c>
      <c r="E423" t="s">
        <v>686</v>
      </c>
      <c r="F423" t="s">
        <v>804</v>
      </c>
      <c r="G423" t="s">
        <v>757</v>
      </c>
      <c r="H423" t="s">
        <v>757</v>
      </c>
    </row>
    <row r="424" spans="1:8" x14ac:dyDescent="0.25">
      <c r="A424" t="s">
        <v>632</v>
      </c>
      <c r="B424" t="s">
        <v>647</v>
      </c>
      <c r="C424" t="s">
        <v>646</v>
      </c>
      <c r="D424" t="s">
        <v>686</v>
      </c>
      <c r="E424" t="s">
        <v>805</v>
      </c>
      <c r="F424" t="s">
        <v>806</v>
      </c>
      <c r="G424" t="s">
        <v>759</v>
      </c>
      <c r="H424" t="s">
        <v>759</v>
      </c>
    </row>
    <row r="425" spans="1:8" x14ac:dyDescent="0.25">
      <c r="A425" t="s">
        <v>726</v>
      </c>
      <c r="B425" t="s">
        <v>649</v>
      </c>
      <c r="C425" t="s">
        <v>750</v>
      </c>
      <c r="D425" t="s">
        <v>805</v>
      </c>
      <c r="E425" t="s">
        <v>687</v>
      </c>
      <c r="F425" t="s">
        <v>807</v>
      </c>
      <c r="G425" t="s">
        <v>760</v>
      </c>
      <c r="H425" t="s">
        <v>760</v>
      </c>
    </row>
    <row r="426" spans="1:8" x14ac:dyDescent="0.25">
      <c r="A426" t="s">
        <v>778</v>
      </c>
      <c r="B426" t="s">
        <v>652</v>
      </c>
      <c r="C426" t="s">
        <v>647</v>
      </c>
      <c r="D426" t="s">
        <v>687</v>
      </c>
      <c r="E426" t="s">
        <v>688</v>
      </c>
      <c r="F426" t="s">
        <v>808</v>
      </c>
      <c r="G426" t="s">
        <v>761</v>
      </c>
      <c r="H426" t="s">
        <v>761</v>
      </c>
    </row>
    <row r="427" spans="1:8" x14ac:dyDescent="0.25">
      <c r="A427" t="s">
        <v>728</v>
      </c>
      <c r="B427" t="s">
        <v>653</v>
      </c>
      <c r="C427" t="s">
        <v>649</v>
      </c>
      <c r="D427" t="s">
        <v>721</v>
      </c>
      <c r="E427" t="s">
        <v>689</v>
      </c>
      <c r="F427" t="s">
        <v>809</v>
      </c>
      <c r="G427" t="s">
        <v>762</v>
      </c>
      <c r="H427" t="s">
        <v>762</v>
      </c>
    </row>
    <row r="428" spans="1:8" x14ac:dyDescent="0.25">
      <c r="A428" t="s">
        <v>633</v>
      </c>
      <c r="B428" t="s">
        <v>654</v>
      </c>
      <c r="C428" t="s">
        <v>652</v>
      </c>
      <c r="D428" t="s">
        <v>688</v>
      </c>
      <c r="E428" t="s">
        <v>690</v>
      </c>
      <c r="F428" t="s">
        <v>810</v>
      </c>
      <c r="G428" t="s">
        <v>764</v>
      </c>
      <c r="H428" t="s">
        <v>811</v>
      </c>
    </row>
    <row r="429" spans="1:8" x14ac:dyDescent="0.25">
      <c r="A429" t="s">
        <v>634</v>
      </c>
      <c r="B429" t="s">
        <v>656</v>
      </c>
      <c r="C429" t="s">
        <v>653</v>
      </c>
      <c r="D429" t="s">
        <v>689</v>
      </c>
      <c r="E429" t="s">
        <v>691</v>
      </c>
      <c r="F429" t="s">
        <v>812</v>
      </c>
      <c r="G429" t="s">
        <v>765</v>
      </c>
      <c r="H429" t="s">
        <v>764</v>
      </c>
    </row>
    <row r="430" spans="1:8" x14ac:dyDescent="0.25">
      <c r="A430" t="s">
        <v>635</v>
      </c>
      <c r="B430" t="s">
        <v>658</v>
      </c>
      <c r="C430" t="s">
        <v>654</v>
      </c>
      <c r="D430" t="s">
        <v>690</v>
      </c>
      <c r="E430" t="s">
        <v>694</v>
      </c>
      <c r="F430" t="s">
        <v>813</v>
      </c>
      <c r="G430" t="s">
        <v>768</v>
      </c>
      <c r="H430" t="s">
        <v>765</v>
      </c>
    </row>
    <row r="431" spans="1:8" x14ac:dyDescent="0.25">
      <c r="A431" t="s">
        <v>636</v>
      </c>
      <c r="B431" t="s">
        <v>660</v>
      </c>
      <c r="C431" t="s">
        <v>656</v>
      </c>
      <c r="D431" t="s">
        <v>691</v>
      </c>
      <c r="E431" t="s">
        <v>695</v>
      </c>
      <c r="F431" t="s">
        <v>814</v>
      </c>
      <c r="G431" t="s">
        <v>769</v>
      </c>
      <c r="H431" t="s">
        <v>768</v>
      </c>
    </row>
    <row r="432" spans="1:8" x14ac:dyDescent="0.25">
      <c r="A432" t="s">
        <v>638</v>
      </c>
      <c r="B432" t="s">
        <v>661</v>
      </c>
      <c r="C432" t="s">
        <v>658</v>
      </c>
      <c r="D432" t="s">
        <v>694</v>
      </c>
      <c r="E432" t="s">
        <v>733</v>
      </c>
      <c r="F432" t="s">
        <v>815</v>
      </c>
      <c r="G432" t="s">
        <v>770</v>
      </c>
      <c r="H432" t="s">
        <v>769</v>
      </c>
    </row>
    <row r="433" spans="1:8" x14ac:dyDescent="0.25">
      <c r="A433" t="s">
        <v>639</v>
      </c>
      <c r="B433" t="s">
        <v>692</v>
      </c>
      <c r="C433" t="s">
        <v>660</v>
      </c>
      <c r="D433" t="s">
        <v>695</v>
      </c>
      <c r="E433" t="s">
        <v>697</v>
      </c>
      <c r="F433" t="s">
        <v>816</v>
      </c>
      <c r="G433" t="s">
        <v>772</v>
      </c>
      <c r="H433" t="s">
        <v>770</v>
      </c>
    </row>
    <row r="434" spans="1:8" x14ac:dyDescent="0.25">
      <c r="A434" t="s">
        <v>640</v>
      </c>
      <c r="B434" t="s">
        <v>662</v>
      </c>
      <c r="C434" t="s">
        <v>661</v>
      </c>
      <c r="D434" t="s">
        <v>733</v>
      </c>
      <c r="E434" t="s">
        <v>698</v>
      </c>
      <c r="F434" t="s">
        <v>817</v>
      </c>
      <c r="G434" t="s">
        <v>774</v>
      </c>
      <c r="H434" t="s">
        <v>772</v>
      </c>
    </row>
    <row r="435" spans="1:8" x14ac:dyDescent="0.25">
      <c r="A435" t="s">
        <v>641</v>
      </c>
      <c r="B435" t="s">
        <v>664</v>
      </c>
      <c r="C435" t="s">
        <v>692</v>
      </c>
      <c r="D435" t="s">
        <v>697</v>
      </c>
      <c r="E435" t="s">
        <v>700</v>
      </c>
      <c r="F435" t="s">
        <v>818</v>
      </c>
      <c r="G435" t="s">
        <v>775</v>
      </c>
      <c r="H435" t="s">
        <v>819</v>
      </c>
    </row>
    <row r="436" spans="1:8" x14ac:dyDescent="0.25">
      <c r="A436" t="s">
        <v>642</v>
      </c>
      <c r="B436" t="s">
        <v>665</v>
      </c>
      <c r="C436" t="s">
        <v>662</v>
      </c>
      <c r="D436" t="s">
        <v>698</v>
      </c>
      <c r="E436" t="s">
        <v>701</v>
      </c>
      <c r="F436" t="s">
        <v>820</v>
      </c>
      <c r="G436" t="s">
        <v>777</v>
      </c>
      <c r="H436" t="s">
        <v>821</v>
      </c>
    </row>
    <row r="437" spans="1:8" x14ac:dyDescent="0.25">
      <c r="A437" t="s">
        <v>643</v>
      </c>
      <c r="B437" t="s">
        <v>666</v>
      </c>
      <c r="C437" t="s">
        <v>664</v>
      </c>
      <c r="D437" t="s">
        <v>700</v>
      </c>
      <c r="E437" t="s">
        <v>736</v>
      </c>
      <c r="F437" t="s">
        <v>822</v>
      </c>
      <c r="G437" t="s">
        <v>779</v>
      </c>
      <c r="H437" t="s">
        <v>775</v>
      </c>
    </row>
    <row r="438" spans="1:8" x14ac:dyDescent="0.25">
      <c r="A438" t="s">
        <v>797</v>
      </c>
      <c r="B438" t="s">
        <v>669</v>
      </c>
      <c r="C438" t="s">
        <v>665</v>
      </c>
      <c r="D438" t="s">
        <v>701</v>
      </c>
      <c r="E438" t="s">
        <v>738</v>
      </c>
      <c r="F438" t="s">
        <v>823</v>
      </c>
      <c r="G438" t="s">
        <v>781</v>
      </c>
      <c r="H438" t="s">
        <v>824</v>
      </c>
    </row>
    <row r="439" spans="1:8" x14ac:dyDescent="0.25">
      <c r="A439" t="s">
        <v>644</v>
      </c>
      <c r="B439" t="s">
        <v>771</v>
      </c>
      <c r="C439" t="s">
        <v>666</v>
      </c>
      <c r="D439" t="s">
        <v>736</v>
      </c>
      <c r="E439" t="s">
        <v>825</v>
      </c>
      <c r="F439" t="s">
        <v>826</v>
      </c>
      <c r="G439" t="s">
        <v>782</v>
      </c>
      <c r="H439" t="s">
        <v>777</v>
      </c>
    </row>
    <row r="440" spans="1:8" x14ac:dyDescent="0.25">
      <c r="A440" t="s">
        <v>645</v>
      </c>
      <c r="B440" t="s">
        <v>696</v>
      </c>
      <c r="C440" t="s">
        <v>669</v>
      </c>
      <c r="D440" t="s">
        <v>738</v>
      </c>
      <c r="E440" t="s">
        <v>702</v>
      </c>
      <c r="F440" t="s">
        <v>827</v>
      </c>
      <c r="G440" t="s">
        <v>783</v>
      </c>
      <c r="H440" t="s">
        <v>779</v>
      </c>
    </row>
    <row r="441" spans="1:8" x14ac:dyDescent="0.25">
      <c r="A441" t="s">
        <v>646</v>
      </c>
      <c r="B441" t="s">
        <v>670</v>
      </c>
      <c r="C441" t="s">
        <v>771</v>
      </c>
      <c r="D441" t="s">
        <v>828</v>
      </c>
      <c r="E441" t="s">
        <v>829</v>
      </c>
      <c r="F441" t="s">
        <v>830</v>
      </c>
      <c r="G441" t="s">
        <v>784</v>
      </c>
      <c r="H441" t="s">
        <v>781</v>
      </c>
    </row>
    <row r="442" spans="1:8" x14ac:dyDescent="0.25">
      <c r="A442" t="s">
        <v>750</v>
      </c>
      <c r="B442" t="s">
        <v>776</v>
      </c>
      <c r="C442" t="s">
        <v>696</v>
      </c>
      <c r="D442" t="s">
        <v>702</v>
      </c>
      <c r="E442" t="s">
        <v>744</v>
      </c>
      <c r="F442" t="s">
        <v>831</v>
      </c>
      <c r="G442" t="s">
        <v>786</v>
      </c>
      <c r="H442" t="s">
        <v>782</v>
      </c>
    </row>
    <row r="443" spans="1:8" x14ac:dyDescent="0.25">
      <c r="A443" t="s">
        <v>647</v>
      </c>
      <c r="B443" t="s">
        <v>704</v>
      </c>
      <c r="C443" t="s">
        <v>670</v>
      </c>
      <c r="D443" t="s">
        <v>829</v>
      </c>
      <c r="E443" t="s">
        <v>706</v>
      </c>
      <c r="F443" t="s">
        <v>832</v>
      </c>
      <c r="G443" t="s">
        <v>788</v>
      </c>
      <c r="H443" t="s">
        <v>783</v>
      </c>
    </row>
    <row r="444" spans="1:8" x14ac:dyDescent="0.25">
      <c r="A444" t="s">
        <v>649</v>
      </c>
      <c r="B444" t="s">
        <v>671</v>
      </c>
      <c r="C444" t="s">
        <v>776</v>
      </c>
      <c r="D444" t="s">
        <v>744</v>
      </c>
      <c r="E444" t="s">
        <v>707</v>
      </c>
      <c r="F444" t="s">
        <v>833</v>
      </c>
      <c r="G444" t="s">
        <v>789</v>
      </c>
      <c r="H444" t="s">
        <v>784</v>
      </c>
    </row>
    <row r="445" spans="1:8" x14ac:dyDescent="0.25">
      <c r="A445" t="s">
        <v>652</v>
      </c>
      <c r="B445" t="s">
        <v>672</v>
      </c>
      <c r="C445" t="s">
        <v>704</v>
      </c>
      <c r="D445" t="s">
        <v>706</v>
      </c>
      <c r="E445" t="s">
        <v>708</v>
      </c>
      <c r="F445" t="s">
        <v>834</v>
      </c>
      <c r="G445" t="s">
        <v>791</v>
      </c>
      <c r="H445" t="s">
        <v>786</v>
      </c>
    </row>
    <row r="446" spans="1:8" x14ac:dyDescent="0.25">
      <c r="A446" t="s">
        <v>653</v>
      </c>
      <c r="B446" t="s">
        <v>709</v>
      </c>
      <c r="C446" t="s">
        <v>671</v>
      </c>
      <c r="D446" t="s">
        <v>707</v>
      </c>
      <c r="E446" t="s">
        <v>711</v>
      </c>
      <c r="F446" t="s">
        <v>835</v>
      </c>
      <c r="G446" t="s">
        <v>792</v>
      </c>
      <c r="H446" t="s">
        <v>788</v>
      </c>
    </row>
    <row r="447" spans="1:8" x14ac:dyDescent="0.25">
      <c r="A447" t="s">
        <v>654</v>
      </c>
      <c r="B447" t="s">
        <v>673</v>
      </c>
      <c r="C447" t="s">
        <v>672</v>
      </c>
      <c r="D447" t="s">
        <v>708</v>
      </c>
      <c r="E447" t="s">
        <v>712</v>
      </c>
      <c r="F447" t="s">
        <v>836</v>
      </c>
      <c r="G447" t="s">
        <v>794</v>
      </c>
      <c r="H447" t="s">
        <v>789</v>
      </c>
    </row>
    <row r="448" spans="1:8" x14ac:dyDescent="0.25">
      <c r="A448" t="s">
        <v>656</v>
      </c>
      <c r="B448" t="s">
        <v>703</v>
      </c>
      <c r="C448" t="s">
        <v>709</v>
      </c>
      <c r="D448" t="s">
        <v>746</v>
      </c>
      <c r="E448" t="s">
        <v>714</v>
      </c>
      <c r="F448" t="s">
        <v>837</v>
      </c>
      <c r="G448" t="s">
        <v>796</v>
      </c>
      <c r="H448" t="s">
        <v>791</v>
      </c>
    </row>
    <row r="449" spans="1:8" x14ac:dyDescent="0.25">
      <c r="A449" t="s">
        <v>658</v>
      </c>
      <c r="B449" t="s">
        <v>677</v>
      </c>
      <c r="C449" t="s">
        <v>673</v>
      </c>
      <c r="D449" t="s">
        <v>711</v>
      </c>
      <c r="E449" t="s">
        <v>715</v>
      </c>
      <c r="F449" t="s">
        <v>838</v>
      </c>
      <c r="G449" t="s">
        <v>798</v>
      </c>
      <c r="H449" t="s">
        <v>792</v>
      </c>
    </row>
    <row r="450" spans="1:8" x14ac:dyDescent="0.25">
      <c r="A450" t="s">
        <v>660</v>
      </c>
      <c r="B450" t="s">
        <v>678</v>
      </c>
      <c r="C450" t="s">
        <v>703</v>
      </c>
      <c r="D450" t="s">
        <v>712</v>
      </c>
      <c r="E450" t="s">
        <v>716</v>
      </c>
      <c r="F450" t="s">
        <v>839</v>
      </c>
      <c r="G450" t="s">
        <v>799</v>
      </c>
      <c r="H450" t="s">
        <v>794</v>
      </c>
    </row>
    <row r="451" spans="1:8" x14ac:dyDescent="0.25">
      <c r="A451" t="s">
        <v>840</v>
      </c>
      <c r="B451" t="s">
        <v>679</v>
      </c>
      <c r="C451" t="s">
        <v>677</v>
      </c>
      <c r="D451" t="s">
        <v>714</v>
      </c>
      <c r="E451" t="s">
        <v>717</v>
      </c>
      <c r="F451" t="s">
        <v>841</v>
      </c>
      <c r="G451" t="s">
        <v>802</v>
      </c>
      <c r="H451" t="s">
        <v>796</v>
      </c>
    </row>
    <row r="452" spans="1:8" x14ac:dyDescent="0.25">
      <c r="A452" t="s">
        <v>661</v>
      </c>
      <c r="B452" t="s">
        <v>790</v>
      </c>
      <c r="C452" t="s">
        <v>678</v>
      </c>
      <c r="D452" t="s">
        <v>715</v>
      </c>
      <c r="E452" t="s">
        <v>720</v>
      </c>
      <c r="F452" t="s">
        <v>842</v>
      </c>
      <c r="G452" t="s">
        <v>843</v>
      </c>
      <c r="H452" t="s">
        <v>798</v>
      </c>
    </row>
    <row r="453" spans="1:8" x14ac:dyDescent="0.25">
      <c r="A453" t="s">
        <v>692</v>
      </c>
      <c r="B453" t="s">
        <v>680</v>
      </c>
      <c r="C453" t="s">
        <v>679</v>
      </c>
      <c r="D453" t="s">
        <v>716</v>
      </c>
      <c r="E453" t="s">
        <v>758</v>
      </c>
      <c r="F453" t="s">
        <v>844</v>
      </c>
      <c r="G453" t="s">
        <v>803</v>
      </c>
      <c r="H453" t="s">
        <v>799</v>
      </c>
    </row>
    <row r="454" spans="1:8" x14ac:dyDescent="0.25">
      <c r="A454" t="s">
        <v>662</v>
      </c>
      <c r="B454" t="s">
        <v>793</v>
      </c>
      <c r="C454" t="s">
        <v>790</v>
      </c>
      <c r="D454" t="s">
        <v>717</v>
      </c>
      <c r="E454" t="s">
        <v>722</v>
      </c>
      <c r="F454" t="s">
        <v>845</v>
      </c>
      <c r="G454" t="s">
        <v>804</v>
      </c>
      <c r="H454" t="s">
        <v>802</v>
      </c>
    </row>
    <row r="455" spans="1:8" x14ac:dyDescent="0.25">
      <c r="A455" t="s">
        <v>664</v>
      </c>
      <c r="B455" t="s">
        <v>682</v>
      </c>
      <c r="C455" t="s">
        <v>680</v>
      </c>
      <c r="D455" t="s">
        <v>720</v>
      </c>
      <c r="E455" t="s">
        <v>723</v>
      </c>
      <c r="F455" t="s">
        <v>846</v>
      </c>
      <c r="G455" t="s">
        <v>806</v>
      </c>
      <c r="H455" t="s">
        <v>803</v>
      </c>
    </row>
    <row r="456" spans="1:8" x14ac:dyDescent="0.25">
      <c r="A456" t="s">
        <v>665</v>
      </c>
      <c r="B456" t="s">
        <v>713</v>
      </c>
      <c r="C456" t="s">
        <v>793</v>
      </c>
      <c r="D456" t="s">
        <v>758</v>
      </c>
      <c r="E456" t="s">
        <v>724</v>
      </c>
      <c r="F456" t="s">
        <v>847</v>
      </c>
      <c r="G456" t="s">
        <v>807</v>
      </c>
      <c r="H456" t="s">
        <v>804</v>
      </c>
    </row>
    <row r="457" spans="1:8" x14ac:dyDescent="0.25">
      <c r="A457" t="s">
        <v>666</v>
      </c>
      <c r="B457" t="s">
        <v>683</v>
      </c>
      <c r="C457" t="s">
        <v>682</v>
      </c>
      <c r="D457" t="s">
        <v>722</v>
      </c>
      <c r="E457" t="s">
        <v>763</v>
      </c>
      <c r="F457" t="s">
        <v>848</v>
      </c>
      <c r="G457" t="s">
        <v>808</v>
      </c>
      <c r="H457" t="s">
        <v>806</v>
      </c>
    </row>
    <row r="458" spans="1:8" x14ac:dyDescent="0.25">
      <c r="A458" t="s">
        <v>669</v>
      </c>
      <c r="B458" t="s">
        <v>684</v>
      </c>
      <c r="C458" t="s">
        <v>713</v>
      </c>
      <c r="D458" t="s">
        <v>723</v>
      </c>
      <c r="E458" t="s">
        <v>725</v>
      </c>
      <c r="F458" t="s">
        <v>849</v>
      </c>
      <c r="G458" t="s">
        <v>809</v>
      </c>
      <c r="H458" t="s">
        <v>807</v>
      </c>
    </row>
    <row r="459" spans="1:8" x14ac:dyDescent="0.25">
      <c r="A459" t="s">
        <v>771</v>
      </c>
      <c r="B459" t="s">
        <v>801</v>
      </c>
      <c r="C459" t="s">
        <v>683</v>
      </c>
      <c r="D459" t="s">
        <v>724</v>
      </c>
      <c r="E459" t="s">
        <v>766</v>
      </c>
      <c r="F459" t="s">
        <v>850</v>
      </c>
      <c r="G459" t="s">
        <v>810</v>
      </c>
      <c r="H459" t="s">
        <v>808</v>
      </c>
    </row>
    <row r="460" spans="1:8" x14ac:dyDescent="0.25">
      <c r="A460" t="s">
        <v>696</v>
      </c>
      <c r="B460" t="s">
        <v>685</v>
      </c>
      <c r="C460" t="s">
        <v>684</v>
      </c>
      <c r="D460" t="s">
        <v>763</v>
      </c>
      <c r="E460" t="s">
        <v>727</v>
      </c>
      <c r="F460" t="s">
        <v>851</v>
      </c>
      <c r="G460" t="s">
        <v>812</v>
      </c>
      <c r="H460" t="s">
        <v>809</v>
      </c>
    </row>
    <row r="461" spans="1:8" x14ac:dyDescent="0.25">
      <c r="A461" t="s">
        <v>670</v>
      </c>
      <c r="B461" t="s">
        <v>852</v>
      </c>
      <c r="C461" t="s">
        <v>801</v>
      </c>
      <c r="D461" t="s">
        <v>725</v>
      </c>
      <c r="E461" t="s">
        <v>729</v>
      </c>
      <c r="F461" t="s">
        <v>853</v>
      </c>
      <c r="G461" t="s">
        <v>813</v>
      </c>
      <c r="H461" t="s">
        <v>810</v>
      </c>
    </row>
    <row r="462" spans="1:8" x14ac:dyDescent="0.25">
      <c r="A462" t="s">
        <v>776</v>
      </c>
      <c r="B462" t="s">
        <v>686</v>
      </c>
      <c r="C462" t="s">
        <v>685</v>
      </c>
      <c r="D462" t="s">
        <v>727</v>
      </c>
      <c r="E462" t="s">
        <v>730</v>
      </c>
      <c r="F462" t="s">
        <v>854</v>
      </c>
      <c r="G462" t="s">
        <v>814</v>
      </c>
      <c r="H462" t="s">
        <v>812</v>
      </c>
    </row>
    <row r="463" spans="1:8" x14ac:dyDescent="0.25">
      <c r="A463" t="s">
        <v>704</v>
      </c>
      <c r="B463" t="s">
        <v>805</v>
      </c>
      <c r="C463" t="s">
        <v>686</v>
      </c>
      <c r="D463" t="s">
        <v>729</v>
      </c>
      <c r="E463" t="s">
        <v>731</v>
      </c>
      <c r="F463" t="s">
        <v>855</v>
      </c>
      <c r="G463" t="s">
        <v>815</v>
      </c>
      <c r="H463" t="s">
        <v>813</v>
      </c>
    </row>
    <row r="464" spans="1:8" x14ac:dyDescent="0.25">
      <c r="A464" t="s">
        <v>671</v>
      </c>
      <c r="B464" t="s">
        <v>687</v>
      </c>
      <c r="C464" t="s">
        <v>805</v>
      </c>
      <c r="D464" t="s">
        <v>856</v>
      </c>
      <c r="E464" t="s">
        <v>732</v>
      </c>
      <c r="F464" t="s">
        <v>857</v>
      </c>
      <c r="G464" t="s">
        <v>816</v>
      </c>
      <c r="H464" t="s">
        <v>814</v>
      </c>
    </row>
    <row r="465" spans="1:8" x14ac:dyDescent="0.25">
      <c r="A465" t="s">
        <v>672</v>
      </c>
      <c r="B465" t="s">
        <v>721</v>
      </c>
      <c r="C465" t="s">
        <v>687</v>
      </c>
      <c r="D465" t="s">
        <v>730</v>
      </c>
      <c r="E465" t="s">
        <v>734</v>
      </c>
      <c r="F465" t="s">
        <v>858</v>
      </c>
      <c r="G465" t="s">
        <v>817</v>
      </c>
      <c r="H465" t="s">
        <v>815</v>
      </c>
    </row>
    <row r="466" spans="1:8" x14ac:dyDescent="0.25">
      <c r="A466" t="s">
        <v>709</v>
      </c>
      <c r="B466" t="s">
        <v>688</v>
      </c>
      <c r="C466" t="s">
        <v>859</v>
      </c>
      <c r="D466" t="s">
        <v>731</v>
      </c>
      <c r="E466" t="s">
        <v>860</v>
      </c>
      <c r="F466" t="s">
        <v>861</v>
      </c>
      <c r="G466" t="s">
        <v>818</v>
      </c>
      <c r="H466" t="s">
        <v>816</v>
      </c>
    </row>
    <row r="467" spans="1:8" x14ac:dyDescent="0.25">
      <c r="A467" t="s">
        <v>673</v>
      </c>
      <c r="B467" t="s">
        <v>689</v>
      </c>
      <c r="C467" t="s">
        <v>721</v>
      </c>
      <c r="D467" t="s">
        <v>732</v>
      </c>
      <c r="E467" t="s">
        <v>735</v>
      </c>
      <c r="F467" t="s">
        <v>862</v>
      </c>
      <c r="G467" t="s">
        <v>820</v>
      </c>
      <c r="H467" t="s">
        <v>863</v>
      </c>
    </row>
    <row r="468" spans="1:8" x14ac:dyDescent="0.25">
      <c r="A468" t="s">
        <v>703</v>
      </c>
      <c r="B468" t="s">
        <v>690</v>
      </c>
      <c r="C468" t="s">
        <v>688</v>
      </c>
      <c r="D468" t="s">
        <v>734</v>
      </c>
      <c r="E468" t="s">
        <v>780</v>
      </c>
      <c r="F468" t="s">
        <v>864</v>
      </c>
      <c r="G468" t="s">
        <v>822</v>
      </c>
      <c r="H468" t="s">
        <v>818</v>
      </c>
    </row>
    <row r="469" spans="1:8" x14ac:dyDescent="0.25">
      <c r="A469" t="s">
        <v>677</v>
      </c>
      <c r="B469" t="s">
        <v>691</v>
      </c>
      <c r="C469" t="s">
        <v>689</v>
      </c>
      <c r="D469" t="s">
        <v>860</v>
      </c>
      <c r="E469" t="s">
        <v>737</v>
      </c>
      <c r="F469" t="s">
        <v>865</v>
      </c>
      <c r="G469" t="s">
        <v>823</v>
      </c>
      <c r="H469" t="s">
        <v>820</v>
      </c>
    </row>
    <row r="470" spans="1:8" x14ac:dyDescent="0.25">
      <c r="A470" t="s">
        <v>678</v>
      </c>
      <c r="B470" t="s">
        <v>694</v>
      </c>
      <c r="C470" t="s">
        <v>690</v>
      </c>
      <c r="D470" t="s">
        <v>735</v>
      </c>
      <c r="E470" t="s">
        <v>739</v>
      </c>
      <c r="F470" t="s">
        <v>866</v>
      </c>
      <c r="G470" t="s">
        <v>826</v>
      </c>
      <c r="H470" t="s">
        <v>822</v>
      </c>
    </row>
    <row r="471" spans="1:8" x14ac:dyDescent="0.25">
      <c r="A471" t="s">
        <v>679</v>
      </c>
      <c r="B471" t="s">
        <v>695</v>
      </c>
      <c r="C471" t="s">
        <v>691</v>
      </c>
      <c r="D471" t="s">
        <v>780</v>
      </c>
      <c r="E471" t="s">
        <v>741</v>
      </c>
      <c r="F471" t="s">
        <v>867</v>
      </c>
      <c r="G471" t="s">
        <v>827</v>
      </c>
      <c r="H471" t="s">
        <v>823</v>
      </c>
    </row>
    <row r="472" spans="1:8" x14ac:dyDescent="0.25">
      <c r="A472" t="s">
        <v>868</v>
      </c>
      <c r="B472" t="s">
        <v>733</v>
      </c>
      <c r="C472" t="s">
        <v>694</v>
      </c>
      <c r="D472" t="s">
        <v>737</v>
      </c>
      <c r="E472" t="s">
        <v>742</v>
      </c>
      <c r="F472" t="s">
        <v>869</v>
      </c>
      <c r="G472" t="s">
        <v>830</v>
      </c>
      <c r="H472" t="s">
        <v>826</v>
      </c>
    </row>
    <row r="473" spans="1:8" x14ac:dyDescent="0.25">
      <c r="A473" t="s">
        <v>790</v>
      </c>
      <c r="B473" t="s">
        <v>870</v>
      </c>
      <c r="C473" t="s">
        <v>695</v>
      </c>
      <c r="D473" t="s">
        <v>739</v>
      </c>
      <c r="E473" t="s">
        <v>743</v>
      </c>
      <c r="F473" t="s">
        <v>871</v>
      </c>
      <c r="G473" t="s">
        <v>831</v>
      </c>
      <c r="H473" t="s">
        <v>827</v>
      </c>
    </row>
    <row r="474" spans="1:8" x14ac:dyDescent="0.25">
      <c r="A474" t="s">
        <v>680</v>
      </c>
      <c r="B474" t="s">
        <v>697</v>
      </c>
      <c r="C474" t="s">
        <v>733</v>
      </c>
      <c r="D474" t="s">
        <v>741</v>
      </c>
      <c r="E474" t="s">
        <v>787</v>
      </c>
      <c r="F474" t="s">
        <v>872</v>
      </c>
      <c r="G474" t="s">
        <v>832</v>
      </c>
      <c r="H474" t="s">
        <v>831</v>
      </c>
    </row>
    <row r="475" spans="1:8" x14ac:dyDescent="0.25">
      <c r="A475" t="s">
        <v>793</v>
      </c>
      <c r="B475" t="s">
        <v>698</v>
      </c>
      <c r="C475" t="s">
        <v>697</v>
      </c>
      <c r="D475" t="s">
        <v>742</v>
      </c>
      <c r="E475" t="s">
        <v>745</v>
      </c>
      <c r="F475" t="s">
        <v>873</v>
      </c>
      <c r="G475" t="s">
        <v>833</v>
      </c>
      <c r="H475" t="s">
        <v>832</v>
      </c>
    </row>
    <row r="476" spans="1:8" x14ac:dyDescent="0.25">
      <c r="A476" t="s">
        <v>682</v>
      </c>
      <c r="B476" t="s">
        <v>700</v>
      </c>
      <c r="C476" t="s">
        <v>698</v>
      </c>
      <c r="D476" t="s">
        <v>743</v>
      </c>
      <c r="E476" t="s">
        <v>748</v>
      </c>
      <c r="F476" t="s">
        <v>874</v>
      </c>
      <c r="G476" t="s">
        <v>834</v>
      </c>
      <c r="H476" t="s">
        <v>833</v>
      </c>
    </row>
    <row r="477" spans="1:8" x14ac:dyDescent="0.25">
      <c r="A477" t="s">
        <v>713</v>
      </c>
      <c r="B477" t="s">
        <v>701</v>
      </c>
      <c r="C477" t="s">
        <v>700</v>
      </c>
      <c r="D477" t="s">
        <v>787</v>
      </c>
      <c r="E477" t="s">
        <v>875</v>
      </c>
      <c r="F477" t="s">
        <v>876</v>
      </c>
      <c r="G477" t="s">
        <v>835</v>
      </c>
      <c r="H477" t="s">
        <v>834</v>
      </c>
    </row>
    <row r="478" spans="1:8" x14ac:dyDescent="0.25">
      <c r="A478" t="s">
        <v>683</v>
      </c>
      <c r="B478" t="s">
        <v>736</v>
      </c>
      <c r="C478" t="s">
        <v>701</v>
      </c>
      <c r="D478" t="s">
        <v>745</v>
      </c>
      <c r="E478" t="s">
        <v>749</v>
      </c>
      <c r="F478" t="s">
        <v>877</v>
      </c>
      <c r="G478" t="s">
        <v>836</v>
      </c>
      <c r="H478" t="s">
        <v>835</v>
      </c>
    </row>
    <row r="479" spans="1:8" x14ac:dyDescent="0.25">
      <c r="A479" t="s">
        <v>684</v>
      </c>
      <c r="B479" t="s">
        <v>738</v>
      </c>
      <c r="C479" t="s">
        <v>736</v>
      </c>
      <c r="D479" t="s">
        <v>748</v>
      </c>
      <c r="E479" t="s">
        <v>751</v>
      </c>
      <c r="F479" t="s">
        <v>878</v>
      </c>
      <c r="G479" t="s">
        <v>837</v>
      </c>
      <c r="H479" t="s">
        <v>836</v>
      </c>
    </row>
    <row r="480" spans="1:8" x14ac:dyDescent="0.25">
      <c r="A480" t="s">
        <v>801</v>
      </c>
      <c r="B480" t="s">
        <v>825</v>
      </c>
      <c r="C480" t="s">
        <v>738</v>
      </c>
      <c r="D480" t="s">
        <v>875</v>
      </c>
      <c r="E480" t="s">
        <v>795</v>
      </c>
      <c r="F480" t="s">
        <v>879</v>
      </c>
      <c r="G480" t="s">
        <v>838</v>
      </c>
      <c r="H480" t="s">
        <v>837</v>
      </c>
    </row>
    <row r="481" spans="1:8" x14ac:dyDescent="0.25">
      <c r="A481" t="s">
        <v>685</v>
      </c>
      <c r="B481" t="s">
        <v>828</v>
      </c>
      <c r="C481" t="s">
        <v>825</v>
      </c>
      <c r="D481" t="s">
        <v>749</v>
      </c>
      <c r="E481" t="s">
        <v>752</v>
      </c>
      <c r="F481" t="s">
        <v>880</v>
      </c>
      <c r="G481" t="s">
        <v>839</v>
      </c>
      <c r="H481" t="s">
        <v>838</v>
      </c>
    </row>
    <row r="482" spans="1:8" x14ac:dyDescent="0.25">
      <c r="A482" t="s">
        <v>852</v>
      </c>
      <c r="B482" t="s">
        <v>881</v>
      </c>
      <c r="C482" t="s">
        <v>828</v>
      </c>
      <c r="D482" t="s">
        <v>751</v>
      </c>
      <c r="E482" t="s">
        <v>753</v>
      </c>
      <c r="F482" t="s">
        <v>882</v>
      </c>
      <c r="G482" t="s">
        <v>841</v>
      </c>
      <c r="H482" t="s">
        <v>839</v>
      </c>
    </row>
    <row r="483" spans="1:8" x14ac:dyDescent="0.25">
      <c r="A483" t="s">
        <v>686</v>
      </c>
      <c r="B483" t="s">
        <v>702</v>
      </c>
      <c r="C483" t="s">
        <v>881</v>
      </c>
      <c r="D483" t="s">
        <v>795</v>
      </c>
      <c r="E483" t="s">
        <v>754</v>
      </c>
      <c r="F483" t="s">
        <v>883</v>
      </c>
      <c r="G483" t="s">
        <v>842</v>
      </c>
      <c r="H483" t="s">
        <v>841</v>
      </c>
    </row>
    <row r="484" spans="1:8" x14ac:dyDescent="0.25">
      <c r="A484" t="s">
        <v>805</v>
      </c>
      <c r="B484" t="s">
        <v>829</v>
      </c>
      <c r="C484" t="s">
        <v>702</v>
      </c>
      <c r="D484" t="s">
        <v>752</v>
      </c>
      <c r="E484" t="s">
        <v>800</v>
      </c>
      <c r="F484" t="s">
        <v>884</v>
      </c>
      <c r="G484" t="s">
        <v>844</v>
      </c>
      <c r="H484" t="s">
        <v>842</v>
      </c>
    </row>
    <row r="485" spans="1:8" x14ac:dyDescent="0.25">
      <c r="A485" t="s">
        <v>687</v>
      </c>
      <c r="B485" t="s">
        <v>744</v>
      </c>
      <c r="C485" t="s">
        <v>829</v>
      </c>
      <c r="D485" t="s">
        <v>753</v>
      </c>
      <c r="E485" t="s">
        <v>755</v>
      </c>
      <c r="F485" t="s">
        <v>885</v>
      </c>
      <c r="G485" t="s">
        <v>886</v>
      </c>
      <c r="H485" t="s">
        <v>844</v>
      </c>
    </row>
    <row r="486" spans="1:8" x14ac:dyDescent="0.25">
      <c r="A486" t="s">
        <v>721</v>
      </c>
      <c r="B486" t="s">
        <v>706</v>
      </c>
      <c r="C486" t="s">
        <v>744</v>
      </c>
      <c r="D486" t="s">
        <v>887</v>
      </c>
      <c r="E486" t="s">
        <v>756</v>
      </c>
      <c r="F486" t="s">
        <v>888</v>
      </c>
      <c r="G486" t="s">
        <v>847</v>
      </c>
      <c r="H486" t="s">
        <v>846</v>
      </c>
    </row>
    <row r="487" spans="1:8" x14ac:dyDescent="0.25">
      <c r="A487" t="s">
        <v>688</v>
      </c>
      <c r="B487" t="s">
        <v>707</v>
      </c>
      <c r="C487" t="s">
        <v>706</v>
      </c>
      <c r="D487" t="s">
        <v>754</v>
      </c>
      <c r="E487" t="s">
        <v>757</v>
      </c>
      <c r="F487" t="s">
        <v>889</v>
      </c>
      <c r="G487" t="s">
        <v>848</v>
      </c>
      <c r="H487" t="s">
        <v>847</v>
      </c>
    </row>
    <row r="488" spans="1:8" x14ac:dyDescent="0.25">
      <c r="A488" t="s">
        <v>890</v>
      </c>
      <c r="B488" t="s">
        <v>708</v>
      </c>
      <c r="C488" t="s">
        <v>707</v>
      </c>
      <c r="D488" t="s">
        <v>755</v>
      </c>
      <c r="E488" t="s">
        <v>891</v>
      </c>
      <c r="F488" t="s">
        <v>892</v>
      </c>
      <c r="G488" t="s">
        <v>849</v>
      </c>
      <c r="H488" t="s">
        <v>848</v>
      </c>
    </row>
    <row r="489" spans="1:8" x14ac:dyDescent="0.25">
      <c r="A489" t="s">
        <v>689</v>
      </c>
      <c r="B489" t="s">
        <v>746</v>
      </c>
      <c r="C489" t="s">
        <v>708</v>
      </c>
      <c r="D489" t="s">
        <v>756</v>
      </c>
      <c r="E489" t="s">
        <v>759</v>
      </c>
      <c r="F489" t="s">
        <v>893</v>
      </c>
      <c r="G489" t="s">
        <v>850</v>
      </c>
      <c r="H489" t="s">
        <v>849</v>
      </c>
    </row>
    <row r="490" spans="1:8" x14ac:dyDescent="0.25">
      <c r="A490" t="s">
        <v>690</v>
      </c>
      <c r="B490" t="s">
        <v>711</v>
      </c>
      <c r="C490" t="s">
        <v>746</v>
      </c>
      <c r="D490" t="s">
        <v>757</v>
      </c>
      <c r="E490" t="s">
        <v>760</v>
      </c>
      <c r="F490" t="s">
        <v>894</v>
      </c>
      <c r="G490" t="s">
        <v>851</v>
      </c>
      <c r="H490" t="s">
        <v>850</v>
      </c>
    </row>
    <row r="491" spans="1:8" x14ac:dyDescent="0.25">
      <c r="A491" t="s">
        <v>691</v>
      </c>
      <c r="B491" t="s">
        <v>712</v>
      </c>
      <c r="C491" t="s">
        <v>711</v>
      </c>
      <c r="D491" t="s">
        <v>891</v>
      </c>
      <c r="E491" t="s">
        <v>761</v>
      </c>
      <c r="F491" t="s">
        <v>895</v>
      </c>
      <c r="G491" t="s">
        <v>853</v>
      </c>
      <c r="H491" t="s">
        <v>851</v>
      </c>
    </row>
    <row r="492" spans="1:8" x14ac:dyDescent="0.25">
      <c r="A492" t="s">
        <v>694</v>
      </c>
      <c r="B492" t="s">
        <v>714</v>
      </c>
      <c r="C492" t="s">
        <v>712</v>
      </c>
      <c r="D492" t="s">
        <v>759</v>
      </c>
      <c r="E492" t="s">
        <v>762</v>
      </c>
      <c r="F492" t="s">
        <v>896</v>
      </c>
      <c r="G492" t="s">
        <v>854</v>
      </c>
      <c r="H492" t="s">
        <v>853</v>
      </c>
    </row>
    <row r="493" spans="1:8" x14ac:dyDescent="0.25">
      <c r="A493" t="s">
        <v>695</v>
      </c>
      <c r="B493" t="s">
        <v>715</v>
      </c>
      <c r="C493" t="s">
        <v>714</v>
      </c>
      <c r="D493" t="s">
        <v>760</v>
      </c>
      <c r="E493" t="s">
        <v>811</v>
      </c>
      <c r="F493" t="s">
        <v>897</v>
      </c>
      <c r="G493" t="s">
        <v>898</v>
      </c>
      <c r="H493" t="s">
        <v>854</v>
      </c>
    </row>
    <row r="494" spans="1:8" x14ac:dyDescent="0.25">
      <c r="A494" t="s">
        <v>733</v>
      </c>
      <c r="B494" t="s">
        <v>716</v>
      </c>
      <c r="C494" t="s">
        <v>715</v>
      </c>
      <c r="D494" t="s">
        <v>761</v>
      </c>
      <c r="E494" t="s">
        <v>764</v>
      </c>
      <c r="F494" t="s">
        <v>899</v>
      </c>
      <c r="G494" t="s">
        <v>900</v>
      </c>
      <c r="H494" t="s">
        <v>898</v>
      </c>
    </row>
    <row r="495" spans="1:8" x14ac:dyDescent="0.25">
      <c r="A495" t="s">
        <v>870</v>
      </c>
      <c r="B495" t="s">
        <v>717</v>
      </c>
      <c r="C495" t="s">
        <v>901</v>
      </c>
      <c r="D495" t="s">
        <v>762</v>
      </c>
      <c r="E495" t="s">
        <v>765</v>
      </c>
      <c r="F495" t="s">
        <v>902</v>
      </c>
      <c r="G495" t="s">
        <v>855</v>
      </c>
      <c r="H495" t="s">
        <v>900</v>
      </c>
    </row>
    <row r="496" spans="1:8" x14ac:dyDescent="0.25">
      <c r="A496" t="s">
        <v>697</v>
      </c>
      <c r="B496" t="s">
        <v>718</v>
      </c>
      <c r="C496" t="s">
        <v>716</v>
      </c>
      <c r="D496" t="s">
        <v>811</v>
      </c>
      <c r="E496" t="s">
        <v>768</v>
      </c>
      <c r="F496" t="s">
        <v>903</v>
      </c>
      <c r="G496" t="s">
        <v>857</v>
      </c>
      <c r="H496" t="s">
        <v>855</v>
      </c>
    </row>
    <row r="497" spans="1:8" x14ac:dyDescent="0.25">
      <c r="A497" t="s">
        <v>698</v>
      </c>
      <c r="B497" t="s">
        <v>720</v>
      </c>
      <c r="C497" t="s">
        <v>717</v>
      </c>
      <c r="D497" t="s">
        <v>764</v>
      </c>
      <c r="E497" t="s">
        <v>769</v>
      </c>
      <c r="F497" t="s">
        <v>904</v>
      </c>
      <c r="G497" t="s">
        <v>905</v>
      </c>
      <c r="H497" t="s">
        <v>857</v>
      </c>
    </row>
    <row r="498" spans="1:8" x14ac:dyDescent="0.25">
      <c r="A498" t="s">
        <v>700</v>
      </c>
      <c r="B498" t="s">
        <v>906</v>
      </c>
      <c r="C498" t="s">
        <v>720</v>
      </c>
      <c r="D498" t="s">
        <v>765</v>
      </c>
      <c r="E498" t="s">
        <v>907</v>
      </c>
      <c r="F498" t="s">
        <v>908</v>
      </c>
      <c r="G498" t="s">
        <v>858</v>
      </c>
      <c r="H498" t="s">
        <v>858</v>
      </c>
    </row>
    <row r="499" spans="1:8" x14ac:dyDescent="0.25">
      <c r="A499" t="s">
        <v>701</v>
      </c>
      <c r="B499" t="s">
        <v>722</v>
      </c>
      <c r="C499" t="s">
        <v>758</v>
      </c>
      <c r="D499" t="s">
        <v>768</v>
      </c>
      <c r="E499" t="s">
        <v>770</v>
      </c>
      <c r="F499" t="s">
        <v>909</v>
      </c>
      <c r="G499" t="s">
        <v>861</v>
      </c>
      <c r="H499" t="s">
        <v>861</v>
      </c>
    </row>
    <row r="500" spans="1:8" x14ac:dyDescent="0.25">
      <c r="A500" t="s">
        <v>736</v>
      </c>
      <c r="B500" t="s">
        <v>723</v>
      </c>
      <c r="C500" t="s">
        <v>906</v>
      </c>
      <c r="D500" t="s">
        <v>769</v>
      </c>
      <c r="E500" t="s">
        <v>772</v>
      </c>
      <c r="F500" t="s">
        <v>910</v>
      </c>
      <c r="G500" t="s">
        <v>862</v>
      </c>
      <c r="H500" t="s">
        <v>862</v>
      </c>
    </row>
    <row r="501" spans="1:8" x14ac:dyDescent="0.25">
      <c r="A501" t="s">
        <v>738</v>
      </c>
      <c r="B501" t="s">
        <v>724</v>
      </c>
      <c r="C501" t="s">
        <v>722</v>
      </c>
      <c r="D501" t="s">
        <v>907</v>
      </c>
      <c r="E501" t="s">
        <v>819</v>
      </c>
      <c r="F501" t="s">
        <v>911</v>
      </c>
      <c r="G501" t="s">
        <v>864</v>
      </c>
      <c r="H501" t="s">
        <v>864</v>
      </c>
    </row>
    <row r="502" spans="1:8" x14ac:dyDescent="0.25">
      <c r="A502" t="s">
        <v>825</v>
      </c>
      <c r="B502" t="s">
        <v>912</v>
      </c>
      <c r="C502" t="s">
        <v>723</v>
      </c>
      <c r="D502" t="s">
        <v>770</v>
      </c>
      <c r="E502" t="s">
        <v>774</v>
      </c>
      <c r="F502" t="s">
        <v>913</v>
      </c>
      <c r="G502" t="s">
        <v>865</v>
      </c>
      <c r="H502" t="s">
        <v>865</v>
      </c>
    </row>
    <row r="503" spans="1:8" x14ac:dyDescent="0.25">
      <c r="A503" t="s">
        <v>828</v>
      </c>
      <c r="B503" t="s">
        <v>763</v>
      </c>
      <c r="C503" t="s">
        <v>724</v>
      </c>
      <c r="D503" t="s">
        <v>772</v>
      </c>
      <c r="E503" t="s">
        <v>775</v>
      </c>
      <c r="F503" t="s">
        <v>914</v>
      </c>
      <c r="G503" t="s">
        <v>866</v>
      </c>
      <c r="H503" t="s">
        <v>866</v>
      </c>
    </row>
    <row r="504" spans="1:8" x14ac:dyDescent="0.25">
      <c r="A504" t="s">
        <v>881</v>
      </c>
      <c r="B504" t="s">
        <v>725</v>
      </c>
      <c r="C504" t="s">
        <v>912</v>
      </c>
      <c r="D504" t="s">
        <v>819</v>
      </c>
      <c r="E504" t="s">
        <v>777</v>
      </c>
      <c r="F504" t="s">
        <v>915</v>
      </c>
      <c r="G504" t="s">
        <v>867</v>
      </c>
      <c r="H504" t="s">
        <v>871</v>
      </c>
    </row>
    <row r="505" spans="1:8" x14ac:dyDescent="0.25">
      <c r="A505" t="s">
        <v>702</v>
      </c>
      <c r="B505" t="s">
        <v>766</v>
      </c>
      <c r="C505" t="s">
        <v>763</v>
      </c>
      <c r="D505" t="s">
        <v>774</v>
      </c>
      <c r="E505" t="s">
        <v>779</v>
      </c>
      <c r="F505" t="s">
        <v>916</v>
      </c>
      <c r="G505" t="s">
        <v>869</v>
      </c>
      <c r="H505" t="s">
        <v>872</v>
      </c>
    </row>
    <row r="506" spans="1:8" x14ac:dyDescent="0.25">
      <c r="A506" t="s">
        <v>829</v>
      </c>
      <c r="B506" t="s">
        <v>727</v>
      </c>
      <c r="C506" t="s">
        <v>725</v>
      </c>
      <c r="D506" t="s">
        <v>775</v>
      </c>
      <c r="E506" t="s">
        <v>781</v>
      </c>
      <c r="F506" t="s">
        <v>917</v>
      </c>
      <c r="G506" t="s">
        <v>871</v>
      </c>
      <c r="H506" t="s">
        <v>873</v>
      </c>
    </row>
    <row r="507" spans="1:8" x14ac:dyDescent="0.25">
      <c r="A507" t="s">
        <v>744</v>
      </c>
      <c r="B507" t="s">
        <v>918</v>
      </c>
      <c r="C507" t="s">
        <v>766</v>
      </c>
      <c r="D507" t="s">
        <v>777</v>
      </c>
      <c r="E507" t="s">
        <v>782</v>
      </c>
      <c r="F507" t="s">
        <v>919</v>
      </c>
      <c r="G507" t="s">
        <v>872</v>
      </c>
      <c r="H507" t="s">
        <v>874</v>
      </c>
    </row>
    <row r="508" spans="1:8" x14ac:dyDescent="0.25">
      <c r="A508" t="s">
        <v>706</v>
      </c>
      <c r="B508" t="s">
        <v>729</v>
      </c>
      <c r="C508" t="s">
        <v>727</v>
      </c>
      <c r="D508" t="s">
        <v>779</v>
      </c>
      <c r="E508" t="s">
        <v>783</v>
      </c>
      <c r="F508" t="s">
        <v>920</v>
      </c>
      <c r="G508" t="s">
        <v>873</v>
      </c>
      <c r="H508" t="s">
        <v>876</v>
      </c>
    </row>
    <row r="509" spans="1:8" x14ac:dyDescent="0.25">
      <c r="A509" t="s">
        <v>707</v>
      </c>
      <c r="B509" t="s">
        <v>856</v>
      </c>
      <c r="C509" t="s">
        <v>918</v>
      </c>
      <c r="D509" t="s">
        <v>781</v>
      </c>
      <c r="E509" t="s">
        <v>784</v>
      </c>
      <c r="F509" t="s">
        <v>921</v>
      </c>
      <c r="G509" t="s">
        <v>874</v>
      </c>
      <c r="H509" t="s">
        <v>877</v>
      </c>
    </row>
    <row r="510" spans="1:8" x14ac:dyDescent="0.25">
      <c r="A510" t="s">
        <v>708</v>
      </c>
      <c r="B510" t="s">
        <v>730</v>
      </c>
      <c r="C510" t="s">
        <v>729</v>
      </c>
      <c r="D510" t="s">
        <v>782</v>
      </c>
      <c r="E510" t="s">
        <v>786</v>
      </c>
      <c r="F510" t="s">
        <v>922</v>
      </c>
      <c r="G510" t="s">
        <v>876</v>
      </c>
      <c r="H510" t="s">
        <v>878</v>
      </c>
    </row>
    <row r="511" spans="1:8" x14ac:dyDescent="0.25">
      <c r="A511" t="s">
        <v>746</v>
      </c>
      <c r="B511" t="s">
        <v>731</v>
      </c>
      <c r="C511" t="s">
        <v>856</v>
      </c>
      <c r="D511" t="s">
        <v>783</v>
      </c>
      <c r="E511" t="s">
        <v>788</v>
      </c>
      <c r="F511" t="s">
        <v>923</v>
      </c>
      <c r="G511" t="s">
        <v>877</v>
      </c>
      <c r="H511" t="s">
        <v>879</v>
      </c>
    </row>
    <row r="512" spans="1:8" x14ac:dyDescent="0.25">
      <c r="A512" t="s">
        <v>711</v>
      </c>
      <c r="B512" t="s">
        <v>732</v>
      </c>
      <c r="C512" t="s">
        <v>730</v>
      </c>
      <c r="D512" t="s">
        <v>784</v>
      </c>
      <c r="E512" t="s">
        <v>789</v>
      </c>
      <c r="F512" t="s">
        <v>924</v>
      </c>
      <c r="G512" t="s">
        <v>878</v>
      </c>
      <c r="H512" t="s">
        <v>880</v>
      </c>
    </row>
    <row r="513" spans="1:8" x14ac:dyDescent="0.25">
      <c r="A513" t="s">
        <v>712</v>
      </c>
      <c r="B513" t="s">
        <v>734</v>
      </c>
      <c r="C513" t="s">
        <v>731</v>
      </c>
      <c r="D513" t="s">
        <v>925</v>
      </c>
      <c r="E513" t="s">
        <v>791</v>
      </c>
      <c r="F513" t="s">
        <v>926</v>
      </c>
      <c r="G513" t="s">
        <v>879</v>
      </c>
      <c r="H513" t="s">
        <v>882</v>
      </c>
    </row>
    <row r="514" spans="1:8" x14ac:dyDescent="0.25">
      <c r="A514" t="s">
        <v>714</v>
      </c>
      <c r="B514" t="s">
        <v>860</v>
      </c>
      <c r="C514" t="s">
        <v>927</v>
      </c>
      <c r="D514" t="s">
        <v>786</v>
      </c>
      <c r="E514" t="s">
        <v>792</v>
      </c>
      <c r="F514" t="s">
        <v>928</v>
      </c>
      <c r="G514" t="s">
        <v>880</v>
      </c>
      <c r="H514" t="s">
        <v>883</v>
      </c>
    </row>
    <row r="515" spans="1:8" x14ac:dyDescent="0.25">
      <c r="A515" t="s">
        <v>715</v>
      </c>
      <c r="B515" t="s">
        <v>735</v>
      </c>
      <c r="C515" t="s">
        <v>732</v>
      </c>
      <c r="D515" t="s">
        <v>788</v>
      </c>
      <c r="E515" t="s">
        <v>794</v>
      </c>
      <c r="F515" t="s">
        <v>929</v>
      </c>
      <c r="G515" t="s">
        <v>882</v>
      </c>
      <c r="H515" t="s">
        <v>884</v>
      </c>
    </row>
    <row r="516" spans="1:8" x14ac:dyDescent="0.25">
      <c r="A516" t="s">
        <v>901</v>
      </c>
      <c r="B516" t="s">
        <v>780</v>
      </c>
      <c r="C516" t="s">
        <v>734</v>
      </c>
      <c r="D516" t="s">
        <v>789</v>
      </c>
      <c r="E516" t="s">
        <v>796</v>
      </c>
      <c r="F516" t="s">
        <v>930</v>
      </c>
      <c r="G516" t="s">
        <v>884</v>
      </c>
      <c r="H516" t="s">
        <v>885</v>
      </c>
    </row>
    <row r="517" spans="1:8" x14ac:dyDescent="0.25">
      <c r="A517" t="s">
        <v>716</v>
      </c>
      <c r="B517" t="s">
        <v>737</v>
      </c>
      <c r="C517" t="s">
        <v>860</v>
      </c>
      <c r="D517" t="s">
        <v>791</v>
      </c>
      <c r="E517" t="s">
        <v>798</v>
      </c>
      <c r="F517" t="s">
        <v>931</v>
      </c>
      <c r="G517" t="s">
        <v>885</v>
      </c>
      <c r="H517" t="s">
        <v>888</v>
      </c>
    </row>
    <row r="518" spans="1:8" x14ac:dyDescent="0.25">
      <c r="A518" t="s">
        <v>717</v>
      </c>
      <c r="B518" t="s">
        <v>739</v>
      </c>
      <c r="C518" t="s">
        <v>735</v>
      </c>
      <c r="D518" t="s">
        <v>792</v>
      </c>
      <c r="E518" t="s">
        <v>799</v>
      </c>
      <c r="F518" t="s">
        <v>932</v>
      </c>
      <c r="G518" t="s">
        <v>888</v>
      </c>
      <c r="H518" t="s">
        <v>889</v>
      </c>
    </row>
    <row r="519" spans="1:8" x14ac:dyDescent="0.25">
      <c r="A519" t="s">
        <v>718</v>
      </c>
      <c r="B519" t="s">
        <v>741</v>
      </c>
      <c r="C519" t="s">
        <v>780</v>
      </c>
      <c r="D519" t="s">
        <v>794</v>
      </c>
      <c r="E519" t="s">
        <v>802</v>
      </c>
      <c r="F519" t="s">
        <v>933</v>
      </c>
      <c r="G519" t="s">
        <v>889</v>
      </c>
      <c r="H519" t="s">
        <v>892</v>
      </c>
    </row>
    <row r="520" spans="1:8" x14ac:dyDescent="0.25">
      <c r="A520" t="s">
        <v>934</v>
      </c>
      <c r="B520" t="s">
        <v>742</v>
      </c>
      <c r="C520" t="s">
        <v>737</v>
      </c>
      <c r="D520" t="s">
        <v>796</v>
      </c>
      <c r="E520" t="s">
        <v>803</v>
      </c>
      <c r="F520" t="s">
        <v>935</v>
      </c>
      <c r="G520" t="s">
        <v>892</v>
      </c>
      <c r="H520" t="s">
        <v>893</v>
      </c>
    </row>
    <row r="521" spans="1:8" x14ac:dyDescent="0.25">
      <c r="A521" t="s">
        <v>720</v>
      </c>
      <c r="B521" t="s">
        <v>743</v>
      </c>
      <c r="C521" t="s">
        <v>739</v>
      </c>
      <c r="D521" t="s">
        <v>798</v>
      </c>
      <c r="E521" t="s">
        <v>804</v>
      </c>
      <c r="F521" t="s">
        <v>936</v>
      </c>
      <c r="G521" t="s">
        <v>893</v>
      </c>
      <c r="H521" t="s">
        <v>894</v>
      </c>
    </row>
    <row r="522" spans="1:8" x14ac:dyDescent="0.25">
      <c r="A522" t="s">
        <v>906</v>
      </c>
      <c r="B522" t="s">
        <v>787</v>
      </c>
      <c r="C522" t="s">
        <v>741</v>
      </c>
      <c r="D522" t="s">
        <v>799</v>
      </c>
      <c r="E522" t="s">
        <v>806</v>
      </c>
      <c r="F522" t="s">
        <v>937</v>
      </c>
      <c r="G522" t="s">
        <v>894</v>
      </c>
      <c r="H522" t="s">
        <v>895</v>
      </c>
    </row>
    <row r="523" spans="1:8" x14ac:dyDescent="0.25">
      <c r="A523" t="s">
        <v>722</v>
      </c>
      <c r="B523" t="s">
        <v>745</v>
      </c>
      <c r="C523" t="s">
        <v>742</v>
      </c>
      <c r="D523" t="s">
        <v>802</v>
      </c>
      <c r="E523" t="s">
        <v>807</v>
      </c>
      <c r="F523" t="s">
        <v>938</v>
      </c>
      <c r="G523" t="s">
        <v>896</v>
      </c>
      <c r="H523" t="s">
        <v>939</v>
      </c>
    </row>
    <row r="524" spans="1:8" x14ac:dyDescent="0.25">
      <c r="A524" t="s">
        <v>723</v>
      </c>
      <c r="B524" t="s">
        <v>748</v>
      </c>
      <c r="C524" t="s">
        <v>743</v>
      </c>
      <c r="D524" t="s">
        <v>803</v>
      </c>
      <c r="E524" t="s">
        <v>808</v>
      </c>
      <c r="F524" t="s">
        <v>940</v>
      </c>
      <c r="G524" t="s">
        <v>897</v>
      </c>
      <c r="H524" t="s">
        <v>941</v>
      </c>
    </row>
    <row r="525" spans="1:8" x14ac:dyDescent="0.25">
      <c r="A525" t="s">
        <v>942</v>
      </c>
      <c r="B525" t="s">
        <v>875</v>
      </c>
      <c r="C525" t="s">
        <v>787</v>
      </c>
      <c r="D525" t="s">
        <v>804</v>
      </c>
      <c r="E525" t="s">
        <v>809</v>
      </c>
      <c r="F525" t="s">
        <v>943</v>
      </c>
      <c r="G525" t="s">
        <v>899</v>
      </c>
      <c r="H525" t="s">
        <v>944</v>
      </c>
    </row>
    <row r="526" spans="1:8" x14ac:dyDescent="0.25">
      <c r="A526" t="s">
        <v>724</v>
      </c>
      <c r="B526" t="s">
        <v>749</v>
      </c>
      <c r="C526" t="s">
        <v>745</v>
      </c>
      <c r="D526" t="s">
        <v>806</v>
      </c>
      <c r="E526" t="s">
        <v>810</v>
      </c>
      <c r="F526" t="s">
        <v>945</v>
      </c>
      <c r="G526" t="s">
        <v>902</v>
      </c>
      <c r="H526" t="s">
        <v>946</v>
      </c>
    </row>
    <row r="527" spans="1:8" x14ac:dyDescent="0.25">
      <c r="A527" t="s">
        <v>912</v>
      </c>
      <c r="B527" t="s">
        <v>751</v>
      </c>
      <c r="C527" t="s">
        <v>748</v>
      </c>
      <c r="D527" t="s">
        <v>807</v>
      </c>
      <c r="E527" t="s">
        <v>812</v>
      </c>
      <c r="F527" t="s">
        <v>947</v>
      </c>
      <c r="G527" t="s">
        <v>903</v>
      </c>
      <c r="H527" t="s">
        <v>948</v>
      </c>
    </row>
    <row r="528" spans="1:8" x14ac:dyDescent="0.25">
      <c r="A528" t="s">
        <v>763</v>
      </c>
      <c r="B528" t="s">
        <v>795</v>
      </c>
      <c r="C528" t="s">
        <v>875</v>
      </c>
      <c r="D528" t="s">
        <v>808</v>
      </c>
      <c r="E528" t="s">
        <v>813</v>
      </c>
      <c r="F528" t="s">
        <v>949</v>
      </c>
      <c r="G528" t="s">
        <v>904</v>
      </c>
      <c r="H528" t="s">
        <v>896</v>
      </c>
    </row>
    <row r="529" spans="1:8" x14ac:dyDescent="0.25">
      <c r="A529" t="s">
        <v>725</v>
      </c>
      <c r="B529" t="s">
        <v>752</v>
      </c>
      <c r="C529" t="s">
        <v>749</v>
      </c>
      <c r="D529" t="s">
        <v>809</v>
      </c>
      <c r="E529" t="s">
        <v>814</v>
      </c>
      <c r="F529" t="s">
        <v>950</v>
      </c>
      <c r="G529" t="s">
        <v>908</v>
      </c>
      <c r="H529" t="s">
        <v>897</v>
      </c>
    </row>
    <row r="530" spans="1:8" x14ac:dyDescent="0.25">
      <c r="A530" t="s">
        <v>766</v>
      </c>
      <c r="B530" t="s">
        <v>753</v>
      </c>
      <c r="C530" t="s">
        <v>751</v>
      </c>
      <c r="D530" t="s">
        <v>810</v>
      </c>
      <c r="E530" t="s">
        <v>815</v>
      </c>
      <c r="F530" t="s">
        <v>951</v>
      </c>
      <c r="G530" t="s">
        <v>909</v>
      </c>
      <c r="H530" t="s">
        <v>899</v>
      </c>
    </row>
    <row r="531" spans="1:8" x14ac:dyDescent="0.25">
      <c r="A531" t="s">
        <v>727</v>
      </c>
      <c r="B531" t="s">
        <v>952</v>
      </c>
      <c r="C531" t="s">
        <v>795</v>
      </c>
      <c r="D531" t="s">
        <v>812</v>
      </c>
      <c r="E531" t="s">
        <v>816</v>
      </c>
      <c r="F531" t="s">
        <v>953</v>
      </c>
      <c r="G531" t="s">
        <v>910</v>
      </c>
      <c r="H531" t="s">
        <v>903</v>
      </c>
    </row>
    <row r="532" spans="1:8" x14ac:dyDescent="0.25">
      <c r="A532" t="s">
        <v>918</v>
      </c>
      <c r="B532" t="s">
        <v>887</v>
      </c>
      <c r="C532" t="s">
        <v>752</v>
      </c>
      <c r="D532" t="s">
        <v>813</v>
      </c>
      <c r="E532" t="s">
        <v>817</v>
      </c>
      <c r="F532" t="s">
        <v>954</v>
      </c>
      <c r="G532" t="s">
        <v>955</v>
      </c>
      <c r="H532" t="s">
        <v>904</v>
      </c>
    </row>
    <row r="533" spans="1:8" x14ac:dyDescent="0.25">
      <c r="A533" t="s">
        <v>729</v>
      </c>
      <c r="B533" t="s">
        <v>754</v>
      </c>
      <c r="C533" t="s">
        <v>753</v>
      </c>
      <c r="D533" t="s">
        <v>814</v>
      </c>
      <c r="E533" t="s">
        <v>956</v>
      </c>
      <c r="F533" t="s">
        <v>957</v>
      </c>
      <c r="G533" t="s">
        <v>958</v>
      </c>
      <c r="H533" t="s">
        <v>908</v>
      </c>
    </row>
    <row r="534" spans="1:8" x14ac:dyDescent="0.25">
      <c r="A534" t="s">
        <v>856</v>
      </c>
      <c r="B534" t="s">
        <v>800</v>
      </c>
      <c r="C534" t="s">
        <v>887</v>
      </c>
      <c r="D534" t="s">
        <v>815</v>
      </c>
      <c r="E534" t="s">
        <v>959</v>
      </c>
      <c r="F534" t="s">
        <v>960</v>
      </c>
      <c r="G534" t="s">
        <v>914</v>
      </c>
      <c r="H534" t="s">
        <v>961</v>
      </c>
    </row>
    <row r="535" spans="1:8" x14ac:dyDescent="0.25">
      <c r="A535" t="s">
        <v>730</v>
      </c>
      <c r="B535" t="s">
        <v>755</v>
      </c>
      <c r="C535" t="s">
        <v>754</v>
      </c>
      <c r="D535" t="s">
        <v>816</v>
      </c>
      <c r="E535" t="s">
        <v>962</v>
      </c>
      <c r="F535" t="s">
        <v>963</v>
      </c>
      <c r="G535" t="s">
        <v>916</v>
      </c>
      <c r="H535" t="s">
        <v>909</v>
      </c>
    </row>
    <row r="536" spans="1:8" x14ac:dyDescent="0.25">
      <c r="A536" t="s">
        <v>731</v>
      </c>
      <c r="B536" t="s">
        <v>756</v>
      </c>
      <c r="C536" t="s">
        <v>800</v>
      </c>
      <c r="D536" t="s">
        <v>818</v>
      </c>
      <c r="E536" t="s">
        <v>863</v>
      </c>
      <c r="F536" t="s">
        <v>964</v>
      </c>
      <c r="G536" t="s">
        <v>917</v>
      </c>
      <c r="H536" t="s">
        <v>910</v>
      </c>
    </row>
    <row r="537" spans="1:8" x14ac:dyDescent="0.25">
      <c r="A537" t="s">
        <v>927</v>
      </c>
      <c r="B537" t="s">
        <v>757</v>
      </c>
      <c r="C537" t="s">
        <v>755</v>
      </c>
      <c r="D537" t="s">
        <v>820</v>
      </c>
      <c r="E537" t="s">
        <v>818</v>
      </c>
      <c r="F537" t="s">
        <v>965</v>
      </c>
      <c r="G537" t="s">
        <v>919</v>
      </c>
      <c r="H537" t="s">
        <v>955</v>
      </c>
    </row>
    <row r="538" spans="1:8" x14ac:dyDescent="0.25">
      <c r="A538" t="s">
        <v>732</v>
      </c>
      <c r="B538" t="s">
        <v>891</v>
      </c>
      <c r="C538" t="s">
        <v>756</v>
      </c>
      <c r="D538" t="s">
        <v>823</v>
      </c>
      <c r="E538" t="s">
        <v>820</v>
      </c>
      <c r="F538" t="s">
        <v>966</v>
      </c>
      <c r="G538" t="s">
        <v>920</v>
      </c>
      <c r="H538" t="s">
        <v>967</v>
      </c>
    </row>
    <row r="539" spans="1:8" x14ac:dyDescent="0.25">
      <c r="A539" t="s">
        <v>734</v>
      </c>
      <c r="B539" t="s">
        <v>759</v>
      </c>
      <c r="C539" t="s">
        <v>757</v>
      </c>
      <c r="D539" t="s">
        <v>826</v>
      </c>
      <c r="E539" t="s">
        <v>823</v>
      </c>
      <c r="F539" t="s">
        <v>968</v>
      </c>
      <c r="G539" t="s">
        <v>921</v>
      </c>
      <c r="H539" t="s">
        <v>958</v>
      </c>
    </row>
    <row r="540" spans="1:8" x14ac:dyDescent="0.25">
      <c r="A540" t="s">
        <v>860</v>
      </c>
      <c r="B540" t="s">
        <v>760</v>
      </c>
      <c r="C540" t="s">
        <v>891</v>
      </c>
      <c r="D540" t="s">
        <v>827</v>
      </c>
      <c r="E540" t="s">
        <v>827</v>
      </c>
      <c r="F540" t="s">
        <v>969</v>
      </c>
      <c r="G540" t="s">
        <v>924</v>
      </c>
      <c r="H540" t="s">
        <v>914</v>
      </c>
    </row>
    <row r="541" spans="1:8" x14ac:dyDescent="0.25">
      <c r="A541" t="s">
        <v>735</v>
      </c>
      <c r="B541" t="s">
        <v>761</v>
      </c>
      <c r="C541" t="s">
        <v>759</v>
      </c>
      <c r="D541" t="s">
        <v>831</v>
      </c>
      <c r="E541" t="s">
        <v>831</v>
      </c>
      <c r="F541" t="s">
        <v>970</v>
      </c>
      <c r="G541" t="s">
        <v>926</v>
      </c>
      <c r="H541" t="s">
        <v>916</v>
      </c>
    </row>
    <row r="542" spans="1:8" x14ac:dyDescent="0.25">
      <c r="A542" t="s">
        <v>780</v>
      </c>
      <c r="B542" t="s">
        <v>762</v>
      </c>
      <c r="C542" t="s">
        <v>760</v>
      </c>
      <c r="D542" t="s">
        <v>832</v>
      </c>
      <c r="E542" t="s">
        <v>832</v>
      </c>
      <c r="F542" t="s">
        <v>971</v>
      </c>
      <c r="G542" t="s">
        <v>928</v>
      </c>
      <c r="H542" t="s">
        <v>917</v>
      </c>
    </row>
    <row r="543" spans="1:8" x14ac:dyDescent="0.25">
      <c r="A543" t="s">
        <v>737</v>
      </c>
      <c r="B543" t="s">
        <v>811</v>
      </c>
      <c r="C543" t="s">
        <v>761</v>
      </c>
      <c r="D543" t="s">
        <v>834</v>
      </c>
      <c r="E543" t="s">
        <v>833</v>
      </c>
      <c r="F543" t="s">
        <v>972</v>
      </c>
      <c r="G543" t="s">
        <v>931</v>
      </c>
      <c r="H543" t="s">
        <v>919</v>
      </c>
    </row>
    <row r="544" spans="1:8" x14ac:dyDescent="0.25">
      <c r="A544" t="s">
        <v>739</v>
      </c>
      <c r="B544" t="s">
        <v>764</v>
      </c>
      <c r="C544" t="s">
        <v>762</v>
      </c>
      <c r="D544" t="s">
        <v>835</v>
      </c>
      <c r="E544" t="s">
        <v>834</v>
      </c>
      <c r="F544" t="s">
        <v>973</v>
      </c>
      <c r="G544" t="s">
        <v>932</v>
      </c>
      <c r="H544" t="s">
        <v>920</v>
      </c>
    </row>
    <row r="545" spans="1:8" x14ac:dyDescent="0.25">
      <c r="A545" t="s">
        <v>741</v>
      </c>
      <c r="B545" t="s">
        <v>765</v>
      </c>
      <c r="C545" t="s">
        <v>811</v>
      </c>
      <c r="D545" t="s">
        <v>974</v>
      </c>
      <c r="E545" t="s">
        <v>835</v>
      </c>
      <c r="F545" t="s">
        <v>975</v>
      </c>
      <c r="G545" t="s">
        <v>933</v>
      </c>
      <c r="H545" t="s">
        <v>926</v>
      </c>
    </row>
    <row r="546" spans="1:8" x14ac:dyDescent="0.25">
      <c r="A546" t="s">
        <v>742</v>
      </c>
      <c r="B546" t="s">
        <v>768</v>
      </c>
      <c r="C546" t="s">
        <v>764</v>
      </c>
      <c r="D546" t="s">
        <v>836</v>
      </c>
      <c r="E546" t="s">
        <v>974</v>
      </c>
      <c r="F546" t="s">
        <v>976</v>
      </c>
      <c r="G546" t="s">
        <v>935</v>
      </c>
      <c r="H546" t="s">
        <v>932</v>
      </c>
    </row>
    <row r="547" spans="1:8" x14ac:dyDescent="0.25">
      <c r="A547" t="s">
        <v>743</v>
      </c>
      <c r="B547" t="s">
        <v>769</v>
      </c>
      <c r="C547" t="s">
        <v>765</v>
      </c>
      <c r="D547" t="s">
        <v>837</v>
      </c>
      <c r="E547" t="s">
        <v>836</v>
      </c>
      <c r="F547" t="s">
        <v>977</v>
      </c>
      <c r="G547" t="s">
        <v>936</v>
      </c>
      <c r="H547" t="s">
        <v>933</v>
      </c>
    </row>
    <row r="548" spans="1:8" x14ac:dyDescent="0.25">
      <c r="A548" t="s">
        <v>787</v>
      </c>
      <c r="B548" t="s">
        <v>978</v>
      </c>
      <c r="C548" t="s">
        <v>768</v>
      </c>
      <c r="D548" t="s">
        <v>841</v>
      </c>
      <c r="E548" t="s">
        <v>837</v>
      </c>
      <c r="F548" t="s">
        <v>979</v>
      </c>
      <c r="G548" t="s">
        <v>980</v>
      </c>
      <c r="H548" t="s">
        <v>936</v>
      </c>
    </row>
    <row r="549" spans="1:8" x14ac:dyDescent="0.25">
      <c r="A549" t="s">
        <v>745</v>
      </c>
      <c r="B549" t="s">
        <v>907</v>
      </c>
      <c r="C549" t="s">
        <v>769</v>
      </c>
      <c r="D549" t="s">
        <v>842</v>
      </c>
      <c r="E549" t="s">
        <v>838</v>
      </c>
      <c r="F549" t="s">
        <v>981</v>
      </c>
      <c r="G549" t="s">
        <v>982</v>
      </c>
      <c r="H549" t="s">
        <v>983</v>
      </c>
    </row>
    <row r="550" spans="1:8" x14ac:dyDescent="0.25">
      <c r="A550" t="s">
        <v>748</v>
      </c>
      <c r="B550" t="s">
        <v>984</v>
      </c>
      <c r="C550" t="s">
        <v>978</v>
      </c>
      <c r="D550" t="s">
        <v>844</v>
      </c>
      <c r="E550" t="s">
        <v>839</v>
      </c>
      <c r="F550" t="s">
        <v>985</v>
      </c>
      <c r="G550" t="s">
        <v>986</v>
      </c>
      <c r="H550" t="s">
        <v>980</v>
      </c>
    </row>
    <row r="551" spans="1:8" x14ac:dyDescent="0.25">
      <c r="A551" t="s">
        <v>875</v>
      </c>
      <c r="B551" t="s">
        <v>770</v>
      </c>
      <c r="C551" t="s">
        <v>907</v>
      </c>
      <c r="D551" t="s">
        <v>846</v>
      </c>
      <c r="E551" t="s">
        <v>842</v>
      </c>
      <c r="F551" t="s">
        <v>987</v>
      </c>
      <c r="G551" t="s">
        <v>988</v>
      </c>
      <c r="H551" t="s">
        <v>982</v>
      </c>
    </row>
    <row r="552" spans="1:8" x14ac:dyDescent="0.25">
      <c r="A552" t="s">
        <v>749</v>
      </c>
      <c r="B552" t="s">
        <v>772</v>
      </c>
      <c r="C552" t="s">
        <v>984</v>
      </c>
      <c r="D552" t="s">
        <v>847</v>
      </c>
      <c r="E552" t="s">
        <v>844</v>
      </c>
      <c r="F552" t="s">
        <v>989</v>
      </c>
      <c r="G552" t="s">
        <v>938</v>
      </c>
      <c r="H552" t="s">
        <v>990</v>
      </c>
    </row>
    <row r="553" spans="1:8" x14ac:dyDescent="0.25">
      <c r="A553" t="s">
        <v>991</v>
      </c>
      <c r="B553" t="s">
        <v>819</v>
      </c>
      <c r="C553" t="s">
        <v>770</v>
      </c>
      <c r="D553" t="s">
        <v>848</v>
      </c>
      <c r="E553" t="s">
        <v>846</v>
      </c>
      <c r="F553" t="s">
        <v>992</v>
      </c>
      <c r="G553" t="s">
        <v>940</v>
      </c>
      <c r="H553" t="s">
        <v>993</v>
      </c>
    </row>
    <row r="554" spans="1:8" x14ac:dyDescent="0.25">
      <c r="A554" t="s">
        <v>751</v>
      </c>
      <c r="B554" t="s">
        <v>821</v>
      </c>
      <c r="C554" t="s">
        <v>772</v>
      </c>
      <c r="D554" t="s">
        <v>849</v>
      </c>
      <c r="E554" t="s">
        <v>847</v>
      </c>
      <c r="F554" t="s">
        <v>994</v>
      </c>
      <c r="G554" t="s">
        <v>951</v>
      </c>
      <c r="H554" t="s">
        <v>986</v>
      </c>
    </row>
    <row r="555" spans="1:8" x14ac:dyDescent="0.25">
      <c r="A555" t="s">
        <v>795</v>
      </c>
      <c r="B555" t="s">
        <v>774</v>
      </c>
      <c r="C555" t="s">
        <v>819</v>
      </c>
      <c r="D555" t="s">
        <v>850</v>
      </c>
      <c r="E555" t="s">
        <v>848</v>
      </c>
      <c r="F555" t="s">
        <v>995</v>
      </c>
      <c r="G555" t="s">
        <v>953</v>
      </c>
      <c r="H555" t="s">
        <v>937</v>
      </c>
    </row>
    <row r="556" spans="1:8" x14ac:dyDescent="0.25">
      <c r="A556" t="s">
        <v>752</v>
      </c>
      <c r="B556" t="s">
        <v>775</v>
      </c>
      <c r="C556" t="s">
        <v>774</v>
      </c>
      <c r="D556" t="s">
        <v>851</v>
      </c>
      <c r="E556" t="s">
        <v>849</v>
      </c>
      <c r="F556" t="s">
        <v>996</v>
      </c>
      <c r="G556" t="s">
        <v>997</v>
      </c>
      <c r="H556" t="s">
        <v>998</v>
      </c>
    </row>
    <row r="557" spans="1:8" x14ac:dyDescent="0.25">
      <c r="A557" t="s">
        <v>999</v>
      </c>
      <c r="B557" t="s">
        <v>777</v>
      </c>
      <c r="C557" t="s">
        <v>775</v>
      </c>
      <c r="D557" t="s">
        <v>853</v>
      </c>
      <c r="E557" t="s">
        <v>851</v>
      </c>
      <c r="F557" t="s">
        <v>1000</v>
      </c>
      <c r="G557" t="s">
        <v>957</v>
      </c>
      <c r="H557" t="s">
        <v>1001</v>
      </c>
    </row>
    <row r="558" spans="1:8" x14ac:dyDescent="0.25">
      <c r="A558" t="s">
        <v>753</v>
      </c>
      <c r="B558" t="s">
        <v>779</v>
      </c>
      <c r="C558" t="s">
        <v>824</v>
      </c>
      <c r="D558" t="s">
        <v>854</v>
      </c>
      <c r="E558" t="s">
        <v>853</v>
      </c>
      <c r="F558" t="s">
        <v>1002</v>
      </c>
      <c r="G558" t="s">
        <v>1003</v>
      </c>
      <c r="H558" t="s">
        <v>1004</v>
      </c>
    </row>
    <row r="559" spans="1:8" x14ac:dyDescent="0.25">
      <c r="A559" t="s">
        <v>952</v>
      </c>
      <c r="B559" t="s">
        <v>781</v>
      </c>
      <c r="C559" t="s">
        <v>777</v>
      </c>
      <c r="D559" t="s">
        <v>898</v>
      </c>
      <c r="E559" t="s">
        <v>854</v>
      </c>
      <c r="F559" t="s">
        <v>1005</v>
      </c>
      <c r="G559" t="s">
        <v>1006</v>
      </c>
      <c r="H559" t="s">
        <v>988</v>
      </c>
    </row>
    <row r="560" spans="1:8" x14ac:dyDescent="0.25">
      <c r="A560" t="s">
        <v>887</v>
      </c>
      <c r="B560" t="s">
        <v>782</v>
      </c>
      <c r="C560" t="s">
        <v>779</v>
      </c>
      <c r="D560" t="s">
        <v>900</v>
      </c>
      <c r="E560" t="s">
        <v>898</v>
      </c>
      <c r="F560" t="s">
        <v>1007</v>
      </c>
      <c r="G560" t="s">
        <v>1008</v>
      </c>
      <c r="H560" t="s">
        <v>938</v>
      </c>
    </row>
    <row r="561" spans="1:8" x14ac:dyDescent="0.25">
      <c r="A561" t="s">
        <v>754</v>
      </c>
      <c r="B561" t="s">
        <v>783</v>
      </c>
      <c r="C561" t="s">
        <v>781</v>
      </c>
      <c r="D561" t="s">
        <v>855</v>
      </c>
      <c r="E561" t="s">
        <v>900</v>
      </c>
      <c r="F561" t="s">
        <v>1009</v>
      </c>
      <c r="G561" t="s">
        <v>966</v>
      </c>
      <c r="H561" t="s">
        <v>950</v>
      </c>
    </row>
    <row r="562" spans="1:8" x14ac:dyDescent="0.25">
      <c r="A562" t="s">
        <v>800</v>
      </c>
      <c r="B562" t="s">
        <v>784</v>
      </c>
      <c r="C562" t="s">
        <v>782</v>
      </c>
      <c r="D562" t="s">
        <v>857</v>
      </c>
      <c r="E562" t="s">
        <v>855</v>
      </c>
      <c r="F562" t="s">
        <v>1010</v>
      </c>
      <c r="G562" t="s">
        <v>968</v>
      </c>
      <c r="H562" t="s">
        <v>951</v>
      </c>
    </row>
    <row r="563" spans="1:8" x14ac:dyDescent="0.25">
      <c r="A563" t="s">
        <v>755</v>
      </c>
      <c r="B563" t="s">
        <v>925</v>
      </c>
      <c r="C563" t="s">
        <v>783</v>
      </c>
      <c r="D563" t="s">
        <v>858</v>
      </c>
      <c r="E563" t="s">
        <v>857</v>
      </c>
      <c r="F563" t="s">
        <v>1011</v>
      </c>
      <c r="G563" t="s">
        <v>969</v>
      </c>
      <c r="H563" t="s">
        <v>953</v>
      </c>
    </row>
    <row r="564" spans="1:8" x14ac:dyDescent="0.25">
      <c r="A564" t="s">
        <v>756</v>
      </c>
      <c r="B564" t="s">
        <v>786</v>
      </c>
      <c r="C564" t="s">
        <v>784</v>
      </c>
      <c r="D564" t="s">
        <v>861</v>
      </c>
      <c r="E564" t="s">
        <v>858</v>
      </c>
      <c r="F564" t="s">
        <v>1012</v>
      </c>
      <c r="G564" t="s">
        <v>970</v>
      </c>
      <c r="H564" t="s">
        <v>1013</v>
      </c>
    </row>
    <row r="565" spans="1:8" x14ac:dyDescent="0.25">
      <c r="A565" t="s">
        <v>757</v>
      </c>
      <c r="B565" t="s">
        <v>788</v>
      </c>
      <c r="C565" t="s">
        <v>925</v>
      </c>
      <c r="D565" t="s">
        <v>862</v>
      </c>
      <c r="E565" t="s">
        <v>861</v>
      </c>
      <c r="F565" t="s">
        <v>1014</v>
      </c>
      <c r="G565" t="s">
        <v>971</v>
      </c>
      <c r="H565" t="s">
        <v>997</v>
      </c>
    </row>
    <row r="566" spans="1:8" x14ac:dyDescent="0.25">
      <c r="A566" t="s">
        <v>891</v>
      </c>
      <c r="B566" t="s">
        <v>789</v>
      </c>
      <c r="C566" t="s">
        <v>786</v>
      </c>
      <c r="D566" t="s">
        <v>864</v>
      </c>
      <c r="E566" t="s">
        <v>862</v>
      </c>
      <c r="F566" t="s">
        <v>1015</v>
      </c>
      <c r="G566" t="s">
        <v>972</v>
      </c>
      <c r="H566" t="s">
        <v>957</v>
      </c>
    </row>
    <row r="567" spans="1:8" x14ac:dyDescent="0.25">
      <c r="A567" t="s">
        <v>759</v>
      </c>
      <c r="B567" t="s">
        <v>791</v>
      </c>
      <c r="C567" t="s">
        <v>788</v>
      </c>
      <c r="D567" t="s">
        <v>865</v>
      </c>
      <c r="E567" t="s">
        <v>864</v>
      </c>
      <c r="F567" t="s">
        <v>1016</v>
      </c>
      <c r="G567" t="s">
        <v>973</v>
      </c>
      <c r="H567" t="s">
        <v>1017</v>
      </c>
    </row>
    <row r="568" spans="1:8" x14ac:dyDescent="0.25">
      <c r="A568" t="s">
        <v>760</v>
      </c>
      <c r="B568" t="s">
        <v>792</v>
      </c>
      <c r="C568" t="s">
        <v>789</v>
      </c>
      <c r="D568" t="s">
        <v>866</v>
      </c>
      <c r="E568" t="s">
        <v>865</v>
      </c>
      <c r="F568" t="s">
        <v>1018</v>
      </c>
      <c r="G568" t="s">
        <v>987</v>
      </c>
      <c r="H568" t="s">
        <v>1003</v>
      </c>
    </row>
    <row r="569" spans="1:8" x14ac:dyDescent="0.25">
      <c r="A569" t="s">
        <v>761</v>
      </c>
      <c r="B569" t="s">
        <v>794</v>
      </c>
      <c r="C569" t="s">
        <v>791</v>
      </c>
      <c r="D569" t="s">
        <v>871</v>
      </c>
      <c r="E569" t="s">
        <v>866</v>
      </c>
      <c r="F569" t="s">
        <v>1019</v>
      </c>
      <c r="G569" t="s">
        <v>989</v>
      </c>
      <c r="H569" t="s">
        <v>1006</v>
      </c>
    </row>
    <row r="570" spans="1:8" x14ac:dyDescent="0.25">
      <c r="A570" t="s">
        <v>762</v>
      </c>
      <c r="B570" t="s">
        <v>796</v>
      </c>
      <c r="C570" t="s">
        <v>792</v>
      </c>
      <c r="D570" t="s">
        <v>872</v>
      </c>
      <c r="E570" t="s">
        <v>869</v>
      </c>
      <c r="F570" t="s">
        <v>1020</v>
      </c>
      <c r="G570" t="s">
        <v>992</v>
      </c>
      <c r="H570" t="s">
        <v>1021</v>
      </c>
    </row>
    <row r="571" spans="1:8" x14ac:dyDescent="0.25">
      <c r="A571" t="s">
        <v>1022</v>
      </c>
      <c r="B571" t="s">
        <v>798</v>
      </c>
      <c r="C571" t="s">
        <v>794</v>
      </c>
      <c r="D571" t="s">
        <v>873</v>
      </c>
      <c r="E571" t="s">
        <v>871</v>
      </c>
      <c r="F571" t="s">
        <v>1023</v>
      </c>
      <c r="G571" t="s">
        <v>994</v>
      </c>
      <c r="H571" t="s">
        <v>1008</v>
      </c>
    </row>
    <row r="572" spans="1:8" x14ac:dyDescent="0.25">
      <c r="A572" t="s">
        <v>811</v>
      </c>
      <c r="B572" t="s">
        <v>799</v>
      </c>
      <c r="C572" t="s">
        <v>796</v>
      </c>
      <c r="D572" t="s">
        <v>876</v>
      </c>
      <c r="E572" t="s">
        <v>872</v>
      </c>
      <c r="F572" t="s">
        <v>1024</v>
      </c>
      <c r="G572" t="s">
        <v>995</v>
      </c>
      <c r="H572" t="s">
        <v>966</v>
      </c>
    </row>
    <row r="573" spans="1:8" x14ac:dyDescent="0.25">
      <c r="A573" t="s">
        <v>764</v>
      </c>
      <c r="B573" t="s">
        <v>802</v>
      </c>
      <c r="C573" t="s">
        <v>798</v>
      </c>
      <c r="D573" t="s">
        <v>878</v>
      </c>
      <c r="E573" t="s">
        <v>873</v>
      </c>
      <c r="F573" t="s">
        <v>1025</v>
      </c>
      <c r="G573" t="s">
        <v>1026</v>
      </c>
      <c r="H573" t="s">
        <v>968</v>
      </c>
    </row>
    <row r="574" spans="1:8" x14ac:dyDescent="0.25">
      <c r="A574" t="s">
        <v>765</v>
      </c>
      <c r="B574" t="s">
        <v>843</v>
      </c>
      <c r="C574" t="s">
        <v>799</v>
      </c>
      <c r="D574" t="s">
        <v>879</v>
      </c>
      <c r="E574" t="s">
        <v>876</v>
      </c>
      <c r="F574" t="s">
        <v>1027</v>
      </c>
      <c r="G574" t="s">
        <v>996</v>
      </c>
      <c r="H574" t="s">
        <v>969</v>
      </c>
    </row>
    <row r="575" spans="1:8" x14ac:dyDescent="0.25">
      <c r="A575" t="s">
        <v>768</v>
      </c>
      <c r="B575" t="s">
        <v>803</v>
      </c>
      <c r="C575" t="s">
        <v>802</v>
      </c>
      <c r="D575" t="s">
        <v>880</v>
      </c>
      <c r="E575" t="s">
        <v>877</v>
      </c>
      <c r="F575" t="s">
        <v>1028</v>
      </c>
      <c r="G575" t="s">
        <v>1029</v>
      </c>
      <c r="H575" t="s">
        <v>970</v>
      </c>
    </row>
    <row r="576" spans="1:8" x14ac:dyDescent="0.25">
      <c r="A576" t="s">
        <v>769</v>
      </c>
      <c r="B576" t="s">
        <v>804</v>
      </c>
      <c r="C576" t="s">
        <v>803</v>
      </c>
      <c r="D576" t="s">
        <v>882</v>
      </c>
      <c r="E576" t="s">
        <v>878</v>
      </c>
      <c r="F576" t="s">
        <v>1030</v>
      </c>
      <c r="G576" t="s">
        <v>1000</v>
      </c>
      <c r="H576" t="s">
        <v>971</v>
      </c>
    </row>
    <row r="577" spans="1:8" x14ac:dyDescent="0.25">
      <c r="A577" t="s">
        <v>978</v>
      </c>
      <c r="B577" t="s">
        <v>806</v>
      </c>
      <c r="C577" t="s">
        <v>804</v>
      </c>
      <c r="D577" t="s">
        <v>883</v>
      </c>
      <c r="E577" t="s">
        <v>1031</v>
      </c>
      <c r="F577" t="s">
        <v>1032</v>
      </c>
      <c r="G577" t="s">
        <v>1002</v>
      </c>
      <c r="H577" t="s">
        <v>972</v>
      </c>
    </row>
    <row r="578" spans="1:8" x14ac:dyDescent="0.25">
      <c r="A578" t="s">
        <v>907</v>
      </c>
      <c r="B578" t="s">
        <v>807</v>
      </c>
      <c r="C578" t="s">
        <v>806</v>
      </c>
      <c r="D578" t="s">
        <v>888</v>
      </c>
      <c r="E578" t="s">
        <v>879</v>
      </c>
      <c r="F578" t="s">
        <v>1033</v>
      </c>
      <c r="G578" t="s">
        <v>1034</v>
      </c>
      <c r="H578" t="s">
        <v>973</v>
      </c>
    </row>
    <row r="579" spans="1:8" x14ac:dyDescent="0.25">
      <c r="A579" t="s">
        <v>984</v>
      </c>
      <c r="B579" t="s">
        <v>808</v>
      </c>
      <c r="C579" t="s">
        <v>807</v>
      </c>
      <c r="D579" t="s">
        <v>889</v>
      </c>
      <c r="E579" t="s">
        <v>880</v>
      </c>
      <c r="F579" t="s">
        <v>1035</v>
      </c>
      <c r="G579" t="s">
        <v>1005</v>
      </c>
      <c r="H579" t="s">
        <v>981</v>
      </c>
    </row>
    <row r="580" spans="1:8" x14ac:dyDescent="0.25">
      <c r="A580" t="s">
        <v>770</v>
      </c>
      <c r="B580" t="s">
        <v>809</v>
      </c>
      <c r="C580" t="s">
        <v>808</v>
      </c>
      <c r="D580" t="s">
        <v>892</v>
      </c>
      <c r="E580" t="s">
        <v>882</v>
      </c>
      <c r="F580" t="s">
        <v>1036</v>
      </c>
      <c r="G580" t="s">
        <v>1037</v>
      </c>
      <c r="H580" t="s">
        <v>1038</v>
      </c>
    </row>
    <row r="581" spans="1:8" x14ac:dyDescent="0.25">
      <c r="A581" t="s">
        <v>772</v>
      </c>
      <c r="B581" t="s">
        <v>1039</v>
      </c>
      <c r="C581" t="s">
        <v>809</v>
      </c>
      <c r="D581" t="s">
        <v>893</v>
      </c>
      <c r="E581" t="s">
        <v>883</v>
      </c>
      <c r="F581" t="s">
        <v>1040</v>
      </c>
      <c r="G581" t="s">
        <v>1007</v>
      </c>
      <c r="H581" t="s">
        <v>987</v>
      </c>
    </row>
    <row r="582" spans="1:8" x14ac:dyDescent="0.25">
      <c r="A582" t="s">
        <v>819</v>
      </c>
      <c r="B582" t="s">
        <v>810</v>
      </c>
      <c r="C582" t="s">
        <v>1039</v>
      </c>
      <c r="D582" t="s">
        <v>894</v>
      </c>
      <c r="E582" t="s">
        <v>1041</v>
      </c>
      <c r="F582" t="s">
        <v>1042</v>
      </c>
      <c r="G582" t="s">
        <v>1009</v>
      </c>
      <c r="H582" t="s">
        <v>989</v>
      </c>
    </row>
    <row r="583" spans="1:8" x14ac:dyDescent="0.25">
      <c r="A583" t="s">
        <v>821</v>
      </c>
      <c r="B583" t="s">
        <v>812</v>
      </c>
      <c r="C583" t="s">
        <v>810</v>
      </c>
      <c r="D583" t="s">
        <v>941</v>
      </c>
      <c r="E583" t="s">
        <v>884</v>
      </c>
      <c r="F583" t="s">
        <v>1043</v>
      </c>
      <c r="G583" t="s">
        <v>1010</v>
      </c>
      <c r="H583" t="s">
        <v>992</v>
      </c>
    </row>
    <row r="584" spans="1:8" x14ac:dyDescent="0.25">
      <c r="A584" t="s">
        <v>774</v>
      </c>
      <c r="B584" t="s">
        <v>813</v>
      </c>
      <c r="C584" t="s">
        <v>812</v>
      </c>
      <c r="D584" t="s">
        <v>944</v>
      </c>
      <c r="E584" t="s">
        <v>885</v>
      </c>
      <c r="F584" t="s">
        <v>1044</v>
      </c>
      <c r="G584" t="s">
        <v>1011</v>
      </c>
      <c r="H584" t="s">
        <v>994</v>
      </c>
    </row>
    <row r="585" spans="1:8" x14ac:dyDescent="0.25">
      <c r="A585" t="s">
        <v>775</v>
      </c>
      <c r="B585" t="s">
        <v>814</v>
      </c>
      <c r="C585" t="s">
        <v>814</v>
      </c>
      <c r="D585" t="s">
        <v>946</v>
      </c>
      <c r="E585" t="s">
        <v>888</v>
      </c>
      <c r="F585" t="s">
        <v>1045</v>
      </c>
      <c r="G585" t="s">
        <v>1012</v>
      </c>
      <c r="H585" t="s">
        <v>995</v>
      </c>
    </row>
    <row r="586" spans="1:8" x14ac:dyDescent="0.25">
      <c r="A586" t="s">
        <v>824</v>
      </c>
      <c r="B586" t="s">
        <v>815</v>
      </c>
      <c r="C586" t="s">
        <v>818</v>
      </c>
      <c r="D586" t="s">
        <v>948</v>
      </c>
      <c r="E586" t="s">
        <v>889</v>
      </c>
      <c r="F586" t="s">
        <v>1046</v>
      </c>
      <c r="G586" t="s">
        <v>1014</v>
      </c>
      <c r="H586" t="s">
        <v>1026</v>
      </c>
    </row>
    <row r="587" spans="1:8" x14ac:dyDescent="0.25">
      <c r="A587" t="s">
        <v>777</v>
      </c>
      <c r="B587" t="s">
        <v>816</v>
      </c>
      <c r="C587" t="s">
        <v>823</v>
      </c>
      <c r="D587" t="s">
        <v>1047</v>
      </c>
      <c r="E587" t="s">
        <v>892</v>
      </c>
      <c r="F587" t="s">
        <v>1048</v>
      </c>
      <c r="G587" t="s">
        <v>1015</v>
      </c>
      <c r="H587" t="s">
        <v>1049</v>
      </c>
    </row>
    <row r="588" spans="1:8" x14ac:dyDescent="0.25">
      <c r="A588" t="s">
        <v>779</v>
      </c>
      <c r="B588" t="s">
        <v>817</v>
      </c>
      <c r="C588" t="s">
        <v>827</v>
      </c>
      <c r="D588" t="s">
        <v>1050</v>
      </c>
      <c r="E588" t="s">
        <v>893</v>
      </c>
      <c r="F588" t="s">
        <v>1051</v>
      </c>
      <c r="G588" t="s">
        <v>1019</v>
      </c>
      <c r="H588" t="s">
        <v>996</v>
      </c>
    </row>
    <row r="589" spans="1:8" x14ac:dyDescent="0.25">
      <c r="A589" t="s">
        <v>781</v>
      </c>
      <c r="B589" t="s">
        <v>956</v>
      </c>
      <c r="C589" t="s">
        <v>831</v>
      </c>
      <c r="D589" t="s">
        <v>897</v>
      </c>
      <c r="E589" t="s">
        <v>894</v>
      </c>
      <c r="F589" t="s">
        <v>1052</v>
      </c>
      <c r="G589" t="s">
        <v>1020</v>
      </c>
      <c r="H589" t="s">
        <v>1029</v>
      </c>
    </row>
    <row r="590" spans="1:8" x14ac:dyDescent="0.25">
      <c r="A590" t="s">
        <v>1053</v>
      </c>
      <c r="B590" t="s">
        <v>818</v>
      </c>
      <c r="C590" t="s">
        <v>834</v>
      </c>
      <c r="D590" t="s">
        <v>1054</v>
      </c>
      <c r="E590" t="s">
        <v>1055</v>
      </c>
      <c r="F590" t="s">
        <v>1056</v>
      </c>
      <c r="G590" t="s">
        <v>1023</v>
      </c>
      <c r="H590" t="s">
        <v>1000</v>
      </c>
    </row>
    <row r="591" spans="1:8" x14ac:dyDescent="0.25">
      <c r="A591" t="s">
        <v>782</v>
      </c>
      <c r="B591" t="s">
        <v>820</v>
      </c>
      <c r="C591" t="s">
        <v>835</v>
      </c>
      <c r="D591" t="s">
        <v>1057</v>
      </c>
      <c r="E591" t="s">
        <v>896</v>
      </c>
      <c r="F591" t="s">
        <v>1058</v>
      </c>
      <c r="G591" t="s">
        <v>1024</v>
      </c>
      <c r="H591" t="s">
        <v>1002</v>
      </c>
    </row>
    <row r="592" spans="1:8" x14ac:dyDescent="0.25">
      <c r="A592" t="s">
        <v>783</v>
      </c>
      <c r="B592" t="s">
        <v>823</v>
      </c>
      <c r="C592" t="s">
        <v>841</v>
      </c>
      <c r="D592" t="s">
        <v>903</v>
      </c>
      <c r="E592" t="s">
        <v>1059</v>
      </c>
      <c r="F592" t="s">
        <v>1060</v>
      </c>
      <c r="G592" t="s">
        <v>1025</v>
      </c>
      <c r="H592" t="s">
        <v>1005</v>
      </c>
    </row>
    <row r="593" spans="1:8" x14ac:dyDescent="0.25">
      <c r="A593" t="s">
        <v>784</v>
      </c>
      <c r="B593" t="s">
        <v>1061</v>
      </c>
      <c r="C593" t="s">
        <v>842</v>
      </c>
      <c r="D593" t="s">
        <v>904</v>
      </c>
      <c r="E593" t="s">
        <v>897</v>
      </c>
      <c r="F593" t="s">
        <v>1062</v>
      </c>
      <c r="G593" t="s">
        <v>1027</v>
      </c>
      <c r="H593" t="s">
        <v>1037</v>
      </c>
    </row>
    <row r="594" spans="1:8" x14ac:dyDescent="0.25">
      <c r="A594" t="s">
        <v>925</v>
      </c>
      <c r="B594" t="s">
        <v>827</v>
      </c>
      <c r="C594" t="s">
        <v>844</v>
      </c>
      <c r="D594" t="s">
        <v>908</v>
      </c>
      <c r="E594" t="s">
        <v>1063</v>
      </c>
      <c r="F594" t="s">
        <v>1064</v>
      </c>
      <c r="G594" t="s">
        <v>1028</v>
      </c>
      <c r="H594" t="s">
        <v>1007</v>
      </c>
    </row>
    <row r="595" spans="1:8" x14ac:dyDescent="0.25">
      <c r="A595" t="s">
        <v>786</v>
      </c>
      <c r="B595" t="s">
        <v>1065</v>
      </c>
      <c r="C595" t="s">
        <v>847</v>
      </c>
      <c r="D595" t="s">
        <v>1066</v>
      </c>
      <c r="E595" t="s">
        <v>1067</v>
      </c>
      <c r="F595" t="s">
        <v>1068</v>
      </c>
      <c r="G595" t="s">
        <v>1030</v>
      </c>
      <c r="H595" t="s">
        <v>1009</v>
      </c>
    </row>
    <row r="596" spans="1:8" x14ac:dyDescent="0.25">
      <c r="A596" t="s">
        <v>788</v>
      </c>
      <c r="B596" t="s">
        <v>831</v>
      </c>
      <c r="C596" t="s">
        <v>848</v>
      </c>
      <c r="D596" t="s">
        <v>909</v>
      </c>
      <c r="E596" t="s">
        <v>903</v>
      </c>
      <c r="F596" t="s">
        <v>1069</v>
      </c>
      <c r="G596" t="s">
        <v>1032</v>
      </c>
      <c r="H596" t="s">
        <v>1070</v>
      </c>
    </row>
    <row r="597" spans="1:8" x14ac:dyDescent="0.25">
      <c r="A597" t="s">
        <v>789</v>
      </c>
      <c r="B597" t="s">
        <v>832</v>
      </c>
      <c r="C597" t="s">
        <v>849</v>
      </c>
      <c r="D597" t="s">
        <v>910</v>
      </c>
      <c r="E597" t="s">
        <v>904</v>
      </c>
      <c r="F597" t="s">
        <v>1071</v>
      </c>
      <c r="G597" t="s">
        <v>1033</v>
      </c>
      <c r="H597" t="s">
        <v>1010</v>
      </c>
    </row>
    <row r="598" spans="1:8" x14ac:dyDescent="0.25">
      <c r="A598" t="s">
        <v>791</v>
      </c>
      <c r="B598" t="s">
        <v>834</v>
      </c>
      <c r="C598" t="s">
        <v>850</v>
      </c>
      <c r="D598" t="s">
        <v>911</v>
      </c>
      <c r="E598" t="s">
        <v>908</v>
      </c>
      <c r="F598" t="s">
        <v>1072</v>
      </c>
      <c r="G598" t="s">
        <v>1035</v>
      </c>
      <c r="H598" t="s">
        <v>1012</v>
      </c>
    </row>
    <row r="599" spans="1:8" x14ac:dyDescent="0.25">
      <c r="A599" t="s">
        <v>792</v>
      </c>
      <c r="B599" t="s">
        <v>835</v>
      </c>
      <c r="C599" t="s">
        <v>851</v>
      </c>
      <c r="D599" t="s">
        <v>917</v>
      </c>
      <c r="E599" t="s">
        <v>909</v>
      </c>
      <c r="F599" t="s">
        <v>1073</v>
      </c>
      <c r="G599" t="s">
        <v>1040</v>
      </c>
      <c r="H599" t="s">
        <v>1014</v>
      </c>
    </row>
    <row r="600" spans="1:8" x14ac:dyDescent="0.25">
      <c r="A600" t="s">
        <v>794</v>
      </c>
      <c r="B600" t="s">
        <v>836</v>
      </c>
      <c r="C600" t="s">
        <v>853</v>
      </c>
      <c r="D600" t="s">
        <v>919</v>
      </c>
      <c r="E600" t="s">
        <v>910</v>
      </c>
      <c r="F600" t="s">
        <v>1074</v>
      </c>
      <c r="G600" t="s">
        <v>1042</v>
      </c>
      <c r="H600" t="s">
        <v>1019</v>
      </c>
    </row>
    <row r="601" spans="1:8" x14ac:dyDescent="0.25">
      <c r="A601" t="s">
        <v>796</v>
      </c>
      <c r="B601" t="s">
        <v>837</v>
      </c>
      <c r="C601" t="s">
        <v>854</v>
      </c>
      <c r="D601" t="s">
        <v>924</v>
      </c>
      <c r="E601" t="s">
        <v>916</v>
      </c>
      <c r="F601" t="s">
        <v>1075</v>
      </c>
      <c r="G601" t="s">
        <v>1043</v>
      </c>
      <c r="H601" t="s">
        <v>1020</v>
      </c>
    </row>
    <row r="602" spans="1:8" x14ac:dyDescent="0.25">
      <c r="A602" t="s">
        <v>798</v>
      </c>
      <c r="B602" t="s">
        <v>1076</v>
      </c>
      <c r="C602" t="s">
        <v>898</v>
      </c>
      <c r="D602" t="s">
        <v>926</v>
      </c>
      <c r="E602" t="s">
        <v>919</v>
      </c>
      <c r="F602" t="s">
        <v>1077</v>
      </c>
      <c r="G602" t="s">
        <v>1045</v>
      </c>
      <c r="H602" t="s">
        <v>1023</v>
      </c>
    </row>
    <row r="603" spans="1:8" x14ac:dyDescent="0.25">
      <c r="A603" t="s">
        <v>799</v>
      </c>
      <c r="B603" t="s">
        <v>839</v>
      </c>
      <c r="C603" t="s">
        <v>855</v>
      </c>
      <c r="D603" t="s">
        <v>932</v>
      </c>
      <c r="E603" t="s">
        <v>926</v>
      </c>
      <c r="F603" t="s">
        <v>1078</v>
      </c>
      <c r="G603" t="s">
        <v>1052</v>
      </c>
      <c r="H603" t="s">
        <v>1024</v>
      </c>
    </row>
    <row r="604" spans="1:8" x14ac:dyDescent="0.25">
      <c r="A604" t="s">
        <v>802</v>
      </c>
      <c r="B604" t="s">
        <v>841</v>
      </c>
      <c r="C604" t="s">
        <v>857</v>
      </c>
      <c r="D604" t="s">
        <v>936</v>
      </c>
      <c r="E604" t="s">
        <v>930</v>
      </c>
      <c r="F604" t="s">
        <v>1079</v>
      </c>
      <c r="G604" t="s">
        <v>1056</v>
      </c>
      <c r="H604" t="s">
        <v>1025</v>
      </c>
    </row>
    <row r="605" spans="1:8" x14ac:dyDescent="0.25">
      <c r="A605" t="s">
        <v>843</v>
      </c>
      <c r="B605" t="s">
        <v>842</v>
      </c>
      <c r="C605" t="s">
        <v>858</v>
      </c>
      <c r="D605" t="s">
        <v>983</v>
      </c>
      <c r="E605" t="s">
        <v>931</v>
      </c>
      <c r="F605" t="s">
        <v>1080</v>
      </c>
      <c r="G605" t="s">
        <v>1058</v>
      </c>
      <c r="H605" t="s">
        <v>1027</v>
      </c>
    </row>
    <row r="606" spans="1:8" x14ac:dyDescent="0.25">
      <c r="A606" t="s">
        <v>803</v>
      </c>
      <c r="B606" t="s">
        <v>844</v>
      </c>
      <c r="C606" t="s">
        <v>864</v>
      </c>
      <c r="D606" t="s">
        <v>980</v>
      </c>
      <c r="E606" t="s">
        <v>933</v>
      </c>
      <c r="F606" t="s">
        <v>1081</v>
      </c>
      <c r="G606" t="s">
        <v>1060</v>
      </c>
      <c r="H606" t="s">
        <v>1028</v>
      </c>
    </row>
    <row r="607" spans="1:8" x14ac:dyDescent="0.25">
      <c r="A607" t="s">
        <v>1082</v>
      </c>
      <c r="B607" t="s">
        <v>845</v>
      </c>
      <c r="C607" t="s">
        <v>865</v>
      </c>
      <c r="D607" t="s">
        <v>1083</v>
      </c>
      <c r="E607" t="s">
        <v>936</v>
      </c>
      <c r="F607" t="s">
        <v>1084</v>
      </c>
      <c r="G607" t="s">
        <v>1085</v>
      </c>
      <c r="H607" t="s">
        <v>1030</v>
      </c>
    </row>
    <row r="608" spans="1:8" x14ac:dyDescent="0.25">
      <c r="A608" t="s">
        <v>804</v>
      </c>
      <c r="B608" t="s">
        <v>847</v>
      </c>
      <c r="C608" t="s">
        <v>866</v>
      </c>
      <c r="D608" t="s">
        <v>1086</v>
      </c>
      <c r="E608" t="s">
        <v>1087</v>
      </c>
      <c r="F608" t="s">
        <v>1088</v>
      </c>
      <c r="G608" t="s">
        <v>1062</v>
      </c>
      <c r="H608" t="s">
        <v>1032</v>
      </c>
    </row>
    <row r="609" spans="1:8" x14ac:dyDescent="0.25">
      <c r="A609" t="s">
        <v>806</v>
      </c>
      <c r="B609" t="s">
        <v>848</v>
      </c>
      <c r="C609" t="s">
        <v>871</v>
      </c>
      <c r="D609" t="s">
        <v>990</v>
      </c>
      <c r="E609" t="s">
        <v>988</v>
      </c>
      <c r="F609" t="s">
        <v>1089</v>
      </c>
      <c r="G609" t="s">
        <v>1090</v>
      </c>
      <c r="H609" t="s">
        <v>1091</v>
      </c>
    </row>
    <row r="610" spans="1:8" x14ac:dyDescent="0.25">
      <c r="A610" t="s">
        <v>807</v>
      </c>
      <c r="B610" t="s">
        <v>849</v>
      </c>
      <c r="C610" t="s">
        <v>872</v>
      </c>
      <c r="D610" t="s">
        <v>1092</v>
      </c>
      <c r="E610" t="s">
        <v>1093</v>
      </c>
      <c r="F610" t="s">
        <v>1094</v>
      </c>
      <c r="G610" t="s">
        <v>1064</v>
      </c>
      <c r="H610" t="s">
        <v>1040</v>
      </c>
    </row>
    <row r="611" spans="1:8" x14ac:dyDescent="0.25">
      <c r="A611" t="s">
        <v>808</v>
      </c>
      <c r="B611" t="s">
        <v>850</v>
      </c>
      <c r="C611" t="s">
        <v>873</v>
      </c>
      <c r="D611" t="s">
        <v>1004</v>
      </c>
      <c r="E611" t="s">
        <v>1095</v>
      </c>
      <c r="F611" t="s">
        <v>1096</v>
      </c>
      <c r="G611" t="s">
        <v>1069</v>
      </c>
      <c r="H611" t="s">
        <v>1042</v>
      </c>
    </row>
    <row r="612" spans="1:8" x14ac:dyDescent="0.25">
      <c r="A612" t="s">
        <v>809</v>
      </c>
      <c r="B612" t="s">
        <v>851</v>
      </c>
      <c r="C612" t="s">
        <v>876</v>
      </c>
      <c r="D612" t="s">
        <v>1097</v>
      </c>
      <c r="E612" t="s">
        <v>940</v>
      </c>
      <c r="F612" t="s">
        <v>1098</v>
      </c>
      <c r="G612" t="s">
        <v>1071</v>
      </c>
      <c r="H612" t="s">
        <v>1044</v>
      </c>
    </row>
    <row r="613" spans="1:8" x14ac:dyDescent="0.25">
      <c r="A613" t="s">
        <v>1039</v>
      </c>
      <c r="B613" t="s">
        <v>854</v>
      </c>
      <c r="C613" t="s">
        <v>877</v>
      </c>
      <c r="D613" t="s">
        <v>1099</v>
      </c>
      <c r="E613" t="s">
        <v>1100</v>
      </c>
      <c r="F613" t="s">
        <v>1101</v>
      </c>
      <c r="G613" t="s">
        <v>1072</v>
      </c>
      <c r="H613" t="s">
        <v>1045</v>
      </c>
    </row>
    <row r="614" spans="1:8" x14ac:dyDescent="0.25">
      <c r="A614" t="s">
        <v>810</v>
      </c>
      <c r="B614" t="s">
        <v>898</v>
      </c>
      <c r="C614" t="s">
        <v>878</v>
      </c>
      <c r="D614" t="s">
        <v>1102</v>
      </c>
      <c r="E614" t="s">
        <v>949</v>
      </c>
      <c r="F614" t="s">
        <v>1103</v>
      </c>
      <c r="G614" t="s">
        <v>1074</v>
      </c>
      <c r="H614" t="s">
        <v>1046</v>
      </c>
    </row>
    <row r="615" spans="1:8" x14ac:dyDescent="0.25">
      <c r="A615" t="s">
        <v>812</v>
      </c>
      <c r="B615" t="s">
        <v>857</v>
      </c>
      <c r="C615" t="s">
        <v>1031</v>
      </c>
      <c r="D615" t="s">
        <v>1104</v>
      </c>
      <c r="E615" t="s">
        <v>951</v>
      </c>
      <c r="F615" t="s">
        <v>1105</v>
      </c>
      <c r="G615" t="s">
        <v>1077</v>
      </c>
      <c r="H615" t="s">
        <v>1056</v>
      </c>
    </row>
    <row r="616" spans="1:8" x14ac:dyDescent="0.25">
      <c r="A616" t="s">
        <v>813</v>
      </c>
      <c r="B616" t="s">
        <v>858</v>
      </c>
      <c r="C616" t="s">
        <v>879</v>
      </c>
      <c r="D616" t="s">
        <v>988</v>
      </c>
      <c r="E616" t="s">
        <v>953</v>
      </c>
      <c r="F616" t="s">
        <v>1106</v>
      </c>
      <c r="G616" t="s">
        <v>1078</v>
      </c>
      <c r="H616" t="s">
        <v>1107</v>
      </c>
    </row>
    <row r="617" spans="1:8" x14ac:dyDescent="0.25">
      <c r="A617" t="s">
        <v>814</v>
      </c>
      <c r="B617" t="s">
        <v>861</v>
      </c>
      <c r="C617" t="s">
        <v>880</v>
      </c>
      <c r="D617" t="s">
        <v>940</v>
      </c>
      <c r="E617" t="s">
        <v>997</v>
      </c>
      <c r="F617" t="s">
        <v>1108</v>
      </c>
      <c r="G617" t="s">
        <v>1079</v>
      </c>
      <c r="H617" t="s">
        <v>1058</v>
      </c>
    </row>
    <row r="618" spans="1:8" x14ac:dyDescent="0.25">
      <c r="A618" t="s">
        <v>815</v>
      </c>
      <c r="B618" t="s">
        <v>862</v>
      </c>
      <c r="C618" t="s">
        <v>882</v>
      </c>
      <c r="D618" t="s">
        <v>949</v>
      </c>
      <c r="E618" t="s">
        <v>957</v>
      </c>
      <c r="F618" t="s">
        <v>1109</v>
      </c>
      <c r="G618" t="s">
        <v>1081</v>
      </c>
      <c r="H618" t="s">
        <v>1060</v>
      </c>
    </row>
    <row r="619" spans="1:8" x14ac:dyDescent="0.25">
      <c r="A619" t="s">
        <v>956</v>
      </c>
      <c r="B619" t="s">
        <v>864</v>
      </c>
      <c r="C619" t="s">
        <v>888</v>
      </c>
      <c r="D619" t="s">
        <v>951</v>
      </c>
      <c r="E619" t="s">
        <v>1003</v>
      </c>
      <c r="F619" t="s">
        <v>1110</v>
      </c>
      <c r="G619" t="s">
        <v>1088</v>
      </c>
      <c r="H619" t="s">
        <v>1062</v>
      </c>
    </row>
    <row r="620" spans="1:8" x14ac:dyDescent="0.25">
      <c r="A620" t="s">
        <v>818</v>
      </c>
      <c r="B620" t="s">
        <v>865</v>
      </c>
      <c r="C620" t="s">
        <v>889</v>
      </c>
      <c r="D620" t="s">
        <v>953</v>
      </c>
      <c r="E620" t="s">
        <v>960</v>
      </c>
      <c r="F620" t="s">
        <v>1111</v>
      </c>
      <c r="G620" t="s">
        <v>1089</v>
      </c>
      <c r="H620" t="s">
        <v>1090</v>
      </c>
    </row>
    <row r="621" spans="1:8" x14ac:dyDescent="0.25">
      <c r="A621" t="s">
        <v>820</v>
      </c>
      <c r="B621" t="s">
        <v>866</v>
      </c>
      <c r="C621" t="s">
        <v>892</v>
      </c>
      <c r="D621" t="s">
        <v>954</v>
      </c>
      <c r="E621" t="s">
        <v>963</v>
      </c>
      <c r="F621" t="s">
        <v>1112</v>
      </c>
      <c r="G621" t="s">
        <v>1094</v>
      </c>
      <c r="H621" t="s">
        <v>1064</v>
      </c>
    </row>
    <row r="622" spans="1:8" x14ac:dyDescent="0.25">
      <c r="A622" t="s">
        <v>823</v>
      </c>
      <c r="B622" t="s">
        <v>869</v>
      </c>
      <c r="C622" t="s">
        <v>893</v>
      </c>
      <c r="D622" t="s">
        <v>1013</v>
      </c>
      <c r="E622" t="s">
        <v>1021</v>
      </c>
      <c r="F622" t="s">
        <v>1113</v>
      </c>
      <c r="G622" t="s">
        <v>1096</v>
      </c>
      <c r="H622" t="s">
        <v>1069</v>
      </c>
    </row>
    <row r="623" spans="1:8" x14ac:dyDescent="0.25">
      <c r="A623" t="s">
        <v>827</v>
      </c>
      <c r="B623" t="s">
        <v>871</v>
      </c>
      <c r="C623" t="s">
        <v>894</v>
      </c>
      <c r="D623" t="s">
        <v>997</v>
      </c>
      <c r="E623" t="s">
        <v>1008</v>
      </c>
      <c r="F623" t="s">
        <v>1114</v>
      </c>
      <c r="G623" t="s">
        <v>1098</v>
      </c>
      <c r="H623" t="s">
        <v>1071</v>
      </c>
    </row>
    <row r="624" spans="1:8" x14ac:dyDescent="0.25">
      <c r="A624" t="s">
        <v>831</v>
      </c>
      <c r="B624" t="s">
        <v>872</v>
      </c>
      <c r="C624" t="s">
        <v>895</v>
      </c>
      <c r="D624" t="s">
        <v>957</v>
      </c>
      <c r="E624" t="s">
        <v>964</v>
      </c>
      <c r="F624" t="s">
        <v>1115</v>
      </c>
      <c r="G624" t="s">
        <v>1101</v>
      </c>
      <c r="H624" t="s">
        <v>1074</v>
      </c>
    </row>
    <row r="625" spans="1:8" x14ac:dyDescent="0.25">
      <c r="A625" t="s">
        <v>834</v>
      </c>
      <c r="B625" t="s">
        <v>873</v>
      </c>
      <c r="C625" t="s">
        <v>944</v>
      </c>
      <c r="D625" t="s">
        <v>1003</v>
      </c>
      <c r="E625" t="s">
        <v>965</v>
      </c>
      <c r="F625" t="s">
        <v>1116</v>
      </c>
      <c r="G625" t="s">
        <v>1103</v>
      </c>
      <c r="H625" t="s">
        <v>1117</v>
      </c>
    </row>
    <row r="626" spans="1:8" x14ac:dyDescent="0.25">
      <c r="A626" t="s">
        <v>835</v>
      </c>
      <c r="B626" t="s">
        <v>876</v>
      </c>
      <c r="C626" t="s">
        <v>1118</v>
      </c>
      <c r="D626" t="s">
        <v>1006</v>
      </c>
      <c r="E626" t="s">
        <v>966</v>
      </c>
      <c r="F626" t="s">
        <v>1119</v>
      </c>
      <c r="G626" t="s">
        <v>1105</v>
      </c>
      <c r="H626" t="s">
        <v>1077</v>
      </c>
    </row>
    <row r="627" spans="1:8" x14ac:dyDescent="0.25">
      <c r="A627" t="s">
        <v>1076</v>
      </c>
      <c r="B627" t="s">
        <v>878</v>
      </c>
      <c r="C627" t="s">
        <v>946</v>
      </c>
      <c r="D627" t="s">
        <v>960</v>
      </c>
      <c r="E627" t="s">
        <v>968</v>
      </c>
      <c r="F627" t="s">
        <v>1120</v>
      </c>
      <c r="G627" t="s">
        <v>1106</v>
      </c>
      <c r="H627" t="s">
        <v>1078</v>
      </c>
    </row>
    <row r="628" spans="1:8" x14ac:dyDescent="0.25">
      <c r="A628" t="s">
        <v>841</v>
      </c>
      <c r="B628" t="s">
        <v>1031</v>
      </c>
      <c r="C628" t="s">
        <v>948</v>
      </c>
      <c r="D628" t="s">
        <v>963</v>
      </c>
      <c r="E628" t="s">
        <v>969</v>
      </c>
      <c r="F628" t="s">
        <v>1121</v>
      </c>
      <c r="G628" t="s">
        <v>1108</v>
      </c>
      <c r="H628" t="s">
        <v>1079</v>
      </c>
    </row>
    <row r="629" spans="1:8" x14ac:dyDescent="0.25">
      <c r="A629" t="s">
        <v>842</v>
      </c>
      <c r="B629" t="s">
        <v>879</v>
      </c>
      <c r="C629" t="s">
        <v>1047</v>
      </c>
      <c r="D629" t="s">
        <v>1021</v>
      </c>
      <c r="E629" t="s">
        <v>1122</v>
      </c>
      <c r="F629" t="s">
        <v>1123</v>
      </c>
      <c r="G629" t="s">
        <v>1111</v>
      </c>
      <c r="H629" t="s">
        <v>1080</v>
      </c>
    </row>
    <row r="630" spans="1:8" x14ac:dyDescent="0.25">
      <c r="A630" t="s">
        <v>845</v>
      </c>
      <c r="B630" t="s">
        <v>880</v>
      </c>
      <c r="C630" t="s">
        <v>1063</v>
      </c>
      <c r="D630" t="s">
        <v>1008</v>
      </c>
      <c r="E630" t="s">
        <v>970</v>
      </c>
      <c r="F630" t="s">
        <v>1124</v>
      </c>
      <c r="G630" t="s">
        <v>1125</v>
      </c>
      <c r="H630" t="s">
        <v>1081</v>
      </c>
    </row>
    <row r="631" spans="1:8" x14ac:dyDescent="0.25">
      <c r="A631" t="s">
        <v>847</v>
      </c>
      <c r="B631" t="s">
        <v>882</v>
      </c>
      <c r="C631" t="s">
        <v>903</v>
      </c>
      <c r="D631" t="s">
        <v>966</v>
      </c>
      <c r="E631" t="s">
        <v>971</v>
      </c>
      <c r="F631" t="s">
        <v>1126</v>
      </c>
      <c r="G631" t="s">
        <v>1127</v>
      </c>
      <c r="H631" t="s">
        <v>1088</v>
      </c>
    </row>
    <row r="632" spans="1:8" x14ac:dyDescent="0.25">
      <c r="A632" t="s">
        <v>848</v>
      </c>
      <c r="B632" t="s">
        <v>1041</v>
      </c>
      <c r="C632" t="s">
        <v>904</v>
      </c>
      <c r="D632" t="s">
        <v>968</v>
      </c>
      <c r="E632" t="s">
        <v>972</v>
      </c>
      <c r="F632" t="s">
        <v>1128</v>
      </c>
      <c r="G632" t="s">
        <v>1113</v>
      </c>
      <c r="H632" t="s">
        <v>1089</v>
      </c>
    </row>
    <row r="633" spans="1:8" x14ac:dyDescent="0.25">
      <c r="A633" t="s">
        <v>849</v>
      </c>
      <c r="B633" t="s">
        <v>884</v>
      </c>
      <c r="C633" t="s">
        <v>908</v>
      </c>
      <c r="D633" t="s">
        <v>969</v>
      </c>
      <c r="E633" t="s">
        <v>973</v>
      </c>
      <c r="F633" t="s">
        <v>1129</v>
      </c>
      <c r="G633" t="s">
        <v>1114</v>
      </c>
      <c r="H633" t="s">
        <v>1094</v>
      </c>
    </row>
    <row r="634" spans="1:8" x14ac:dyDescent="0.25">
      <c r="A634" t="s">
        <v>850</v>
      </c>
      <c r="B634" t="s">
        <v>888</v>
      </c>
      <c r="C634" t="s">
        <v>909</v>
      </c>
      <c r="D634" t="s">
        <v>970</v>
      </c>
      <c r="E634" t="s">
        <v>977</v>
      </c>
      <c r="F634" t="s">
        <v>1130</v>
      </c>
      <c r="G634" t="s">
        <v>1115</v>
      </c>
      <c r="H634" t="s">
        <v>1096</v>
      </c>
    </row>
    <row r="635" spans="1:8" x14ac:dyDescent="0.25">
      <c r="A635" t="s">
        <v>851</v>
      </c>
      <c r="B635" t="s">
        <v>889</v>
      </c>
      <c r="C635" t="s">
        <v>910</v>
      </c>
      <c r="D635" t="s">
        <v>971</v>
      </c>
      <c r="E635" t="s">
        <v>981</v>
      </c>
      <c r="F635" t="s">
        <v>1131</v>
      </c>
      <c r="G635" t="s">
        <v>1116</v>
      </c>
      <c r="H635" t="s">
        <v>1101</v>
      </c>
    </row>
    <row r="636" spans="1:8" x14ac:dyDescent="0.25">
      <c r="A636" t="s">
        <v>1132</v>
      </c>
      <c r="B636" t="s">
        <v>892</v>
      </c>
      <c r="C636" t="s">
        <v>983</v>
      </c>
      <c r="D636" t="s">
        <v>972</v>
      </c>
      <c r="E636" t="s">
        <v>987</v>
      </c>
      <c r="F636" t="s">
        <v>1133</v>
      </c>
      <c r="G636" t="s">
        <v>1119</v>
      </c>
      <c r="H636" t="s">
        <v>1103</v>
      </c>
    </row>
    <row r="637" spans="1:8" x14ac:dyDescent="0.25">
      <c r="A637" t="s">
        <v>854</v>
      </c>
      <c r="B637" t="s">
        <v>893</v>
      </c>
      <c r="C637" t="s">
        <v>1134</v>
      </c>
      <c r="D637" t="s">
        <v>973</v>
      </c>
      <c r="E637" t="s">
        <v>989</v>
      </c>
      <c r="F637" t="s">
        <v>1135</v>
      </c>
      <c r="G637" t="s">
        <v>1121</v>
      </c>
      <c r="H637" t="s">
        <v>1111</v>
      </c>
    </row>
    <row r="638" spans="1:8" x14ac:dyDescent="0.25">
      <c r="A638" t="s">
        <v>898</v>
      </c>
      <c r="B638" t="s">
        <v>1136</v>
      </c>
      <c r="C638" t="s">
        <v>980</v>
      </c>
      <c r="D638" t="s">
        <v>977</v>
      </c>
      <c r="E638" t="s">
        <v>992</v>
      </c>
      <c r="F638" t="s">
        <v>1137</v>
      </c>
      <c r="G638" t="s">
        <v>1123</v>
      </c>
      <c r="H638" t="s">
        <v>1127</v>
      </c>
    </row>
    <row r="639" spans="1:8" x14ac:dyDescent="0.25">
      <c r="A639" t="s">
        <v>857</v>
      </c>
      <c r="B639" t="s">
        <v>894</v>
      </c>
      <c r="C639" t="s">
        <v>990</v>
      </c>
      <c r="D639" t="s">
        <v>979</v>
      </c>
      <c r="E639" t="s">
        <v>994</v>
      </c>
      <c r="F639" t="s">
        <v>1138</v>
      </c>
      <c r="G639" t="s">
        <v>1124</v>
      </c>
      <c r="H639" t="s">
        <v>1113</v>
      </c>
    </row>
    <row r="640" spans="1:8" x14ac:dyDescent="0.25">
      <c r="A640" t="s">
        <v>858</v>
      </c>
      <c r="B640" t="s">
        <v>895</v>
      </c>
      <c r="C640" t="s">
        <v>1092</v>
      </c>
      <c r="D640" t="s">
        <v>1139</v>
      </c>
      <c r="E640" t="s">
        <v>995</v>
      </c>
      <c r="F640" t="s">
        <v>1140</v>
      </c>
      <c r="G640" t="s">
        <v>1126</v>
      </c>
      <c r="H640" t="s">
        <v>1114</v>
      </c>
    </row>
    <row r="641" spans="1:8" x14ac:dyDescent="0.25">
      <c r="A641" t="s">
        <v>861</v>
      </c>
      <c r="B641" t="s">
        <v>1118</v>
      </c>
      <c r="C641" t="s">
        <v>1141</v>
      </c>
      <c r="D641" t="s">
        <v>981</v>
      </c>
      <c r="E641" t="s">
        <v>1049</v>
      </c>
      <c r="F641" t="s">
        <v>1142</v>
      </c>
      <c r="G641" t="s">
        <v>1128</v>
      </c>
      <c r="H641" t="s">
        <v>1115</v>
      </c>
    </row>
    <row r="642" spans="1:8" x14ac:dyDescent="0.25">
      <c r="A642" t="s">
        <v>862</v>
      </c>
      <c r="B642" t="s">
        <v>903</v>
      </c>
      <c r="C642" t="s">
        <v>1097</v>
      </c>
      <c r="D642" t="s">
        <v>985</v>
      </c>
      <c r="E642" t="s">
        <v>996</v>
      </c>
      <c r="F642" t="s">
        <v>1143</v>
      </c>
      <c r="G642" t="s">
        <v>1129</v>
      </c>
      <c r="H642" t="s">
        <v>1116</v>
      </c>
    </row>
    <row r="643" spans="1:8" x14ac:dyDescent="0.25">
      <c r="A643" t="s">
        <v>864</v>
      </c>
      <c r="B643" t="s">
        <v>1144</v>
      </c>
      <c r="C643" t="s">
        <v>1145</v>
      </c>
      <c r="D643" t="s">
        <v>1038</v>
      </c>
      <c r="E643" t="s">
        <v>1000</v>
      </c>
      <c r="F643" t="s">
        <v>1146</v>
      </c>
      <c r="G643" t="s">
        <v>1131</v>
      </c>
      <c r="H643" t="s">
        <v>1121</v>
      </c>
    </row>
    <row r="644" spans="1:8" x14ac:dyDescent="0.25">
      <c r="A644" t="s">
        <v>865</v>
      </c>
      <c r="B644" t="s">
        <v>1147</v>
      </c>
      <c r="C644" t="s">
        <v>1099</v>
      </c>
      <c r="D644" t="s">
        <v>987</v>
      </c>
      <c r="E644" t="s">
        <v>1002</v>
      </c>
      <c r="F644" t="s">
        <v>1148</v>
      </c>
      <c r="G644" t="s">
        <v>1133</v>
      </c>
      <c r="H644" t="s">
        <v>1123</v>
      </c>
    </row>
    <row r="645" spans="1:8" x14ac:dyDescent="0.25">
      <c r="A645" t="s">
        <v>866</v>
      </c>
      <c r="B645" t="s">
        <v>908</v>
      </c>
      <c r="C645" t="s">
        <v>988</v>
      </c>
      <c r="D645" t="s">
        <v>989</v>
      </c>
      <c r="E645" t="s">
        <v>1005</v>
      </c>
      <c r="F645" t="s">
        <v>1149</v>
      </c>
      <c r="G645" t="s">
        <v>1140</v>
      </c>
      <c r="H645" t="s">
        <v>1124</v>
      </c>
    </row>
    <row r="646" spans="1:8" x14ac:dyDescent="0.25">
      <c r="A646" t="s">
        <v>871</v>
      </c>
      <c r="B646" t="s">
        <v>1150</v>
      </c>
      <c r="C646" t="s">
        <v>1095</v>
      </c>
      <c r="D646" t="s">
        <v>992</v>
      </c>
      <c r="E646" t="s">
        <v>1037</v>
      </c>
      <c r="F646" t="s">
        <v>1151</v>
      </c>
      <c r="G646" t="s">
        <v>1142</v>
      </c>
      <c r="H646" t="s">
        <v>1126</v>
      </c>
    </row>
    <row r="647" spans="1:8" x14ac:dyDescent="0.25">
      <c r="A647" t="s">
        <v>872</v>
      </c>
      <c r="B647" t="s">
        <v>910</v>
      </c>
      <c r="C647" t="s">
        <v>940</v>
      </c>
      <c r="D647" t="s">
        <v>994</v>
      </c>
      <c r="E647" t="s">
        <v>1152</v>
      </c>
      <c r="F647" t="s">
        <v>1153</v>
      </c>
      <c r="G647" t="s">
        <v>1143</v>
      </c>
      <c r="H647" t="s">
        <v>1128</v>
      </c>
    </row>
    <row r="648" spans="1:8" x14ac:dyDescent="0.25">
      <c r="A648" t="s">
        <v>873</v>
      </c>
      <c r="B648" t="s">
        <v>1154</v>
      </c>
      <c r="C648" t="s">
        <v>951</v>
      </c>
      <c r="D648" t="s">
        <v>1049</v>
      </c>
      <c r="E648" t="s">
        <v>1070</v>
      </c>
      <c r="F648" t="s">
        <v>1155</v>
      </c>
      <c r="G648" t="s">
        <v>1149</v>
      </c>
      <c r="H648" t="s">
        <v>1129</v>
      </c>
    </row>
    <row r="649" spans="1:8" x14ac:dyDescent="0.25">
      <c r="A649" t="s">
        <v>876</v>
      </c>
      <c r="B649" t="s">
        <v>1156</v>
      </c>
      <c r="C649" t="s">
        <v>953</v>
      </c>
      <c r="D649" t="s">
        <v>996</v>
      </c>
      <c r="E649" t="s">
        <v>1157</v>
      </c>
      <c r="F649" t="s">
        <v>1158</v>
      </c>
      <c r="G649" t="s">
        <v>1151</v>
      </c>
      <c r="H649" t="s">
        <v>1133</v>
      </c>
    </row>
    <row r="650" spans="1:8" x14ac:dyDescent="0.25">
      <c r="A650" t="s">
        <v>878</v>
      </c>
      <c r="B650" t="s">
        <v>930</v>
      </c>
      <c r="C650" t="s">
        <v>1013</v>
      </c>
      <c r="D650" t="s">
        <v>1000</v>
      </c>
      <c r="E650" t="s">
        <v>1159</v>
      </c>
      <c r="F650" t="s">
        <v>1160</v>
      </c>
      <c r="G650" t="s">
        <v>1153</v>
      </c>
      <c r="H650" t="s">
        <v>1142</v>
      </c>
    </row>
    <row r="651" spans="1:8" x14ac:dyDescent="0.25">
      <c r="A651" t="s">
        <v>879</v>
      </c>
      <c r="B651" t="s">
        <v>990</v>
      </c>
      <c r="C651" t="s">
        <v>997</v>
      </c>
      <c r="D651" t="s">
        <v>1005</v>
      </c>
      <c r="E651" t="s">
        <v>1019</v>
      </c>
      <c r="F651" t="s">
        <v>1161</v>
      </c>
      <c r="G651" t="s">
        <v>1160</v>
      </c>
      <c r="H651" t="s">
        <v>1143</v>
      </c>
    </row>
    <row r="652" spans="1:8" x14ac:dyDescent="0.25">
      <c r="A652" t="s">
        <v>880</v>
      </c>
      <c r="B652" t="s">
        <v>1162</v>
      </c>
      <c r="C652" t="s">
        <v>957</v>
      </c>
      <c r="D652" t="s">
        <v>1163</v>
      </c>
      <c r="E652" t="s">
        <v>1020</v>
      </c>
      <c r="F652" t="s">
        <v>1164</v>
      </c>
      <c r="G652" t="s">
        <v>1161</v>
      </c>
      <c r="H652" t="s">
        <v>1146</v>
      </c>
    </row>
    <row r="653" spans="1:8" x14ac:dyDescent="0.25">
      <c r="A653" t="s">
        <v>882</v>
      </c>
      <c r="B653" t="s">
        <v>1141</v>
      </c>
      <c r="C653" t="s">
        <v>960</v>
      </c>
      <c r="D653" t="s">
        <v>1165</v>
      </c>
      <c r="E653" t="s">
        <v>1023</v>
      </c>
      <c r="F653" t="s">
        <v>1166</v>
      </c>
      <c r="G653" t="s">
        <v>1164</v>
      </c>
      <c r="H653" t="s">
        <v>1167</v>
      </c>
    </row>
    <row r="654" spans="1:8" x14ac:dyDescent="0.25">
      <c r="A654" t="s">
        <v>1041</v>
      </c>
      <c r="B654" t="s">
        <v>1097</v>
      </c>
      <c r="C654" t="s">
        <v>1021</v>
      </c>
      <c r="D654" t="s">
        <v>1152</v>
      </c>
      <c r="E654" t="s">
        <v>1024</v>
      </c>
      <c r="F654" t="s">
        <v>1168</v>
      </c>
      <c r="G654" t="s">
        <v>1168</v>
      </c>
      <c r="H654" t="s">
        <v>1149</v>
      </c>
    </row>
    <row r="655" spans="1:8" x14ac:dyDescent="0.25">
      <c r="A655" t="s">
        <v>885</v>
      </c>
      <c r="B655" t="s">
        <v>1145</v>
      </c>
      <c r="C655" t="s">
        <v>1008</v>
      </c>
      <c r="D655" t="s">
        <v>1070</v>
      </c>
      <c r="E655" t="s">
        <v>1025</v>
      </c>
      <c r="F655" t="s">
        <v>1169</v>
      </c>
      <c r="G655" t="s">
        <v>1170</v>
      </c>
      <c r="H655" t="s">
        <v>1151</v>
      </c>
    </row>
    <row r="656" spans="1:8" x14ac:dyDescent="0.25">
      <c r="A656" t="s">
        <v>888</v>
      </c>
      <c r="B656" t="s">
        <v>988</v>
      </c>
      <c r="C656" t="s">
        <v>964</v>
      </c>
      <c r="D656" t="s">
        <v>1157</v>
      </c>
      <c r="E656" t="s">
        <v>1027</v>
      </c>
      <c r="F656" t="s">
        <v>1170</v>
      </c>
      <c r="G656" t="s">
        <v>1171</v>
      </c>
      <c r="H656" t="s">
        <v>1153</v>
      </c>
    </row>
    <row r="657" spans="1:8" x14ac:dyDescent="0.25">
      <c r="A657" t="s">
        <v>889</v>
      </c>
      <c r="B657" t="s">
        <v>1093</v>
      </c>
      <c r="C657" t="s">
        <v>965</v>
      </c>
      <c r="D657" t="s">
        <v>1172</v>
      </c>
      <c r="E657" t="s">
        <v>1028</v>
      </c>
      <c r="F657" t="s">
        <v>1171</v>
      </c>
      <c r="G657" t="s">
        <v>1173</v>
      </c>
      <c r="H657" t="s">
        <v>1155</v>
      </c>
    </row>
    <row r="658" spans="1:8" x14ac:dyDescent="0.25">
      <c r="A658" t="s">
        <v>892</v>
      </c>
      <c r="B658" t="s">
        <v>1095</v>
      </c>
      <c r="C658" t="s">
        <v>966</v>
      </c>
      <c r="D658" t="s">
        <v>1159</v>
      </c>
      <c r="E658" t="s">
        <v>1030</v>
      </c>
      <c r="F658" t="s">
        <v>1173</v>
      </c>
      <c r="G658" t="s">
        <v>1174</v>
      </c>
      <c r="H658" t="s">
        <v>1160</v>
      </c>
    </row>
    <row r="659" spans="1:8" x14ac:dyDescent="0.25">
      <c r="A659" t="s">
        <v>893</v>
      </c>
      <c r="B659" t="s">
        <v>940</v>
      </c>
      <c r="C659" t="s">
        <v>968</v>
      </c>
      <c r="D659" t="s">
        <v>1019</v>
      </c>
      <c r="E659" t="s">
        <v>1032</v>
      </c>
      <c r="F659" t="s">
        <v>1174</v>
      </c>
      <c r="G659" t="s">
        <v>1175</v>
      </c>
      <c r="H659" t="s">
        <v>1161</v>
      </c>
    </row>
    <row r="660" spans="1:8" x14ac:dyDescent="0.25">
      <c r="A660" t="s">
        <v>894</v>
      </c>
      <c r="B660" t="s">
        <v>964</v>
      </c>
      <c r="C660" t="s">
        <v>969</v>
      </c>
      <c r="D660" t="s">
        <v>1020</v>
      </c>
      <c r="E660" t="s">
        <v>1033</v>
      </c>
      <c r="F660" t="s">
        <v>1175</v>
      </c>
      <c r="G660" t="s">
        <v>1176</v>
      </c>
      <c r="H660" t="s">
        <v>1164</v>
      </c>
    </row>
    <row r="661" spans="1:8" x14ac:dyDescent="0.25">
      <c r="A661" t="s">
        <v>1118</v>
      </c>
      <c r="B661" t="s">
        <v>965</v>
      </c>
      <c r="C661" t="s">
        <v>970</v>
      </c>
      <c r="D661" t="s">
        <v>1023</v>
      </c>
      <c r="E661" t="s">
        <v>1040</v>
      </c>
      <c r="F661" t="s">
        <v>1177</v>
      </c>
      <c r="G661" t="s">
        <v>1178</v>
      </c>
      <c r="H661" t="s">
        <v>1166</v>
      </c>
    </row>
    <row r="662" spans="1:8" x14ac:dyDescent="0.25">
      <c r="A662" t="s">
        <v>1050</v>
      </c>
      <c r="B662" t="s">
        <v>966</v>
      </c>
      <c r="C662" t="s">
        <v>971</v>
      </c>
      <c r="D662" t="s">
        <v>1024</v>
      </c>
      <c r="E662" t="s">
        <v>1042</v>
      </c>
      <c r="F662" t="s">
        <v>1176</v>
      </c>
      <c r="G662" t="s">
        <v>1179</v>
      </c>
      <c r="H662" t="s">
        <v>1168</v>
      </c>
    </row>
    <row r="663" spans="1:8" x14ac:dyDescent="0.25">
      <c r="A663" t="s">
        <v>1055</v>
      </c>
      <c r="B663" t="s">
        <v>968</v>
      </c>
      <c r="C663" t="s">
        <v>972</v>
      </c>
      <c r="D663" t="s">
        <v>1025</v>
      </c>
      <c r="E663" t="s">
        <v>1043</v>
      </c>
      <c r="F663" t="s">
        <v>1178</v>
      </c>
      <c r="G663" t="s">
        <v>1180</v>
      </c>
      <c r="H663" t="s">
        <v>1169</v>
      </c>
    </row>
    <row r="664" spans="1:8" x14ac:dyDescent="0.25">
      <c r="A664" t="s">
        <v>1054</v>
      </c>
      <c r="B664" t="s">
        <v>969</v>
      </c>
      <c r="C664" t="s">
        <v>973</v>
      </c>
      <c r="D664" t="s">
        <v>1027</v>
      </c>
      <c r="E664" t="s">
        <v>1181</v>
      </c>
      <c r="F664" t="s">
        <v>1179</v>
      </c>
      <c r="G664" t="s">
        <v>1182</v>
      </c>
      <c r="H664" t="s">
        <v>1170</v>
      </c>
    </row>
    <row r="665" spans="1:8" x14ac:dyDescent="0.25">
      <c r="A665" t="s">
        <v>1063</v>
      </c>
      <c r="B665" t="s">
        <v>1183</v>
      </c>
      <c r="C665" t="s">
        <v>979</v>
      </c>
      <c r="D665" t="s">
        <v>1028</v>
      </c>
      <c r="E665" t="s">
        <v>1184</v>
      </c>
      <c r="F665" t="s">
        <v>1180</v>
      </c>
      <c r="G665" t="s">
        <v>1185</v>
      </c>
      <c r="H665" t="s">
        <v>1171</v>
      </c>
    </row>
    <row r="666" spans="1:8" x14ac:dyDescent="0.25">
      <c r="A666" t="s">
        <v>903</v>
      </c>
      <c r="B666" t="s">
        <v>1122</v>
      </c>
      <c r="C666" t="s">
        <v>981</v>
      </c>
      <c r="D666" t="s">
        <v>1030</v>
      </c>
      <c r="E666" t="s">
        <v>1045</v>
      </c>
      <c r="F666" t="s">
        <v>1186</v>
      </c>
      <c r="G666" t="s">
        <v>1187</v>
      </c>
      <c r="H666" t="s">
        <v>1173</v>
      </c>
    </row>
    <row r="667" spans="1:8" x14ac:dyDescent="0.25">
      <c r="A667" t="s">
        <v>1147</v>
      </c>
      <c r="B667" t="s">
        <v>970</v>
      </c>
      <c r="C667" t="s">
        <v>985</v>
      </c>
      <c r="D667" t="s">
        <v>1032</v>
      </c>
      <c r="E667" t="s">
        <v>1056</v>
      </c>
      <c r="F667" t="s">
        <v>1182</v>
      </c>
      <c r="G667" t="s">
        <v>1188</v>
      </c>
      <c r="H667" t="s">
        <v>1174</v>
      </c>
    </row>
    <row r="668" spans="1:8" x14ac:dyDescent="0.25">
      <c r="A668" t="s">
        <v>908</v>
      </c>
      <c r="B668" t="s">
        <v>971</v>
      </c>
      <c r="C668" t="s">
        <v>1038</v>
      </c>
      <c r="D668" t="s">
        <v>1033</v>
      </c>
      <c r="E668" t="s">
        <v>1107</v>
      </c>
      <c r="F668" t="s">
        <v>1185</v>
      </c>
      <c r="G668" t="s">
        <v>1189</v>
      </c>
      <c r="H668" t="s">
        <v>1175</v>
      </c>
    </row>
    <row r="669" spans="1:8" x14ac:dyDescent="0.25">
      <c r="A669" t="s">
        <v>910</v>
      </c>
      <c r="B669" t="s">
        <v>972</v>
      </c>
      <c r="C669" t="s">
        <v>987</v>
      </c>
      <c r="D669" t="s">
        <v>1035</v>
      </c>
      <c r="E669" t="s">
        <v>1062</v>
      </c>
      <c r="F669" t="s">
        <v>1187</v>
      </c>
      <c r="G669" t="s">
        <v>1190</v>
      </c>
      <c r="H669" t="s">
        <v>1176</v>
      </c>
    </row>
    <row r="670" spans="1:8" x14ac:dyDescent="0.25">
      <c r="A670" t="s">
        <v>990</v>
      </c>
      <c r="B670" t="s">
        <v>973</v>
      </c>
      <c r="C670" t="s">
        <v>989</v>
      </c>
      <c r="D670" t="s">
        <v>1040</v>
      </c>
      <c r="E670" t="s">
        <v>1064</v>
      </c>
      <c r="F670" t="s">
        <v>1188</v>
      </c>
      <c r="G670" t="s">
        <v>1191</v>
      </c>
      <c r="H670" t="s">
        <v>1178</v>
      </c>
    </row>
    <row r="671" spans="1:8" x14ac:dyDescent="0.25">
      <c r="A671" t="s">
        <v>1141</v>
      </c>
      <c r="B671" t="s">
        <v>1192</v>
      </c>
      <c r="C671" t="s">
        <v>992</v>
      </c>
      <c r="D671" t="s">
        <v>1193</v>
      </c>
      <c r="E671" t="s">
        <v>1069</v>
      </c>
      <c r="F671" t="s">
        <v>1189</v>
      </c>
      <c r="G671" t="s">
        <v>1194</v>
      </c>
      <c r="H671" t="s">
        <v>1179</v>
      </c>
    </row>
    <row r="672" spans="1:8" x14ac:dyDescent="0.25">
      <c r="A672" t="s">
        <v>1097</v>
      </c>
      <c r="B672" t="s">
        <v>1195</v>
      </c>
      <c r="C672" t="s">
        <v>994</v>
      </c>
      <c r="D672" t="s">
        <v>1181</v>
      </c>
      <c r="E672" t="s">
        <v>1071</v>
      </c>
      <c r="F672" t="s">
        <v>1196</v>
      </c>
      <c r="G672" t="s">
        <v>1197</v>
      </c>
      <c r="H672" t="s">
        <v>1180</v>
      </c>
    </row>
    <row r="673" spans="1:8" x14ac:dyDescent="0.25">
      <c r="A673" t="s">
        <v>1145</v>
      </c>
      <c r="B673" t="s">
        <v>1198</v>
      </c>
      <c r="C673" t="s">
        <v>995</v>
      </c>
      <c r="D673" t="s">
        <v>1184</v>
      </c>
      <c r="E673" t="s">
        <v>1077</v>
      </c>
      <c r="F673" t="s">
        <v>1199</v>
      </c>
      <c r="G673" t="s">
        <v>1200</v>
      </c>
      <c r="H673" t="s">
        <v>1182</v>
      </c>
    </row>
    <row r="674" spans="1:8" x14ac:dyDescent="0.25">
      <c r="A674" t="s">
        <v>988</v>
      </c>
      <c r="B674" t="s">
        <v>979</v>
      </c>
      <c r="C674" t="s">
        <v>1201</v>
      </c>
      <c r="D674" t="s">
        <v>1052</v>
      </c>
      <c r="E674" t="s">
        <v>1081</v>
      </c>
      <c r="F674" t="s">
        <v>1190</v>
      </c>
      <c r="G674" t="s">
        <v>1202</v>
      </c>
      <c r="H674" t="s">
        <v>1185</v>
      </c>
    </row>
    <row r="675" spans="1:8" x14ac:dyDescent="0.25">
      <c r="A675" t="s">
        <v>1093</v>
      </c>
      <c r="B675" t="s">
        <v>1139</v>
      </c>
      <c r="C675" t="s">
        <v>1203</v>
      </c>
      <c r="D675" t="s">
        <v>1204</v>
      </c>
      <c r="E675" t="s">
        <v>1084</v>
      </c>
      <c r="F675" t="s">
        <v>1191</v>
      </c>
      <c r="G675" t="s">
        <v>1205</v>
      </c>
      <c r="H675" t="s">
        <v>1187</v>
      </c>
    </row>
    <row r="676" spans="1:8" x14ac:dyDescent="0.25">
      <c r="A676" t="s">
        <v>1095</v>
      </c>
      <c r="B676" t="s">
        <v>981</v>
      </c>
      <c r="C676" t="s">
        <v>1049</v>
      </c>
      <c r="D676" t="s">
        <v>1056</v>
      </c>
      <c r="E676" t="s">
        <v>1088</v>
      </c>
      <c r="F676" t="s">
        <v>1194</v>
      </c>
      <c r="G676" t="s">
        <v>1206</v>
      </c>
      <c r="H676" t="s">
        <v>1188</v>
      </c>
    </row>
    <row r="677" spans="1:8" x14ac:dyDescent="0.25">
      <c r="A677" t="s">
        <v>964</v>
      </c>
      <c r="B677" t="s">
        <v>992</v>
      </c>
      <c r="C677" t="s">
        <v>996</v>
      </c>
      <c r="D677" t="s">
        <v>1090</v>
      </c>
      <c r="E677" t="s">
        <v>1089</v>
      </c>
      <c r="F677" t="s">
        <v>1197</v>
      </c>
      <c r="G677" t="s">
        <v>1207</v>
      </c>
      <c r="H677" t="s">
        <v>1189</v>
      </c>
    </row>
    <row r="678" spans="1:8" x14ac:dyDescent="0.25">
      <c r="A678" t="s">
        <v>965</v>
      </c>
      <c r="B678" t="s">
        <v>994</v>
      </c>
      <c r="C678" t="s">
        <v>1000</v>
      </c>
      <c r="D678" t="s">
        <v>1064</v>
      </c>
      <c r="E678" t="s">
        <v>1094</v>
      </c>
      <c r="F678" t="s">
        <v>1200</v>
      </c>
      <c r="G678" t="s">
        <v>1208</v>
      </c>
      <c r="H678" t="s">
        <v>1196</v>
      </c>
    </row>
    <row r="679" spans="1:8" x14ac:dyDescent="0.25">
      <c r="A679" t="s">
        <v>966</v>
      </c>
      <c r="B679" t="s">
        <v>995</v>
      </c>
      <c r="C679" t="s">
        <v>1005</v>
      </c>
      <c r="D679" t="s">
        <v>1209</v>
      </c>
      <c r="E679" t="s">
        <v>1096</v>
      </c>
      <c r="F679" t="s">
        <v>1210</v>
      </c>
      <c r="G679" t="s">
        <v>1211</v>
      </c>
      <c r="H679" t="s">
        <v>1190</v>
      </c>
    </row>
    <row r="680" spans="1:8" x14ac:dyDescent="0.25">
      <c r="A680" t="s">
        <v>968</v>
      </c>
      <c r="B680" t="s">
        <v>996</v>
      </c>
      <c r="C680" t="s">
        <v>1037</v>
      </c>
      <c r="D680" t="s">
        <v>1069</v>
      </c>
      <c r="E680" t="s">
        <v>1103</v>
      </c>
      <c r="F680" t="s">
        <v>1202</v>
      </c>
      <c r="G680" t="s">
        <v>1212</v>
      </c>
      <c r="H680" t="s">
        <v>1191</v>
      </c>
    </row>
    <row r="681" spans="1:8" x14ac:dyDescent="0.25">
      <c r="A681" t="s">
        <v>969</v>
      </c>
      <c r="B681" t="s">
        <v>1000</v>
      </c>
      <c r="C681" t="s">
        <v>1163</v>
      </c>
      <c r="D681" t="s">
        <v>1117</v>
      </c>
      <c r="E681" t="s">
        <v>1109</v>
      </c>
      <c r="F681" t="s">
        <v>1213</v>
      </c>
      <c r="G681" t="s">
        <v>1214</v>
      </c>
      <c r="H681" t="s">
        <v>1194</v>
      </c>
    </row>
    <row r="682" spans="1:8" x14ac:dyDescent="0.25">
      <c r="A682" t="s">
        <v>1183</v>
      </c>
      <c r="B682" t="s">
        <v>1005</v>
      </c>
      <c r="C682" t="s">
        <v>1165</v>
      </c>
      <c r="D682" t="s">
        <v>1077</v>
      </c>
      <c r="E682" t="s">
        <v>1110</v>
      </c>
      <c r="F682" t="s">
        <v>1215</v>
      </c>
      <c r="G682" t="s">
        <v>1216</v>
      </c>
      <c r="H682" t="s">
        <v>1197</v>
      </c>
    </row>
    <row r="683" spans="1:8" x14ac:dyDescent="0.25">
      <c r="A683" t="s">
        <v>1122</v>
      </c>
      <c r="B683" t="s">
        <v>1012</v>
      </c>
      <c r="C683" t="s">
        <v>1152</v>
      </c>
      <c r="D683" t="s">
        <v>1078</v>
      </c>
      <c r="E683" t="s">
        <v>1111</v>
      </c>
      <c r="F683" t="s">
        <v>1205</v>
      </c>
      <c r="G683" t="s">
        <v>1217</v>
      </c>
      <c r="H683" t="s">
        <v>1200</v>
      </c>
    </row>
    <row r="684" spans="1:8" x14ac:dyDescent="0.25">
      <c r="A684" t="s">
        <v>970</v>
      </c>
      <c r="B684" t="s">
        <v>1018</v>
      </c>
      <c r="C684" t="s">
        <v>1070</v>
      </c>
      <c r="D684" t="s">
        <v>1079</v>
      </c>
      <c r="E684" t="s">
        <v>1113</v>
      </c>
      <c r="F684" t="s">
        <v>1206</v>
      </c>
      <c r="G684" t="s">
        <v>1218</v>
      </c>
      <c r="H684" t="s">
        <v>1202</v>
      </c>
    </row>
    <row r="685" spans="1:8" x14ac:dyDescent="0.25">
      <c r="A685" t="s">
        <v>971</v>
      </c>
      <c r="B685" t="s">
        <v>1019</v>
      </c>
      <c r="C685" t="s">
        <v>1157</v>
      </c>
      <c r="D685" t="s">
        <v>1080</v>
      </c>
      <c r="E685" t="s">
        <v>1114</v>
      </c>
      <c r="F685" t="s">
        <v>1207</v>
      </c>
      <c r="G685" t="s">
        <v>1219</v>
      </c>
      <c r="H685" t="s">
        <v>1215</v>
      </c>
    </row>
    <row r="686" spans="1:8" x14ac:dyDescent="0.25">
      <c r="A686" t="s">
        <v>972</v>
      </c>
      <c r="B686" t="s">
        <v>1020</v>
      </c>
      <c r="C686" t="s">
        <v>1172</v>
      </c>
      <c r="D686" t="s">
        <v>1081</v>
      </c>
      <c r="E686" t="s">
        <v>1115</v>
      </c>
      <c r="F686" t="s">
        <v>1208</v>
      </c>
      <c r="G686" t="s">
        <v>1220</v>
      </c>
      <c r="H686" t="s">
        <v>1205</v>
      </c>
    </row>
    <row r="687" spans="1:8" x14ac:dyDescent="0.25">
      <c r="A687" t="s">
        <v>973</v>
      </c>
      <c r="B687" t="s">
        <v>1023</v>
      </c>
      <c r="C687" t="s">
        <v>1159</v>
      </c>
      <c r="D687" t="s">
        <v>1088</v>
      </c>
      <c r="E687" t="s">
        <v>1116</v>
      </c>
      <c r="F687" t="s">
        <v>1211</v>
      </c>
      <c r="G687" t="s">
        <v>1221</v>
      </c>
      <c r="H687" t="s">
        <v>1206</v>
      </c>
    </row>
    <row r="688" spans="1:8" x14ac:dyDescent="0.25">
      <c r="A688" t="s">
        <v>1195</v>
      </c>
      <c r="B688" t="s">
        <v>1024</v>
      </c>
      <c r="C688" t="s">
        <v>1019</v>
      </c>
      <c r="D688" t="s">
        <v>1089</v>
      </c>
      <c r="E688" t="s">
        <v>1222</v>
      </c>
      <c r="F688" t="s">
        <v>1212</v>
      </c>
      <c r="G688" t="s">
        <v>1223</v>
      </c>
      <c r="H688" t="s">
        <v>1207</v>
      </c>
    </row>
    <row r="689" spans="1:8" x14ac:dyDescent="0.25">
      <c r="A689" t="s">
        <v>1198</v>
      </c>
      <c r="B689" t="s">
        <v>1025</v>
      </c>
      <c r="C689" t="s">
        <v>1020</v>
      </c>
      <c r="D689" t="s">
        <v>1094</v>
      </c>
      <c r="E689" t="s">
        <v>1224</v>
      </c>
      <c r="F689" t="s">
        <v>1225</v>
      </c>
      <c r="G689" t="s">
        <v>1226</v>
      </c>
      <c r="H689" t="s">
        <v>1208</v>
      </c>
    </row>
    <row r="690" spans="1:8" x14ac:dyDescent="0.25">
      <c r="A690" t="s">
        <v>977</v>
      </c>
      <c r="B690" t="s">
        <v>1027</v>
      </c>
      <c r="C690" t="s">
        <v>1023</v>
      </c>
      <c r="D690" t="s">
        <v>1096</v>
      </c>
      <c r="E690" t="s">
        <v>1121</v>
      </c>
      <c r="F690" t="s">
        <v>1227</v>
      </c>
      <c r="G690" t="s">
        <v>1228</v>
      </c>
      <c r="H690" t="s">
        <v>1211</v>
      </c>
    </row>
    <row r="691" spans="1:8" x14ac:dyDescent="0.25">
      <c r="A691" t="s">
        <v>979</v>
      </c>
      <c r="B691" t="s">
        <v>1028</v>
      </c>
      <c r="C691" t="s">
        <v>1024</v>
      </c>
      <c r="D691" t="s">
        <v>1229</v>
      </c>
      <c r="E691" t="s">
        <v>1123</v>
      </c>
      <c r="F691" t="s">
        <v>1230</v>
      </c>
      <c r="G691" t="s">
        <v>1231</v>
      </c>
      <c r="H691" t="s">
        <v>1212</v>
      </c>
    </row>
    <row r="692" spans="1:8" x14ac:dyDescent="0.25">
      <c r="A692" t="s">
        <v>992</v>
      </c>
      <c r="B692" t="s">
        <v>1030</v>
      </c>
      <c r="C692" t="s">
        <v>1025</v>
      </c>
      <c r="D692" t="s">
        <v>1103</v>
      </c>
      <c r="E692" t="s">
        <v>1124</v>
      </c>
      <c r="F692" t="s">
        <v>1214</v>
      </c>
      <c r="G692" t="s">
        <v>1232</v>
      </c>
      <c r="H692" t="s">
        <v>1214</v>
      </c>
    </row>
    <row r="693" spans="1:8" x14ac:dyDescent="0.25">
      <c r="A693" t="s">
        <v>994</v>
      </c>
      <c r="B693" t="s">
        <v>1032</v>
      </c>
      <c r="C693" t="s">
        <v>1027</v>
      </c>
      <c r="D693" t="s">
        <v>1106</v>
      </c>
      <c r="E693" t="s">
        <v>1126</v>
      </c>
      <c r="F693" t="s">
        <v>1216</v>
      </c>
      <c r="G693" t="s">
        <v>1233</v>
      </c>
      <c r="H693" t="s">
        <v>1216</v>
      </c>
    </row>
    <row r="694" spans="1:8" x14ac:dyDescent="0.25">
      <c r="A694" t="s">
        <v>995</v>
      </c>
      <c r="B694" t="s">
        <v>1040</v>
      </c>
      <c r="C694" t="s">
        <v>1028</v>
      </c>
      <c r="D694" t="s">
        <v>1108</v>
      </c>
      <c r="E694" t="s">
        <v>1128</v>
      </c>
      <c r="F694" t="s">
        <v>1234</v>
      </c>
      <c r="G694" t="s">
        <v>1235</v>
      </c>
      <c r="H694" t="s">
        <v>1217</v>
      </c>
    </row>
    <row r="695" spans="1:8" x14ac:dyDescent="0.25">
      <c r="A695" t="s">
        <v>1000</v>
      </c>
      <c r="B695" t="s">
        <v>1042</v>
      </c>
      <c r="C695" t="s">
        <v>1030</v>
      </c>
      <c r="D695" t="s">
        <v>1111</v>
      </c>
      <c r="E695" t="s">
        <v>1129</v>
      </c>
      <c r="F695" t="s">
        <v>1236</v>
      </c>
      <c r="G695" t="s">
        <v>1237</v>
      </c>
      <c r="H695" t="s">
        <v>1218</v>
      </c>
    </row>
    <row r="696" spans="1:8" x14ac:dyDescent="0.25">
      <c r="A696" t="s">
        <v>1005</v>
      </c>
      <c r="B696" t="s">
        <v>1193</v>
      </c>
      <c r="C696" t="s">
        <v>1032</v>
      </c>
      <c r="D696" t="s">
        <v>1125</v>
      </c>
      <c r="E696" t="s">
        <v>1133</v>
      </c>
      <c r="F696" t="s">
        <v>1219</v>
      </c>
      <c r="G696" t="s">
        <v>1238</v>
      </c>
      <c r="H696" t="s">
        <v>1219</v>
      </c>
    </row>
    <row r="697" spans="1:8" x14ac:dyDescent="0.25">
      <c r="A697" t="s">
        <v>1152</v>
      </c>
      <c r="B697" t="s">
        <v>1181</v>
      </c>
      <c r="C697" t="s">
        <v>1033</v>
      </c>
      <c r="D697" t="s">
        <v>1127</v>
      </c>
      <c r="E697" t="s">
        <v>1135</v>
      </c>
      <c r="F697" t="s">
        <v>1221</v>
      </c>
      <c r="G697" t="s">
        <v>1239</v>
      </c>
      <c r="H697" t="s">
        <v>1220</v>
      </c>
    </row>
    <row r="698" spans="1:8" x14ac:dyDescent="0.25">
      <c r="A698" t="s">
        <v>1018</v>
      </c>
      <c r="B698" t="s">
        <v>1052</v>
      </c>
      <c r="C698" t="s">
        <v>1035</v>
      </c>
      <c r="D698" t="s">
        <v>1114</v>
      </c>
      <c r="E698" t="s">
        <v>1137</v>
      </c>
      <c r="F698" t="s">
        <v>1226</v>
      </c>
      <c r="G698" t="s">
        <v>1240</v>
      </c>
      <c r="H698" t="s">
        <v>1221</v>
      </c>
    </row>
    <row r="699" spans="1:8" x14ac:dyDescent="0.25">
      <c r="A699" t="s">
        <v>1019</v>
      </c>
      <c r="B699" t="s">
        <v>1056</v>
      </c>
      <c r="C699" t="s">
        <v>1091</v>
      </c>
      <c r="D699" t="s">
        <v>1115</v>
      </c>
      <c r="E699" t="s">
        <v>1140</v>
      </c>
      <c r="F699" t="s">
        <v>1228</v>
      </c>
      <c r="G699" t="s">
        <v>1241</v>
      </c>
      <c r="H699" t="s">
        <v>1223</v>
      </c>
    </row>
    <row r="700" spans="1:8" x14ac:dyDescent="0.25">
      <c r="A700" t="s">
        <v>1020</v>
      </c>
      <c r="B700" t="s">
        <v>1064</v>
      </c>
      <c r="C700" t="s">
        <v>1040</v>
      </c>
      <c r="D700" t="s">
        <v>1116</v>
      </c>
      <c r="E700" t="s">
        <v>1142</v>
      </c>
      <c r="F700" t="s">
        <v>1231</v>
      </c>
      <c r="G700" t="s">
        <v>1242</v>
      </c>
      <c r="H700" t="s">
        <v>1226</v>
      </c>
    </row>
    <row r="701" spans="1:8" x14ac:dyDescent="0.25">
      <c r="A701" t="s">
        <v>1023</v>
      </c>
      <c r="B701" t="s">
        <v>1069</v>
      </c>
      <c r="C701" t="s">
        <v>1042</v>
      </c>
      <c r="D701" t="s">
        <v>1119</v>
      </c>
      <c r="E701" t="s">
        <v>1143</v>
      </c>
      <c r="F701" t="s">
        <v>1243</v>
      </c>
      <c r="G701" t="s">
        <v>1244</v>
      </c>
      <c r="H701" t="s">
        <v>1228</v>
      </c>
    </row>
    <row r="702" spans="1:8" x14ac:dyDescent="0.25">
      <c r="A702" t="s">
        <v>1024</v>
      </c>
      <c r="B702" t="s">
        <v>1245</v>
      </c>
      <c r="C702" t="s">
        <v>1181</v>
      </c>
      <c r="D702" t="s">
        <v>1120</v>
      </c>
      <c r="E702" t="s">
        <v>1146</v>
      </c>
      <c r="F702" t="s">
        <v>1232</v>
      </c>
      <c r="G702" t="s">
        <v>1246</v>
      </c>
      <c r="H702" t="s">
        <v>1247</v>
      </c>
    </row>
    <row r="703" spans="1:8" x14ac:dyDescent="0.25">
      <c r="A703" t="s">
        <v>1025</v>
      </c>
      <c r="B703" t="s">
        <v>1077</v>
      </c>
      <c r="C703" t="s">
        <v>1184</v>
      </c>
      <c r="D703" t="s">
        <v>1222</v>
      </c>
      <c r="E703" t="s">
        <v>1148</v>
      </c>
      <c r="F703" t="s">
        <v>1233</v>
      </c>
      <c r="G703" t="s">
        <v>1248</v>
      </c>
      <c r="H703" t="s">
        <v>1231</v>
      </c>
    </row>
    <row r="704" spans="1:8" x14ac:dyDescent="0.25">
      <c r="A704" t="s">
        <v>1027</v>
      </c>
      <c r="B704" t="s">
        <v>1078</v>
      </c>
      <c r="C704" t="s">
        <v>1249</v>
      </c>
      <c r="D704" t="s">
        <v>1121</v>
      </c>
      <c r="E704" t="s">
        <v>1149</v>
      </c>
      <c r="F704" t="s">
        <v>1235</v>
      </c>
      <c r="G704" t="s">
        <v>1250</v>
      </c>
      <c r="H704" t="s">
        <v>1232</v>
      </c>
    </row>
    <row r="705" spans="1:8" x14ac:dyDescent="0.25">
      <c r="A705" t="s">
        <v>1028</v>
      </c>
      <c r="B705" t="s">
        <v>1084</v>
      </c>
      <c r="C705" t="s">
        <v>1056</v>
      </c>
      <c r="D705" t="s">
        <v>1123</v>
      </c>
      <c r="E705" t="s">
        <v>1151</v>
      </c>
      <c r="F705" t="s">
        <v>1237</v>
      </c>
      <c r="G705" t="s">
        <v>1251</v>
      </c>
      <c r="H705" t="s">
        <v>1252</v>
      </c>
    </row>
    <row r="706" spans="1:8" x14ac:dyDescent="0.25">
      <c r="A706" t="s">
        <v>1033</v>
      </c>
      <c r="B706" t="s">
        <v>1088</v>
      </c>
      <c r="C706" t="s">
        <v>1107</v>
      </c>
      <c r="D706" t="s">
        <v>1124</v>
      </c>
      <c r="E706" t="s">
        <v>1153</v>
      </c>
      <c r="F706" t="s">
        <v>1253</v>
      </c>
      <c r="G706" t="s">
        <v>1254</v>
      </c>
      <c r="H706" t="s">
        <v>1237</v>
      </c>
    </row>
    <row r="707" spans="1:8" x14ac:dyDescent="0.25">
      <c r="A707" t="s">
        <v>1035</v>
      </c>
      <c r="B707" t="s">
        <v>1094</v>
      </c>
      <c r="C707" t="s">
        <v>1255</v>
      </c>
      <c r="D707" t="s">
        <v>1126</v>
      </c>
      <c r="E707" t="s">
        <v>1160</v>
      </c>
      <c r="F707" t="s">
        <v>1238</v>
      </c>
      <c r="G707" t="s">
        <v>1256</v>
      </c>
      <c r="H707" t="s">
        <v>1238</v>
      </c>
    </row>
    <row r="708" spans="1:8" x14ac:dyDescent="0.25">
      <c r="A708" t="s">
        <v>1181</v>
      </c>
      <c r="B708" t="s">
        <v>1096</v>
      </c>
      <c r="C708" t="s">
        <v>1090</v>
      </c>
      <c r="D708" t="s">
        <v>1128</v>
      </c>
      <c r="E708" t="s">
        <v>1161</v>
      </c>
      <c r="F708" t="s">
        <v>1239</v>
      </c>
      <c r="G708" t="s">
        <v>1257</v>
      </c>
      <c r="H708" t="s">
        <v>1258</v>
      </c>
    </row>
    <row r="709" spans="1:8" x14ac:dyDescent="0.25">
      <c r="A709" t="s">
        <v>1046</v>
      </c>
      <c r="B709" t="s">
        <v>1106</v>
      </c>
      <c r="C709" t="s">
        <v>1064</v>
      </c>
      <c r="D709" t="s">
        <v>1129</v>
      </c>
      <c r="E709" t="s">
        <v>1164</v>
      </c>
      <c r="F709" t="s">
        <v>1259</v>
      </c>
      <c r="G709" t="s">
        <v>1260</v>
      </c>
      <c r="H709" t="s">
        <v>1261</v>
      </c>
    </row>
    <row r="710" spans="1:8" x14ac:dyDescent="0.25">
      <c r="A710" t="s">
        <v>1262</v>
      </c>
      <c r="B710" t="s">
        <v>1108</v>
      </c>
      <c r="C710" t="s">
        <v>1209</v>
      </c>
      <c r="D710" t="s">
        <v>1133</v>
      </c>
      <c r="E710" t="s">
        <v>1168</v>
      </c>
      <c r="F710" t="s">
        <v>1240</v>
      </c>
      <c r="G710" t="s">
        <v>1263</v>
      </c>
      <c r="H710" t="s">
        <v>1239</v>
      </c>
    </row>
    <row r="711" spans="1:8" x14ac:dyDescent="0.25">
      <c r="A711" t="s">
        <v>1249</v>
      </c>
      <c r="B711" t="s">
        <v>1264</v>
      </c>
      <c r="C711" t="s">
        <v>1069</v>
      </c>
      <c r="D711" t="s">
        <v>1135</v>
      </c>
      <c r="E711" t="s">
        <v>1170</v>
      </c>
      <c r="F711" t="s">
        <v>1241</v>
      </c>
      <c r="G711" t="s">
        <v>1265</v>
      </c>
      <c r="H711" t="s">
        <v>1240</v>
      </c>
    </row>
    <row r="712" spans="1:8" x14ac:dyDescent="0.25">
      <c r="A712" t="s">
        <v>1052</v>
      </c>
      <c r="B712" t="s">
        <v>1266</v>
      </c>
      <c r="C712" t="s">
        <v>1117</v>
      </c>
      <c r="D712" t="s">
        <v>1137</v>
      </c>
      <c r="E712" t="s">
        <v>1171</v>
      </c>
      <c r="F712" t="s">
        <v>1242</v>
      </c>
      <c r="G712" t="s">
        <v>1267</v>
      </c>
      <c r="H712" t="s">
        <v>1241</v>
      </c>
    </row>
    <row r="713" spans="1:8" x14ac:dyDescent="0.25">
      <c r="A713" t="s">
        <v>1056</v>
      </c>
      <c r="B713" t="s">
        <v>1268</v>
      </c>
      <c r="C713" t="s">
        <v>1077</v>
      </c>
      <c r="D713" t="s">
        <v>1138</v>
      </c>
      <c r="E713" t="s">
        <v>1173</v>
      </c>
      <c r="F713" t="s">
        <v>1244</v>
      </c>
      <c r="G713" t="s">
        <v>1269</v>
      </c>
      <c r="H713" t="s">
        <v>1242</v>
      </c>
    </row>
    <row r="714" spans="1:8" x14ac:dyDescent="0.25">
      <c r="A714" t="s">
        <v>1090</v>
      </c>
      <c r="B714" t="s">
        <v>1270</v>
      </c>
      <c r="C714" t="s">
        <v>1088</v>
      </c>
      <c r="D714" t="s">
        <v>1271</v>
      </c>
      <c r="E714" t="s">
        <v>1174</v>
      </c>
      <c r="F714" t="s">
        <v>1246</v>
      </c>
      <c r="G714" t="s">
        <v>1272</v>
      </c>
      <c r="H714" t="s">
        <v>1273</v>
      </c>
    </row>
    <row r="715" spans="1:8" x14ac:dyDescent="0.25">
      <c r="A715" t="s">
        <v>1064</v>
      </c>
      <c r="B715" t="s">
        <v>1116</v>
      </c>
      <c r="C715" t="s">
        <v>1089</v>
      </c>
      <c r="D715" t="s">
        <v>1142</v>
      </c>
      <c r="E715" t="s">
        <v>1274</v>
      </c>
      <c r="F715" t="s">
        <v>1248</v>
      </c>
      <c r="G715" t="s">
        <v>1275</v>
      </c>
      <c r="H715" t="s">
        <v>1276</v>
      </c>
    </row>
    <row r="716" spans="1:8" x14ac:dyDescent="0.25">
      <c r="A716" t="s">
        <v>1069</v>
      </c>
      <c r="B716" t="s">
        <v>1119</v>
      </c>
      <c r="C716" t="s">
        <v>1094</v>
      </c>
      <c r="D716" t="s">
        <v>1143</v>
      </c>
      <c r="E716" t="s">
        <v>1177</v>
      </c>
      <c r="F716" t="s">
        <v>1250</v>
      </c>
      <c r="G716" t="s">
        <v>1277</v>
      </c>
      <c r="H716" t="s">
        <v>1244</v>
      </c>
    </row>
    <row r="717" spans="1:8" x14ac:dyDescent="0.25">
      <c r="A717" t="s">
        <v>1088</v>
      </c>
      <c r="B717" t="s">
        <v>1120</v>
      </c>
      <c r="C717" t="s">
        <v>1096</v>
      </c>
      <c r="D717" t="s">
        <v>1146</v>
      </c>
      <c r="E717" t="s">
        <v>1176</v>
      </c>
      <c r="F717" t="s">
        <v>1251</v>
      </c>
      <c r="G717" t="s">
        <v>1278</v>
      </c>
      <c r="H717" t="s">
        <v>1246</v>
      </c>
    </row>
    <row r="718" spans="1:8" x14ac:dyDescent="0.25">
      <c r="A718" t="s">
        <v>1094</v>
      </c>
      <c r="B718" t="s">
        <v>1222</v>
      </c>
      <c r="C718" t="s">
        <v>1229</v>
      </c>
      <c r="D718" t="s">
        <v>1148</v>
      </c>
      <c r="E718" t="s">
        <v>1178</v>
      </c>
      <c r="F718" t="s">
        <v>1254</v>
      </c>
      <c r="G718" t="s">
        <v>1279</v>
      </c>
      <c r="H718" t="s">
        <v>1248</v>
      </c>
    </row>
    <row r="719" spans="1:8" x14ac:dyDescent="0.25">
      <c r="A719" t="s">
        <v>1096</v>
      </c>
      <c r="B719" t="s">
        <v>1280</v>
      </c>
      <c r="C719" t="s">
        <v>1103</v>
      </c>
      <c r="D719" t="s">
        <v>1281</v>
      </c>
      <c r="E719" t="s">
        <v>1179</v>
      </c>
      <c r="F719" t="s">
        <v>1256</v>
      </c>
      <c r="G719" t="s">
        <v>1282</v>
      </c>
      <c r="H719" t="s">
        <v>1250</v>
      </c>
    </row>
    <row r="720" spans="1:8" x14ac:dyDescent="0.25">
      <c r="A720" t="s">
        <v>1106</v>
      </c>
      <c r="B720" t="s">
        <v>1224</v>
      </c>
      <c r="C720" t="s">
        <v>1106</v>
      </c>
      <c r="D720" t="s">
        <v>1149</v>
      </c>
      <c r="E720" t="s">
        <v>1180</v>
      </c>
      <c r="F720" t="s">
        <v>1257</v>
      </c>
      <c r="G720" t="s">
        <v>1283</v>
      </c>
      <c r="H720" t="s">
        <v>1251</v>
      </c>
    </row>
    <row r="721" spans="1:8" x14ac:dyDescent="0.25">
      <c r="A721" t="s">
        <v>1108</v>
      </c>
      <c r="B721" t="s">
        <v>1121</v>
      </c>
      <c r="C721" t="s">
        <v>1108</v>
      </c>
      <c r="D721" t="s">
        <v>1151</v>
      </c>
      <c r="E721" t="s">
        <v>1284</v>
      </c>
      <c r="F721" t="s">
        <v>1260</v>
      </c>
      <c r="G721" t="s">
        <v>1285</v>
      </c>
      <c r="H721" t="s">
        <v>1254</v>
      </c>
    </row>
    <row r="722" spans="1:8" x14ac:dyDescent="0.25">
      <c r="A722" t="s">
        <v>1270</v>
      </c>
      <c r="B722" t="s">
        <v>1123</v>
      </c>
      <c r="C722" t="s">
        <v>1111</v>
      </c>
      <c r="D722" t="s">
        <v>1153</v>
      </c>
      <c r="E722" t="s">
        <v>1182</v>
      </c>
      <c r="F722" t="s">
        <v>1263</v>
      </c>
      <c r="G722" t="s">
        <v>1286</v>
      </c>
      <c r="H722" t="s">
        <v>1256</v>
      </c>
    </row>
    <row r="723" spans="1:8" x14ac:dyDescent="0.25">
      <c r="A723" t="s">
        <v>1112</v>
      </c>
      <c r="B723" t="s">
        <v>1124</v>
      </c>
      <c r="C723" t="s">
        <v>1114</v>
      </c>
      <c r="D723" t="s">
        <v>1155</v>
      </c>
      <c r="E723" t="s">
        <v>1287</v>
      </c>
      <c r="F723" t="s">
        <v>1265</v>
      </c>
      <c r="G723" t="s">
        <v>1288</v>
      </c>
      <c r="H723" t="s">
        <v>1257</v>
      </c>
    </row>
    <row r="724" spans="1:8" x14ac:dyDescent="0.25">
      <c r="A724" t="s">
        <v>1116</v>
      </c>
      <c r="B724" t="s">
        <v>1126</v>
      </c>
      <c r="C724" t="s">
        <v>1115</v>
      </c>
      <c r="D724" t="s">
        <v>1158</v>
      </c>
      <c r="E724" t="s">
        <v>1185</v>
      </c>
      <c r="F724" t="s">
        <v>1267</v>
      </c>
      <c r="G724" t="s">
        <v>1289</v>
      </c>
      <c r="H724" t="s">
        <v>1260</v>
      </c>
    </row>
    <row r="725" spans="1:8" x14ac:dyDescent="0.25">
      <c r="A725" t="s">
        <v>1119</v>
      </c>
      <c r="B725" t="s">
        <v>1128</v>
      </c>
      <c r="C725" t="s">
        <v>1116</v>
      </c>
      <c r="D725" t="s">
        <v>1161</v>
      </c>
      <c r="E725" t="s">
        <v>1187</v>
      </c>
      <c r="F725" t="s">
        <v>1290</v>
      </c>
      <c r="G725" t="s">
        <v>1291</v>
      </c>
      <c r="H725" t="s">
        <v>1263</v>
      </c>
    </row>
    <row r="726" spans="1:8" x14ac:dyDescent="0.25">
      <c r="A726" t="s">
        <v>1120</v>
      </c>
      <c r="B726" t="s">
        <v>1292</v>
      </c>
      <c r="C726" t="s">
        <v>1119</v>
      </c>
      <c r="D726" t="s">
        <v>1164</v>
      </c>
      <c r="E726" t="s">
        <v>1188</v>
      </c>
      <c r="F726" t="s">
        <v>1277</v>
      </c>
      <c r="G726" t="s">
        <v>1293</v>
      </c>
      <c r="H726" t="s">
        <v>1265</v>
      </c>
    </row>
    <row r="727" spans="1:8" x14ac:dyDescent="0.25">
      <c r="A727" t="s">
        <v>1222</v>
      </c>
      <c r="B727" t="s">
        <v>1294</v>
      </c>
      <c r="C727" t="s">
        <v>1120</v>
      </c>
      <c r="D727" t="s">
        <v>1166</v>
      </c>
      <c r="E727" t="s">
        <v>1189</v>
      </c>
      <c r="F727" t="s">
        <v>1295</v>
      </c>
      <c r="G727" t="s">
        <v>1296</v>
      </c>
      <c r="H727" t="s">
        <v>1267</v>
      </c>
    </row>
    <row r="728" spans="1:8" x14ac:dyDescent="0.25">
      <c r="A728" t="s">
        <v>1280</v>
      </c>
      <c r="B728" t="s">
        <v>1130</v>
      </c>
      <c r="C728" t="s">
        <v>1222</v>
      </c>
      <c r="D728" t="s">
        <v>1168</v>
      </c>
      <c r="E728" t="s">
        <v>1196</v>
      </c>
      <c r="F728" t="s">
        <v>1297</v>
      </c>
      <c r="G728" t="s">
        <v>1298</v>
      </c>
      <c r="H728" t="s">
        <v>1299</v>
      </c>
    </row>
    <row r="729" spans="1:8" x14ac:dyDescent="0.25">
      <c r="A729" t="s">
        <v>1224</v>
      </c>
      <c r="B729" t="s">
        <v>1131</v>
      </c>
      <c r="C729" t="s">
        <v>1121</v>
      </c>
      <c r="D729" t="s">
        <v>1169</v>
      </c>
      <c r="E729" t="s">
        <v>1199</v>
      </c>
      <c r="F729" t="s">
        <v>1300</v>
      </c>
      <c r="G729" t="s">
        <v>1301</v>
      </c>
      <c r="H729" t="s">
        <v>1302</v>
      </c>
    </row>
    <row r="730" spans="1:8" x14ac:dyDescent="0.25">
      <c r="A730" t="s">
        <v>1121</v>
      </c>
      <c r="B730" t="s">
        <v>1133</v>
      </c>
      <c r="C730" t="s">
        <v>1123</v>
      </c>
      <c r="D730" t="s">
        <v>1303</v>
      </c>
      <c r="E730" t="s">
        <v>1190</v>
      </c>
      <c r="F730" t="s">
        <v>1285</v>
      </c>
      <c r="G730" t="s">
        <v>1304</v>
      </c>
      <c r="H730" t="s">
        <v>1275</v>
      </c>
    </row>
    <row r="731" spans="1:8" x14ac:dyDescent="0.25">
      <c r="A731" t="s">
        <v>1123</v>
      </c>
      <c r="B731" t="s">
        <v>1135</v>
      </c>
      <c r="C731" t="s">
        <v>1124</v>
      </c>
      <c r="D731" t="s">
        <v>1305</v>
      </c>
      <c r="E731" t="s">
        <v>1191</v>
      </c>
      <c r="F731" t="s">
        <v>1286</v>
      </c>
      <c r="G731" t="s">
        <v>1306</v>
      </c>
      <c r="H731" t="s">
        <v>1286</v>
      </c>
    </row>
    <row r="732" spans="1:8" x14ac:dyDescent="0.25">
      <c r="A732" t="s">
        <v>1124</v>
      </c>
      <c r="B732" t="s">
        <v>1138</v>
      </c>
      <c r="C732" t="s">
        <v>1126</v>
      </c>
      <c r="D732" t="s">
        <v>1171</v>
      </c>
      <c r="E732" t="s">
        <v>1194</v>
      </c>
      <c r="F732" t="s">
        <v>1307</v>
      </c>
      <c r="G732" t="s">
        <v>1308</v>
      </c>
      <c r="H732" t="s">
        <v>1296</v>
      </c>
    </row>
    <row r="733" spans="1:8" x14ac:dyDescent="0.25">
      <c r="A733" t="s">
        <v>1126</v>
      </c>
      <c r="B733" t="s">
        <v>1271</v>
      </c>
      <c r="C733" t="s">
        <v>1128</v>
      </c>
      <c r="D733" t="s">
        <v>1173</v>
      </c>
      <c r="E733" t="s">
        <v>1197</v>
      </c>
      <c r="F733" t="s">
        <v>1288</v>
      </c>
      <c r="G733" t="s">
        <v>1309</v>
      </c>
      <c r="H733" t="s">
        <v>1304</v>
      </c>
    </row>
    <row r="734" spans="1:8" x14ac:dyDescent="0.25">
      <c r="A734" t="s">
        <v>1128</v>
      </c>
      <c r="B734" t="s">
        <v>1310</v>
      </c>
      <c r="C734" t="s">
        <v>1129</v>
      </c>
      <c r="D734" t="s">
        <v>1174</v>
      </c>
      <c r="E734" t="s">
        <v>1200</v>
      </c>
      <c r="F734" t="s">
        <v>1289</v>
      </c>
      <c r="G734" t="s">
        <v>1311</v>
      </c>
      <c r="H734" t="s">
        <v>1306</v>
      </c>
    </row>
    <row r="735" spans="1:8" x14ac:dyDescent="0.25">
      <c r="A735" t="s">
        <v>1292</v>
      </c>
      <c r="B735" t="s">
        <v>1312</v>
      </c>
      <c r="C735" t="s">
        <v>1133</v>
      </c>
      <c r="D735" t="s">
        <v>1175</v>
      </c>
      <c r="E735" t="s">
        <v>1202</v>
      </c>
      <c r="F735" t="s">
        <v>1291</v>
      </c>
      <c r="G735" t="s">
        <v>1313</v>
      </c>
      <c r="H735" t="s">
        <v>1308</v>
      </c>
    </row>
    <row r="736" spans="1:8" x14ac:dyDescent="0.25">
      <c r="A736" t="s">
        <v>1294</v>
      </c>
      <c r="B736" t="s">
        <v>1140</v>
      </c>
      <c r="C736" t="s">
        <v>1135</v>
      </c>
      <c r="D736" t="s">
        <v>1274</v>
      </c>
      <c r="E736" t="s">
        <v>1215</v>
      </c>
      <c r="F736" t="s">
        <v>1293</v>
      </c>
      <c r="G736" t="s">
        <v>1314</v>
      </c>
      <c r="H736" t="s">
        <v>1309</v>
      </c>
    </row>
    <row r="737" spans="1:8" x14ac:dyDescent="0.25">
      <c r="A737" t="s">
        <v>1130</v>
      </c>
      <c r="B737" t="s">
        <v>1142</v>
      </c>
      <c r="C737" t="s">
        <v>1137</v>
      </c>
      <c r="D737" t="s">
        <v>1176</v>
      </c>
      <c r="E737" t="s">
        <v>1205</v>
      </c>
      <c r="F737" t="s">
        <v>1296</v>
      </c>
      <c r="G737" t="s">
        <v>1315</v>
      </c>
      <c r="H737" t="s">
        <v>1311</v>
      </c>
    </row>
    <row r="738" spans="1:8" x14ac:dyDescent="0.25">
      <c r="A738" t="s">
        <v>1131</v>
      </c>
      <c r="B738" t="s">
        <v>1143</v>
      </c>
      <c r="C738" t="s">
        <v>1138</v>
      </c>
      <c r="D738" t="s">
        <v>1178</v>
      </c>
      <c r="E738" t="s">
        <v>1206</v>
      </c>
      <c r="F738" t="s">
        <v>1298</v>
      </c>
      <c r="G738" t="s">
        <v>1316</v>
      </c>
      <c r="H738" t="s">
        <v>1313</v>
      </c>
    </row>
    <row r="739" spans="1:8" x14ac:dyDescent="0.25">
      <c r="A739" t="s">
        <v>1133</v>
      </c>
      <c r="B739" t="s">
        <v>1146</v>
      </c>
      <c r="C739" t="s">
        <v>1271</v>
      </c>
      <c r="D739" t="s">
        <v>1179</v>
      </c>
      <c r="E739" t="s">
        <v>1207</v>
      </c>
      <c r="F739" t="s">
        <v>1301</v>
      </c>
      <c r="G739" t="s">
        <v>1317</v>
      </c>
      <c r="H739" t="s">
        <v>1314</v>
      </c>
    </row>
    <row r="740" spans="1:8" x14ac:dyDescent="0.25">
      <c r="A740" t="s">
        <v>1135</v>
      </c>
      <c r="B740" t="s">
        <v>1148</v>
      </c>
      <c r="C740" t="s">
        <v>1310</v>
      </c>
      <c r="D740" t="s">
        <v>1180</v>
      </c>
      <c r="E740" t="s">
        <v>1208</v>
      </c>
      <c r="F740" t="s">
        <v>1304</v>
      </c>
      <c r="G740" t="s">
        <v>1318</v>
      </c>
      <c r="H740" t="s">
        <v>1315</v>
      </c>
    </row>
    <row r="741" spans="1:8" x14ac:dyDescent="0.25">
      <c r="A741" t="s">
        <v>1138</v>
      </c>
      <c r="B741" t="s">
        <v>1281</v>
      </c>
      <c r="C741" t="s">
        <v>1140</v>
      </c>
      <c r="D741" t="s">
        <v>1284</v>
      </c>
      <c r="E741" t="s">
        <v>1211</v>
      </c>
      <c r="F741" t="s">
        <v>1308</v>
      </c>
      <c r="G741" t="s">
        <v>1319</v>
      </c>
      <c r="H741" t="s">
        <v>1316</v>
      </c>
    </row>
    <row r="742" spans="1:8" x14ac:dyDescent="0.25">
      <c r="A742" t="s">
        <v>1271</v>
      </c>
      <c r="B742" t="s">
        <v>1320</v>
      </c>
      <c r="C742" t="s">
        <v>1142</v>
      </c>
      <c r="D742" t="s">
        <v>1182</v>
      </c>
      <c r="E742" t="s">
        <v>1212</v>
      </c>
      <c r="F742" t="s">
        <v>1309</v>
      </c>
      <c r="G742" t="s">
        <v>1321</v>
      </c>
      <c r="H742" t="s">
        <v>1317</v>
      </c>
    </row>
    <row r="743" spans="1:8" x14ac:dyDescent="0.25">
      <c r="A743" t="s">
        <v>1310</v>
      </c>
      <c r="B743" t="s">
        <v>1322</v>
      </c>
      <c r="C743" t="s">
        <v>1143</v>
      </c>
      <c r="D743" t="s">
        <v>1185</v>
      </c>
      <c r="E743" t="s">
        <v>1323</v>
      </c>
      <c r="F743" t="s">
        <v>1311</v>
      </c>
      <c r="G743" t="s">
        <v>1324</v>
      </c>
      <c r="H743" t="s">
        <v>1318</v>
      </c>
    </row>
    <row r="744" spans="1:8" x14ac:dyDescent="0.25">
      <c r="A744" t="s">
        <v>1312</v>
      </c>
      <c r="B744" t="s">
        <v>1153</v>
      </c>
      <c r="C744" t="s">
        <v>1146</v>
      </c>
      <c r="D744" t="s">
        <v>1187</v>
      </c>
      <c r="E744" t="s">
        <v>1217</v>
      </c>
      <c r="F744" t="s">
        <v>1313</v>
      </c>
      <c r="G744" t="s">
        <v>1325</v>
      </c>
      <c r="H744" t="s">
        <v>1319</v>
      </c>
    </row>
    <row r="745" spans="1:8" x14ac:dyDescent="0.25">
      <c r="A745" t="s">
        <v>1140</v>
      </c>
      <c r="B745" t="s">
        <v>1155</v>
      </c>
      <c r="C745" t="s">
        <v>1148</v>
      </c>
      <c r="D745" t="s">
        <v>1188</v>
      </c>
      <c r="E745" t="s">
        <v>1218</v>
      </c>
      <c r="F745" t="s">
        <v>1314</v>
      </c>
      <c r="G745" t="s">
        <v>1326</v>
      </c>
      <c r="H745" t="s">
        <v>1321</v>
      </c>
    </row>
    <row r="746" spans="1:8" x14ac:dyDescent="0.25">
      <c r="A746" t="s">
        <v>1142</v>
      </c>
      <c r="B746" t="s">
        <v>1158</v>
      </c>
      <c r="C746" t="s">
        <v>1281</v>
      </c>
      <c r="D746" t="s">
        <v>1196</v>
      </c>
      <c r="E746" t="s">
        <v>1219</v>
      </c>
      <c r="F746" t="s">
        <v>1315</v>
      </c>
      <c r="G746" t="s">
        <v>1327</v>
      </c>
      <c r="H746" t="s">
        <v>1324</v>
      </c>
    </row>
    <row r="747" spans="1:8" x14ac:dyDescent="0.25">
      <c r="A747" t="s">
        <v>1143</v>
      </c>
      <c r="B747" t="s">
        <v>1168</v>
      </c>
      <c r="C747" t="s">
        <v>1320</v>
      </c>
      <c r="D747" t="s">
        <v>1199</v>
      </c>
      <c r="E747" t="s">
        <v>1221</v>
      </c>
      <c r="F747" t="s">
        <v>1316</v>
      </c>
      <c r="G747" t="s">
        <v>1328</v>
      </c>
      <c r="H747" t="s">
        <v>1325</v>
      </c>
    </row>
    <row r="748" spans="1:8" x14ac:dyDescent="0.25">
      <c r="A748" t="s">
        <v>1146</v>
      </c>
      <c r="B748" t="s">
        <v>1169</v>
      </c>
      <c r="C748" t="s">
        <v>1151</v>
      </c>
      <c r="D748" t="s">
        <v>1190</v>
      </c>
      <c r="E748" t="s">
        <v>1223</v>
      </c>
      <c r="F748" t="s">
        <v>1317</v>
      </c>
      <c r="G748" t="s">
        <v>1329</v>
      </c>
      <c r="H748" t="s">
        <v>1326</v>
      </c>
    </row>
    <row r="749" spans="1:8" x14ac:dyDescent="0.25">
      <c r="A749" t="s">
        <v>1148</v>
      </c>
      <c r="B749" t="s">
        <v>1303</v>
      </c>
      <c r="C749" t="s">
        <v>1153</v>
      </c>
      <c r="D749" t="s">
        <v>1191</v>
      </c>
      <c r="E749" t="s">
        <v>1226</v>
      </c>
      <c r="F749" t="s">
        <v>1318</v>
      </c>
      <c r="G749" t="s">
        <v>1330</v>
      </c>
      <c r="H749" t="s">
        <v>1327</v>
      </c>
    </row>
    <row r="750" spans="1:8" x14ac:dyDescent="0.25">
      <c r="A750" t="s">
        <v>1281</v>
      </c>
      <c r="B750" t="s">
        <v>1305</v>
      </c>
      <c r="C750" t="s">
        <v>1155</v>
      </c>
      <c r="D750" t="s">
        <v>1194</v>
      </c>
      <c r="E750" t="s">
        <v>1228</v>
      </c>
      <c r="F750" t="s">
        <v>1319</v>
      </c>
      <c r="G750" t="s">
        <v>1331</v>
      </c>
      <c r="H750" t="s">
        <v>1328</v>
      </c>
    </row>
    <row r="751" spans="1:8" x14ac:dyDescent="0.25">
      <c r="A751" t="s">
        <v>1320</v>
      </c>
      <c r="B751" t="s">
        <v>1174</v>
      </c>
      <c r="C751" t="s">
        <v>1158</v>
      </c>
      <c r="D751" t="s">
        <v>1197</v>
      </c>
      <c r="E751" t="s">
        <v>1332</v>
      </c>
      <c r="F751" t="s">
        <v>1321</v>
      </c>
      <c r="G751" t="s">
        <v>1333</v>
      </c>
      <c r="H751" t="s">
        <v>1334</v>
      </c>
    </row>
    <row r="752" spans="1:8" x14ac:dyDescent="0.25">
      <c r="A752" t="s">
        <v>1153</v>
      </c>
      <c r="B752" t="s">
        <v>1175</v>
      </c>
      <c r="C752" t="s">
        <v>1335</v>
      </c>
      <c r="D752" t="s">
        <v>1200</v>
      </c>
      <c r="E752" t="s">
        <v>1336</v>
      </c>
      <c r="F752" t="s">
        <v>1324</v>
      </c>
      <c r="G752" t="s">
        <v>1337</v>
      </c>
      <c r="H752" t="s">
        <v>1338</v>
      </c>
    </row>
    <row r="753" spans="1:8" x14ac:dyDescent="0.25">
      <c r="A753" t="s">
        <v>1155</v>
      </c>
      <c r="B753" t="s">
        <v>1274</v>
      </c>
      <c r="C753" t="s">
        <v>1161</v>
      </c>
      <c r="D753" t="s">
        <v>1210</v>
      </c>
      <c r="E753" t="s">
        <v>1339</v>
      </c>
      <c r="F753" t="s">
        <v>1325</v>
      </c>
      <c r="G753" t="s">
        <v>1340</v>
      </c>
      <c r="H753" t="s">
        <v>1329</v>
      </c>
    </row>
    <row r="754" spans="1:8" x14ac:dyDescent="0.25">
      <c r="A754" t="s">
        <v>1158</v>
      </c>
      <c r="B754" t="s">
        <v>1176</v>
      </c>
      <c r="C754" t="s">
        <v>1164</v>
      </c>
      <c r="D754" t="s">
        <v>1202</v>
      </c>
      <c r="E754" t="s">
        <v>1341</v>
      </c>
      <c r="F754" t="s">
        <v>1326</v>
      </c>
      <c r="G754" t="s">
        <v>1342</v>
      </c>
      <c r="H754" t="s">
        <v>1330</v>
      </c>
    </row>
    <row r="755" spans="1:8" x14ac:dyDescent="0.25">
      <c r="A755" t="s">
        <v>1335</v>
      </c>
      <c r="B755" t="s">
        <v>1179</v>
      </c>
      <c r="C755" t="s">
        <v>1166</v>
      </c>
      <c r="D755" t="s">
        <v>1205</v>
      </c>
      <c r="E755" t="s">
        <v>1239</v>
      </c>
      <c r="F755" t="s">
        <v>1327</v>
      </c>
      <c r="G755" t="s">
        <v>1343</v>
      </c>
      <c r="H755" t="s">
        <v>1331</v>
      </c>
    </row>
    <row r="756" spans="1:8" x14ac:dyDescent="0.25">
      <c r="A756" t="s">
        <v>1168</v>
      </c>
      <c r="B756" t="s">
        <v>1180</v>
      </c>
      <c r="C756" t="s">
        <v>1168</v>
      </c>
      <c r="D756" t="s">
        <v>1206</v>
      </c>
      <c r="E756" t="s">
        <v>1259</v>
      </c>
      <c r="F756" t="s">
        <v>1328</v>
      </c>
      <c r="G756" t="s">
        <v>1344</v>
      </c>
      <c r="H756" t="s">
        <v>1333</v>
      </c>
    </row>
    <row r="757" spans="1:8" x14ac:dyDescent="0.25">
      <c r="A757" t="s">
        <v>1169</v>
      </c>
      <c r="B757" t="s">
        <v>1284</v>
      </c>
      <c r="C757" t="s">
        <v>1169</v>
      </c>
      <c r="D757" t="s">
        <v>1207</v>
      </c>
      <c r="E757" t="s">
        <v>1240</v>
      </c>
      <c r="F757" t="s">
        <v>1338</v>
      </c>
      <c r="G757" t="s">
        <v>1345</v>
      </c>
      <c r="H757" t="s">
        <v>1337</v>
      </c>
    </row>
    <row r="758" spans="1:8" x14ac:dyDescent="0.25">
      <c r="A758" t="s">
        <v>1303</v>
      </c>
      <c r="B758" t="s">
        <v>1182</v>
      </c>
      <c r="C758" t="s">
        <v>1303</v>
      </c>
      <c r="D758" t="s">
        <v>1208</v>
      </c>
      <c r="E758" t="s">
        <v>1241</v>
      </c>
      <c r="F758" t="s">
        <v>1329</v>
      </c>
      <c r="G758" t="s">
        <v>1346</v>
      </c>
      <c r="H758" t="s">
        <v>1340</v>
      </c>
    </row>
    <row r="759" spans="1:8" x14ac:dyDescent="0.25">
      <c r="A759" t="s">
        <v>1174</v>
      </c>
      <c r="B759" t="s">
        <v>1347</v>
      </c>
      <c r="C759" t="s">
        <v>1305</v>
      </c>
      <c r="D759" t="s">
        <v>1211</v>
      </c>
      <c r="E759" t="s">
        <v>1242</v>
      </c>
      <c r="F759" t="s">
        <v>1330</v>
      </c>
      <c r="G759" t="s">
        <v>1348</v>
      </c>
      <c r="H759" t="s">
        <v>1342</v>
      </c>
    </row>
    <row r="760" spans="1:8" x14ac:dyDescent="0.25">
      <c r="A760" t="s">
        <v>1175</v>
      </c>
      <c r="B760" t="s">
        <v>1287</v>
      </c>
      <c r="C760" t="s">
        <v>1173</v>
      </c>
      <c r="D760" t="s">
        <v>1212</v>
      </c>
      <c r="E760" t="s">
        <v>1273</v>
      </c>
      <c r="F760" t="s">
        <v>1331</v>
      </c>
      <c r="G760" t="s">
        <v>1349</v>
      </c>
      <c r="H760" t="s">
        <v>1343</v>
      </c>
    </row>
    <row r="761" spans="1:8" x14ac:dyDescent="0.25">
      <c r="A761" t="s">
        <v>1274</v>
      </c>
      <c r="B761" t="s">
        <v>1185</v>
      </c>
      <c r="C761" t="s">
        <v>1174</v>
      </c>
      <c r="D761" t="s">
        <v>1214</v>
      </c>
      <c r="E761" t="s">
        <v>1276</v>
      </c>
      <c r="F761" t="s">
        <v>1333</v>
      </c>
      <c r="G761" t="s">
        <v>1350</v>
      </c>
      <c r="H761" t="s">
        <v>1346</v>
      </c>
    </row>
    <row r="762" spans="1:8" x14ac:dyDescent="0.25">
      <c r="A762" t="s">
        <v>1179</v>
      </c>
      <c r="B762" t="s">
        <v>1196</v>
      </c>
      <c r="C762" t="s">
        <v>1175</v>
      </c>
      <c r="D762" t="s">
        <v>1216</v>
      </c>
      <c r="E762" t="s">
        <v>1244</v>
      </c>
      <c r="F762" t="s">
        <v>1337</v>
      </c>
      <c r="G762" t="s">
        <v>1351</v>
      </c>
      <c r="H762" t="s">
        <v>1348</v>
      </c>
    </row>
    <row r="763" spans="1:8" x14ac:dyDescent="0.25">
      <c r="A763" t="s">
        <v>1180</v>
      </c>
      <c r="B763" t="s">
        <v>1190</v>
      </c>
      <c r="C763" t="s">
        <v>1274</v>
      </c>
      <c r="D763" t="s">
        <v>1234</v>
      </c>
      <c r="E763" t="s">
        <v>1352</v>
      </c>
      <c r="F763" t="s">
        <v>1340</v>
      </c>
      <c r="G763" t="s">
        <v>1353</v>
      </c>
      <c r="H763" t="s">
        <v>1349</v>
      </c>
    </row>
    <row r="764" spans="1:8" x14ac:dyDescent="0.25">
      <c r="A764" t="s">
        <v>1284</v>
      </c>
      <c r="B764" t="s">
        <v>1191</v>
      </c>
      <c r="C764" t="s">
        <v>1178</v>
      </c>
      <c r="D764" t="s">
        <v>1236</v>
      </c>
      <c r="E764" t="s">
        <v>1251</v>
      </c>
      <c r="F764" t="s">
        <v>1342</v>
      </c>
      <c r="G764" t="s">
        <v>1354</v>
      </c>
      <c r="H764" t="s">
        <v>1350</v>
      </c>
    </row>
    <row r="765" spans="1:8" x14ac:dyDescent="0.25">
      <c r="A765" t="s">
        <v>1347</v>
      </c>
      <c r="B765" t="s">
        <v>1194</v>
      </c>
      <c r="C765" t="s">
        <v>1179</v>
      </c>
      <c r="D765" t="s">
        <v>1355</v>
      </c>
      <c r="E765" t="s">
        <v>1257</v>
      </c>
      <c r="F765" t="s">
        <v>1343</v>
      </c>
      <c r="G765" t="s">
        <v>1356</v>
      </c>
      <c r="H765" t="s">
        <v>1351</v>
      </c>
    </row>
    <row r="766" spans="1:8" x14ac:dyDescent="0.25">
      <c r="A766" t="s">
        <v>1287</v>
      </c>
      <c r="B766" t="s">
        <v>1200</v>
      </c>
      <c r="C766" t="s">
        <v>1180</v>
      </c>
      <c r="D766" t="s">
        <v>1323</v>
      </c>
      <c r="E766" t="s">
        <v>1260</v>
      </c>
      <c r="F766" t="s">
        <v>1344</v>
      </c>
      <c r="G766" t="s">
        <v>1357</v>
      </c>
      <c r="H766" t="s">
        <v>1354</v>
      </c>
    </row>
    <row r="767" spans="1:8" x14ac:dyDescent="0.25">
      <c r="A767" t="s">
        <v>1185</v>
      </c>
      <c r="B767" t="s">
        <v>1210</v>
      </c>
      <c r="C767" t="s">
        <v>1284</v>
      </c>
      <c r="D767" t="s">
        <v>1217</v>
      </c>
      <c r="E767" t="s">
        <v>1263</v>
      </c>
      <c r="F767" t="s">
        <v>1345</v>
      </c>
      <c r="G767" t="s">
        <v>1358</v>
      </c>
      <c r="H767" t="s">
        <v>1356</v>
      </c>
    </row>
    <row r="768" spans="1:8" x14ac:dyDescent="0.25">
      <c r="A768" t="s">
        <v>1196</v>
      </c>
      <c r="B768" t="s">
        <v>1202</v>
      </c>
      <c r="C768" t="s">
        <v>1182</v>
      </c>
      <c r="D768" t="s">
        <v>1359</v>
      </c>
      <c r="E768" t="s">
        <v>1265</v>
      </c>
      <c r="F768" t="s">
        <v>1346</v>
      </c>
      <c r="G768" t="s">
        <v>1360</v>
      </c>
      <c r="H768" t="s">
        <v>1357</v>
      </c>
    </row>
    <row r="769" spans="1:8" x14ac:dyDescent="0.25">
      <c r="A769" t="s">
        <v>1199</v>
      </c>
      <c r="B769" t="s">
        <v>1205</v>
      </c>
      <c r="C769" t="s">
        <v>1196</v>
      </c>
      <c r="D769" t="s">
        <v>1361</v>
      </c>
      <c r="E769" t="s">
        <v>1362</v>
      </c>
      <c r="F769" t="s">
        <v>1348</v>
      </c>
      <c r="G769" t="s">
        <v>1363</v>
      </c>
      <c r="H769" t="s">
        <v>1358</v>
      </c>
    </row>
    <row r="770" spans="1:8" x14ac:dyDescent="0.25">
      <c r="A770" t="s">
        <v>1190</v>
      </c>
      <c r="B770" t="s">
        <v>1206</v>
      </c>
      <c r="C770" t="s">
        <v>1199</v>
      </c>
      <c r="D770" t="s">
        <v>1218</v>
      </c>
      <c r="E770" t="s">
        <v>1300</v>
      </c>
      <c r="F770" t="s">
        <v>1349</v>
      </c>
      <c r="G770" t="s">
        <v>1364</v>
      </c>
      <c r="H770" t="s">
        <v>1360</v>
      </c>
    </row>
    <row r="771" spans="1:8" x14ac:dyDescent="0.25">
      <c r="A771" t="s">
        <v>1191</v>
      </c>
      <c r="B771" t="s">
        <v>1207</v>
      </c>
      <c r="C771" t="s">
        <v>1190</v>
      </c>
      <c r="D771" t="s">
        <v>1221</v>
      </c>
      <c r="E771" t="s">
        <v>1282</v>
      </c>
      <c r="F771" t="s">
        <v>1350</v>
      </c>
      <c r="G771" t="s">
        <v>1365</v>
      </c>
      <c r="H771" t="s">
        <v>1363</v>
      </c>
    </row>
    <row r="772" spans="1:8" x14ac:dyDescent="0.25">
      <c r="A772" t="s">
        <v>1194</v>
      </c>
      <c r="B772" t="s">
        <v>1208</v>
      </c>
      <c r="C772" t="s">
        <v>1191</v>
      </c>
      <c r="D772" t="s">
        <v>1223</v>
      </c>
      <c r="E772" t="s">
        <v>1291</v>
      </c>
      <c r="F772" t="s">
        <v>1351</v>
      </c>
      <c r="G772" t="s">
        <v>1366</v>
      </c>
      <c r="H772" t="s">
        <v>1367</v>
      </c>
    </row>
    <row r="773" spans="1:8" x14ac:dyDescent="0.25">
      <c r="A773" t="s">
        <v>1200</v>
      </c>
      <c r="B773" t="s">
        <v>1211</v>
      </c>
      <c r="C773" t="s">
        <v>1194</v>
      </c>
      <c r="D773" t="s">
        <v>1226</v>
      </c>
      <c r="E773" t="s">
        <v>1293</v>
      </c>
      <c r="F773" t="s">
        <v>1353</v>
      </c>
      <c r="G773" t="s">
        <v>1368</v>
      </c>
      <c r="H773" t="s">
        <v>1365</v>
      </c>
    </row>
    <row r="774" spans="1:8" x14ac:dyDescent="0.25">
      <c r="A774" t="s">
        <v>1210</v>
      </c>
      <c r="B774" t="s">
        <v>1212</v>
      </c>
      <c r="C774" t="s">
        <v>1200</v>
      </c>
      <c r="D774" t="s">
        <v>1228</v>
      </c>
      <c r="E774" t="s">
        <v>1306</v>
      </c>
      <c r="F774" t="s">
        <v>1354</v>
      </c>
      <c r="G774" t="s">
        <v>1369</v>
      </c>
      <c r="H774" t="s">
        <v>1366</v>
      </c>
    </row>
    <row r="775" spans="1:8" x14ac:dyDescent="0.25">
      <c r="A775" t="s">
        <v>1202</v>
      </c>
      <c r="B775" t="s">
        <v>1216</v>
      </c>
      <c r="C775" t="s">
        <v>1210</v>
      </c>
      <c r="D775" t="s">
        <v>1370</v>
      </c>
      <c r="E775" t="s">
        <v>1308</v>
      </c>
      <c r="F775" t="s">
        <v>1356</v>
      </c>
      <c r="G775" t="s">
        <v>1371</v>
      </c>
      <c r="H775" t="s">
        <v>1368</v>
      </c>
    </row>
    <row r="776" spans="1:8" x14ac:dyDescent="0.25">
      <c r="A776" t="s">
        <v>1206</v>
      </c>
      <c r="B776" t="s">
        <v>1234</v>
      </c>
      <c r="C776" t="s">
        <v>1202</v>
      </c>
      <c r="D776" t="s">
        <v>1332</v>
      </c>
      <c r="E776" t="s">
        <v>1313</v>
      </c>
      <c r="F776" t="s">
        <v>1357</v>
      </c>
      <c r="G776" t="s">
        <v>1372</v>
      </c>
      <c r="H776" t="s">
        <v>1369</v>
      </c>
    </row>
    <row r="777" spans="1:8" x14ac:dyDescent="0.25">
      <c r="A777" t="s">
        <v>1207</v>
      </c>
      <c r="B777" t="s">
        <v>1236</v>
      </c>
      <c r="C777" t="s">
        <v>1206</v>
      </c>
      <c r="D777" t="s">
        <v>1341</v>
      </c>
      <c r="E777" t="s">
        <v>1314</v>
      </c>
      <c r="F777" t="s">
        <v>1358</v>
      </c>
      <c r="G777" t="s">
        <v>1373</v>
      </c>
      <c r="H777" t="s">
        <v>1371</v>
      </c>
    </row>
    <row r="778" spans="1:8" x14ac:dyDescent="0.25">
      <c r="A778" t="s">
        <v>1211</v>
      </c>
      <c r="B778" t="s">
        <v>1355</v>
      </c>
      <c r="C778" t="s">
        <v>1207</v>
      </c>
      <c r="D778" t="s">
        <v>1239</v>
      </c>
      <c r="E778" t="s">
        <v>1318</v>
      </c>
      <c r="F778" t="s">
        <v>1360</v>
      </c>
      <c r="G778" t="s">
        <v>1374</v>
      </c>
      <c r="H778" t="s">
        <v>1372</v>
      </c>
    </row>
    <row r="779" spans="1:8" x14ac:dyDescent="0.25">
      <c r="A779" t="s">
        <v>1212</v>
      </c>
      <c r="B779" t="s">
        <v>1323</v>
      </c>
      <c r="C779" t="s">
        <v>1208</v>
      </c>
      <c r="D779" t="s">
        <v>1259</v>
      </c>
      <c r="E779" t="s">
        <v>1319</v>
      </c>
      <c r="F779" t="s">
        <v>1363</v>
      </c>
      <c r="G779" t="s">
        <v>1375</v>
      </c>
      <c r="H779" t="s">
        <v>1373</v>
      </c>
    </row>
    <row r="780" spans="1:8" x14ac:dyDescent="0.25">
      <c r="A780" t="s">
        <v>1216</v>
      </c>
      <c r="B780" t="s">
        <v>1217</v>
      </c>
      <c r="C780" t="s">
        <v>1211</v>
      </c>
      <c r="D780" t="s">
        <v>1241</v>
      </c>
      <c r="E780" t="s">
        <v>1324</v>
      </c>
      <c r="F780" t="s">
        <v>1364</v>
      </c>
      <c r="G780" t="s">
        <v>1376</v>
      </c>
      <c r="H780" t="s">
        <v>1374</v>
      </c>
    </row>
    <row r="781" spans="1:8" x14ac:dyDescent="0.25">
      <c r="A781" t="s">
        <v>1234</v>
      </c>
      <c r="B781" t="s">
        <v>1361</v>
      </c>
      <c r="C781" t="s">
        <v>1212</v>
      </c>
      <c r="D781" t="s">
        <v>1273</v>
      </c>
      <c r="E781" t="s">
        <v>1325</v>
      </c>
      <c r="F781" t="s">
        <v>1365</v>
      </c>
      <c r="G781" t="s">
        <v>1377</v>
      </c>
      <c r="H781" t="s">
        <v>1375</v>
      </c>
    </row>
    <row r="782" spans="1:8" x14ac:dyDescent="0.25">
      <c r="A782" t="s">
        <v>1236</v>
      </c>
      <c r="B782" t="s">
        <v>1218</v>
      </c>
      <c r="C782" t="s">
        <v>1234</v>
      </c>
      <c r="D782" t="s">
        <v>1378</v>
      </c>
      <c r="E782" t="s">
        <v>1334</v>
      </c>
      <c r="F782" t="s">
        <v>1366</v>
      </c>
      <c r="G782" t="s">
        <v>1379</v>
      </c>
      <c r="H782" t="s">
        <v>1377</v>
      </c>
    </row>
    <row r="783" spans="1:8" x14ac:dyDescent="0.25">
      <c r="A783" t="s">
        <v>1355</v>
      </c>
      <c r="B783" t="s">
        <v>1219</v>
      </c>
      <c r="C783" t="s">
        <v>1355</v>
      </c>
      <c r="D783" t="s">
        <v>1276</v>
      </c>
      <c r="E783" t="s">
        <v>1380</v>
      </c>
      <c r="F783" t="s">
        <v>1368</v>
      </c>
      <c r="G783" t="s">
        <v>1381</v>
      </c>
      <c r="H783" t="s">
        <v>1379</v>
      </c>
    </row>
    <row r="784" spans="1:8" x14ac:dyDescent="0.25">
      <c r="A784" t="s">
        <v>1323</v>
      </c>
      <c r="B784" t="s">
        <v>1221</v>
      </c>
      <c r="C784" t="s">
        <v>1323</v>
      </c>
      <c r="D784" t="s">
        <v>1244</v>
      </c>
      <c r="E784" t="s">
        <v>1338</v>
      </c>
      <c r="F784" t="s">
        <v>1369</v>
      </c>
      <c r="G784" t="s">
        <v>1382</v>
      </c>
      <c r="H784" t="s">
        <v>1381</v>
      </c>
    </row>
    <row r="785" spans="1:8" x14ac:dyDescent="0.25">
      <c r="A785" t="s">
        <v>1383</v>
      </c>
      <c r="B785" t="s">
        <v>1228</v>
      </c>
      <c r="C785" t="s">
        <v>1383</v>
      </c>
      <c r="D785" t="s">
        <v>1352</v>
      </c>
      <c r="E785" t="s">
        <v>1329</v>
      </c>
      <c r="F785" t="s">
        <v>1371</v>
      </c>
      <c r="G785" t="s">
        <v>1384</v>
      </c>
      <c r="H785" t="s">
        <v>1382</v>
      </c>
    </row>
    <row r="786" spans="1:8" x14ac:dyDescent="0.25">
      <c r="A786" t="s">
        <v>1217</v>
      </c>
      <c r="B786" t="s">
        <v>1244</v>
      </c>
      <c r="C786" t="s">
        <v>1217</v>
      </c>
      <c r="D786" t="s">
        <v>1251</v>
      </c>
      <c r="E786" t="s">
        <v>1333</v>
      </c>
      <c r="F786" t="s">
        <v>1372</v>
      </c>
      <c r="G786" t="s">
        <v>1385</v>
      </c>
      <c r="H786" t="s">
        <v>1385</v>
      </c>
    </row>
    <row r="787" spans="1:8" x14ac:dyDescent="0.25">
      <c r="A787" t="s">
        <v>1359</v>
      </c>
      <c r="B787" t="s">
        <v>1251</v>
      </c>
      <c r="C787" t="s">
        <v>1359</v>
      </c>
      <c r="D787" t="s">
        <v>1257</v>
      </c>
      <c r="E787" t="s">
        <v>1337</v>
      </c>
      <c r="F787" t="s">
        <v>1373</v>
      </c>
      <c r="G787" t="s">
        <v>1386</v>
      </c>
      <c r="H787" t="s">
        <v>1386</v>
      </c>
    </row>
    <row r="788" spans="1:8" x14ac:dyDescent="0.25">
      <c r="A788" t="s">
        <v>1361</v>
      </c>
      <c r="B788" t="s">
        <v>1257</v>
      </c>
      <c r="C788" t="s">
        <v>1361</v>
      </c>
      <c r="D788" t="s">
        <v>1260</v>
      </c>
      <c r="E788" t="s">
        <v>1340</v>
      </c>
      <c r="F788" t="s">
        <v>1374</v>
      </c>
      <c r="G788" t="s">
        <v>1387</v>
      </c>
      <c r="H788" t="s">
        <v>1387</v>
      </c>
    </row>
    <row r="789" spans="1:8" x14ac:dyDescent="0.25">
      <c r="A789" t="s">
        <v>1218</v>
      </c>
      <c r="B789" t="s">
        <v>1260</v>
      </c>
      <c r="C789" t="s">
        <v>1218</v>
      </c>
      <c r="D789" t="s">
        <v>1263</v>
      </c>
      <c r="E789" t="s">
        <v>1342</v>
      </c>
      <c r="F789" t="s">
        <v>1375</v>
      </c>
      <c r="G789" t="s">
        <v>1388</v>
      </c>
      <c r="H789" t="s">
        <v>1388</v>
      </c>
    </row>
    <row r="790" spans="1:8" x14ac:dyDescent="0.25">
      <c r="A790" t="s">
        <v>1221</v>
      </c>
      <c r="B790" t="s">
        <v>1263</v>
      </c>
      <c r="C790" t="s">
        <v>1221</v>
      </c>
      <c r="D790" t="s">
        <v>1265</v>
      </c>
      <c r="E790" t="s">
        <v>1345</v>
      </c>
      <c r="F790" t="s">
        <v>1377</v>
      </c>
      <c r="G790" t="s">
        <v>1389</v>
      </c>
      <c r="H790" t="s">
        <v>1389</v>
      </c>
    </row>
    <row r="791" spans="1:8" x14ac:dyDescent="0.25">
      <c r="A791" t="s">
        <v>1228</v>
      </c>
      <c r="B791" t="s">
        <v>1306</v>
      </c>
      <c r="C791" t="s">
        <v>1226</v>
      </c>
      <c r="D791" t="s">
        <v>1282</v>
      </c>
      <c r="E791" t="s">
        <v>1346</v>
      </c>
      <c r="F791" t="s">
        <v>1379</v>
      </c>
      <c r="G791" t="s">
        <v>1390</v>
      </c>
      <c r="H791" t="s">
        <v>1390</v>
      </c>
    </row>
    <row r="792" spans="1:8" x14ac:dyDescent="0.25">
      <c r="A792" t="s">
        <v>1391</v>
      </c>
      <c r="B792" t="s">
        <v>1308</v>
      </c>
      <c r="C792" t="s">
        <v>1228</v>
      </c>
      <c r="D792" t="s">
        <v>1306</v>
      </c>
      <c r="E792" t="s">
        <v>1354</v>
      </c>
      <c r="F792" t="s">
        <v>1381</v>
      </c>
      <c r="G792" t="s">
        <v>1392</v>
      </c>
      <c r="H792" t="s">
        <v>1393</v>
      </c>
    </row>
    <row r="793" spans="1:8" x14ac:dyDescent="0.25">
      <c r="A793" t="s">
        <v>1352</v>
      </c>
      <c r="B793" t="s">
        <v>1324</v>
      </c>
      <c r="C793" t="s">
        <v>1257</v>
      </c>
      <c r="D793" t="s">
        <v>1308</v>
      </c>
      <c r="E793" t="s">
        <v>1356</v>
      </c>
      <c r="F793" t="s">
        <v>1382</v>
      </c>
      <c r="G793" t="s">
        <v>1394</v>
      </c>
      <c r="H793" t="s">
        <v>1395</v>
      </c>
    </row>
    <row r="794" spans="1:8" x14ac:dyDescent="0.25">
      <c r="A794" t="s">
        <v>1257</v>
      </c>
      <c r="B794" t="s">
        <v>1396</v>
      </c>
      <c r="C794" t="s">
        <v>1306</v>
      </c>
      <c r="D794" t="s">
        <v>1313</v>
      </c>
      <c r="E794" t="s">
        <v>1357</v>
      </c>
      <c r="F794" t="s">
        <v>1385</v>
      </c>
      <c r="G794" t="s">
        <v>1397</v>
      </c>
      <c r="H794" t="s">
        <v>1398</v>
      </c>
    </row>
    <row r="795" spans="1:8" x14ac:dyDescent="0.25">
      <c r="A795" t="s">
        <v>1260</v>
      </c>
      <c r="B795" t="s">
        <v>1399</v>
      </c>
      <c r="C795" t="s">
        <v>1324</v>
      </c>
      <c r="D795" t="s">
        <v>1318</v>
      </c>
      <c r="E795" t="s">
        <v>1358</v>
      </c>
      <c r="F795" t="s">
        <v>1386</v>
      </c>
      <c r="G795" t="s">
        <v>1400</v>
      </c>
      <c r="H795" t="s">
        <v>1401</v>
      </c>
    </row>
    <row r="796" spans="1:8" x14ac:dyDescent="0.25">
      <c r="A796" t="s">
        <v>1306</v>
      </c>
      <c r="B796" t="s">
        <v>1333</v>
      </c>
      <c r="C796" t="s">
        <v>1399</v>
      </c>
      <c r="D796" t="s">
        <v>1324</v>
      </c>
      <c r="E796" t="s">
        <v>1360</v>
      </c>
      <c r="F796" t="s">
        <v>1387</v>
      </c>
      <c r="G796" t="s">
        <v>1402</v>
      </c>
      <c r="H796" t="s">
        <v>1403</v>
      </c>
    </row>
    <row r="797" spans="1:8" x14ac:dyDescent="0.25">
      <c r="A797" t="s">
        <v>1324</v>
      </c>
      <c r="B797" t="s">
        <v>1340</v>
      </c>
      <c r="C797" t="s">
        <v>1363</v>
      </c>
      <c r="D797" t="s">
        <v>1334</v>
      </c>
      <c r="E797" t="s">
        <v>1363</v>
      </c>
      <c r="F797" t="s">
        <v>1388</v>
      </c>
      <c r="G797" t="s">
        <v>1393</v>
      </c>
      <c r="H797" t="s">
        <v>1404</v>
      </c>
    </row>
    <row r="798" spans="1:8" x14ac:dyDescent="0.25">
      <c r="A798" t="s">
        <v>1399</v>
      </c>
      <c r="B798" t="s">
        <v>1367</v>
      </c>
      <c r="C798" t="s">
        <v>1364</v>
      </c>
      <c r="D798" t="s">
        <v>1333</v>
      </c>
      <c r="E798" t="s">
        <v>1364</v>
      </c>
      <c r="F798" t="s">
        <v>1389</v>
      </c>
      <c r="G798" t="s">
        <v>1395</v>
      </c>
      <c r="H798" t="s">
        <v>1405</v>
      </c>
    </row>
    <row r="799" spans="1:8" x14ac:dyDescent="0.25">
      <c r="A799" t="s">
        <v>1337</v>
      </c>
      <c r="B799" t="s">
        <v>1406</v>
      </c>
      <c r="C799" t="s">
        <v>1406</v>
      </c>
      <c r="D799" t="s">
        <v>1337</v>
      </c>
      <c r="E799" t="s">
        <v>1367</v>
      </c>
      <c r="F799" t="s">
        <v>1390</v>
      </c>
      <c r="G799" t="s">
        <v>1398</v>
      </c>
      <c r="H799" t="s">
        <v>1407</v>
      </c>
    </row>
    <row r="800" spans="1:8" x14ac:dyDescent="0.25">
      <c r="A800" t="s">
        <v>1340</v>
      </c>
      <c r="B800" t="s">
        <v>1408</v>
      </c>
      <c r="C800" t="s">
        <v>1369</v>
      </c>
      <c r="D800" t="s">
        <v>1340</v>
      </c>
      <c r="E800" t="s">
        <v>1406</v>
      </c>
      <c r="F800" t="s">
        <v>1392</v>
      </c>
      <c r="G800" t="s">
        <v>1409</v>
      </c>
      <c r="H800" t="s">
        <v>1410</v>
      </c>
    </row>
    <row r="801" spans="1:8" x14ac:dyDescent="0.25">
      <c r="A801" t="s">
        <v>1342</v>
      </c>
      <c r="B801" t="s">
        <v>1369</v>
      </c>
      <c r="C801" t="s">
        <v>1371</v>
      </c>
      <c r="D801" t="s">
        <v>1354</v>
      </c>
      <c r="E801" t="s">
        <v>1411</v>
      </c>
      <c r="F801" t="s">
        <v>1394</v>
      </c>
      <c r="G801" t="s">
        <v>1412</v>
      </c>
      <c r="H801" t="s">
        <v>1413</v>
      </c>
    </row>
    <row r="802" spans="1:8" x14ac:dyDescent="0.25">
      <c r="A802" t="s">
        <v>1369</v>
      </c>
      <c r="B802" t="s">
        <v>1371</v>
      </c>
      <c r="C802" t="s">
        <v>1372</v>
      </c>
      <c r="D802" t="s">
        <v>1363</v>
      </c>
      <c r="E802" t="s">
        <v>1365</v>
      </c>
      <c r="F802" t="s">
        <v>1397</v>
      </c>
      <c r="G802" t="s">
        <v>1414</v>
      </c>
      <c r="H802" t="s">
        <v>1415</v>
      </c>
    </row>
    <row r="803" spans="1:8" x14ac:dyDescent="0.25">
      <c r="A803" t="s">
        <v>1416</v>
      </c>
      <c r="B803" t="s">
        <v>1372</v>
      </c>
      <c r="C803" t="s">
        <v>1393</v>
      </c>
      <c r="D803" t="s">
        <v>1364</v>
      </c>
      <c r="E803" t="s">
        <v>1369</v>
      </c>
      <c r="F803" t="s">
        <v>1400</v>
      </c>
      <c r="G803" t="s">
        <v>1401</v>
      </c>
      <c r="H803" t="s">
        <v>1417</v>
      </c>
    </row>
    <row r="804" spans="1:8" x14ac:dyDescent="0.25">
      <c r="A804" t="s">
        <v>1418</v>
      </c>
      <c r="B804" t="s">
        <v>1393</v>
      </c>
      <c r="C804" t="s">
        <v>1419</v>
      </c>
      <c r="D804" t="s">
        <v>1367</v>
      </c>
      <c r="E804" t="s">
        <v>1371</v>
      </c>
      <c r="F804" t="s">
        <v>1402</v>
      </c>
      <c r="G804" t="s">
        <v>1420</v>
      </c>
      <c r="H804" t="s">
        <v>1421</v>
      </c>
    </row>
    <row r="805" spans="1:8" x14ac:dyDescent="0.25">
      <c r="A805" t="s">
        <v>1422</v>
      </c>
      <c r="B805" t="s">
        <v>1395</v>
      </c>
      <c r="C805" t="s">
        <v>1407</v>
      </c>
      <c r="D805" t="s">
        <v>1411</v>
      </c>
      <c r="E805" t="s">
        <v>1372</v>
      </c>
      <c r="F805" t="s">
        <v>1393</v>
      </c>
      <c r="G805" t="s">
        <v>1423</v>
      </c>
      <c r="H805" t="s">
        <v>1424</v>
      </c>
    </row>
    <row r="806" spans="1:8" x14ac:dyDescent="0.25">
      <c r="A806" t="s">
        <v>1425</v>
      </c>
      <c r="B806" t="s">
        <v>1398</v>
      </c>
      <c r="C806" t="s">
        <v>1426</v>
      </c>
      <c r="D806" t="s">
        <v>1369</v>
      </c>
      <c r="E806" t="s">
        <v>1373</v>
      </c>
      <c r="F806" t="s">
        <v>1395</v>
      </c>
      <c r="G806" t="s">
        <v>1427</v>
      </c>
      <c r="H806" t="s">
        <v>1428</v>
      </c>
    </row>
    <row r="807" spans="1:8" x14ac:dyDescent="0.25">
      <c r="A807" t="s">
        <v>1429</v>
      </c>
      <c r="B807" t="s">
        <v>1407</v>
      </c>
      <c r="C807" t="s">
        <v>1416</v>
      </c>
      <c r="D807" t="s">
        <v>1371</v>
      </c>
      <c r="E807" t="s">
        <v>1384</v>
      </c>
      <c r="F807" t="s">
        <v>1398</v>
      </c>
      <c r="G807" t="s">
        <v>1430</v>
      </c>
      <c r="H807" t="s">
        <v>1426</v>
      </c>
    </row>
    <row r="808" spans="1:8" x14ac:dyDescent="0.25">
      <c r="A808" t="s">
        <v>1431</v>
      </c>
      <c r="B808" t="s">
        <v>1410</v>
      </c>
      <c r="C808" t="s">
        <v>1432</v>
      </c>
      <c r="D808" t="s">
        <v>1372</v>
      </c>
      <c r="E808" t="s">
        <v>1385</v>
      </c>
      <c r="F808" t="s">
        <v>1409</v>
      </c>
      <c r="G808" t="s">
        <v>1419</v>
      </c>
      <c r="H808" t="s">
        <v>1433</v>
      </c>
    </row>
    <row r="809" spans="1:8" x14ac:dyDescent="0.25">
      <c r="A809" t="s">
        <v>1434</v>
      </c>
      <c r="B809" t="s">
        <v>1435</v>
      </c>
      <c r="C809" t="s">
        <v>1435</v>
      </c>
      <c r="D809" t="s">
        <v>1393</v>
      </c>
      <c r="E809" t="s">
        <v>1393</v>
      </c>
      <c r="F809" t="s">
        <v>1412</v>
      </c>
      <c r="G809" t="s">
        <v>1403</v>
      </c>
      <c r="H809" t="s">
        <v>1436</v>
      </c>
    </row>
    <row r="810" spans="1:8" x14ac:dyDescent="0.25">
      <c r="A810" t="s">
        <v>1437</v>
      </c>
      <c r="B810" t="s">
        <v>1438</v>
      </c>
      <c r="C810" t="s">
        <v>1438</v>
      </c>
      <c r="D810" t="s">
        <v>1395</v>
      </c>
      <c r="E810" t="s">
        <v>1395</v>
      </c>
      <c r="F810" t="s">
        <v>1401</v>
      </c>
      <c r="G810" t="s">
        <v>1404</v>
      </c>
      <c r="H810" t="s">
        <v>1439</v>
      </c>
    </row>
    <row r="811" spans="1:8" x14ac:dyDescent="0.25">
      <c r="A811" t="s">
        <v>1440</v>
      </c>
      <c r="B811" t="s">
        <v>1418</v>
      </c>
      <c r="C811" t="s">
        <v>1418</v>
      </c>
      <c r="D811" t="s">
        <v>1419</v>
      </c>
      <c r="E811" t="s">
        <v>1430</v>
      </c>
      <c r="F811" t="s">
        <v>1420</v>
      </c>
      <c r="G811" t="s">
        <v>1405</v>
      </c>
      <c r="H811" t="s">
        <v>1441</v>
      </c>
    </row>
    <row r="812" spans="1:8" x14ac:dyDescent="0.25">
      <c r="A812" t="s">
        <v>1442</v>
      </c>
      <c r="B812" t="s">
        <v>1422</v>
      </c>
      <c r="C812" t="s">
        <v>1422</v>
      </c>
      <c r="D812" t="s">
        <v>1407</v>
      </c>
      <c r="E812" t="s">
        <v>1419</v>
      </c>
      <c r="F812" t="s">
        <v>1423</v>
      </c>
      <c r="G812" t="s">
        <v>1407</v>
      </c>
      <c r="H812" t="s">
        <v>1438</v>
      </c>
    </row>
    <row r="813" spans="1:8" x14ac:dyDescent="0.25">
      <c r="A813" t="s">
        <v>1443</v>
      </c>
      <c r="B813" t="s">
        <v>1425</v>
      </c>
      <c r="C813" t="s">
        <v>1425</v>
      </c>
      <c r="D813" t="s">
        <v>1410</v>
      </c>
      <c r="E813" t="s">
        <v>1404</v>
      </c>
      <c r="F813" t="s">
        <v>1427</v>
      </c>
      <c r="G813" t="s">
        <v>1410</v>
      </c>
      <c r="H813" t="s">
        <v>1418</v>
      </c>
    </row>
    <row r="814" spans="1:8" x14ac:dyDescent="0.25">
      <c r="A814" t="s">
        <v>1444</v>
      </c>
      <c r="B814" t="s">
        <v>1429</v>
      </c>
      <c r="C814" t="s">
        <v>1429</v>
      </c>
      <c r="D814" t="s">
        <v>1424</v>
      </c>
      <c r="E814" t="s">
        <v>1407</v>
      </c>
      <c r="F814" t="s">
        <v>1430</v>
      </c>
      <c r="G814" t="s">
        <v>1413</v>
      </c>
      <c r="H814" t="s">
        <v>1422</v>
      </c>
    </row>
    <row r="815" spans="1:8" x14ac:dyDescent="0.25">
      <c r="A815" t="s">
        <v>1445</v>
      </c>
      <c r="B815" t="s">
        <v>1431</v>
      </c>
      <c r="C815" t="s">
        <v>1446</v>
      </c>
      <c r="D815" t="s">
        <v>1426</v>
      </c>
      <c r="E815" t="s">
        <v>1410</v>
      </c>
      <c r="F815" t="s">
        <v>1419</v>
      </c>
      <c r="G815" t="s">
        <v>1415</v>
      </c>
      <c r="H815" t="s">
        <v>1425</v>
      </c>
    </row>
    <row r="816" spans="1:8" x14ac:dyDescent="0.25">
      <c r="A816" t="s">
        <v>1447</v>
      </c>
      <c r="B816" t="s">
        <v>1434</v>
      </c>
      <c r="C816" t="s">
        <v>1431</v>
      </c>
      <c r="D816" t="s">
        <v>1432</v>
      </c>
      <c r="E816" t="s">
        <v>1413</v>
      </c>
      <c r="F816" t="s">
        <v>1403</v>
      </c>
      <c r="G816" t="s">
        <v>1417</v>
      </c>
      <c r="H816" t="s">
        <v>1429</v>
      </c>
    </row>
    <row r="817" spans="1:8" x14ac:dyDescent="0.25">
      <c r="A817" t="s">
        <v>1448</v>
      </c>
      <c r="B817" t="s">
        <v>1437</v>
      </c>
      <c r="C817" t="s">
        <v>1434</v>
      </c>
      <c r="D817" t="s">
        <v>1435</v>
      </c>
      <c r="E817" t="s">
        <v>1424</v>
      </c>
      <c r="F817" t="s">
        <v>1404</v>
      </c>
      <c r="G817" t="s">
        <v>1421</v>
      </c>
      <c r="H817" t="s">
        <v>1446</v>
      </c>
    </row>
    <row r="818" spans="1:8" x14ac:dyDescent="0.25">
      <c r="A818" t="s">
        <v>1449</v>
      </c>
      <c r="B818" t="s">
        <v>1440</v>
      </c>
      <c r="C818" t="s">
        <v>1437</v>
      </c>
      <c r="D818" t="s">
        <v>1438</v>
      </c>
      <c r="E818" t="s">
        <v>1438</v>
      </c>
      <c r="F818" t="s">
        <v>1405</v>
      </c>
      <c r="G818" t="s">
        <v>1450</v>
      </c>
      <c r="H818" t="s">
        <v>1451</v>
      </c>
    </row>
    <row r="819" spans="1:8" x14ac:dyDescent="0.25">
      <c r="A819" t="s">
        <v>1452</v>
      </c>
      <c r="B819" t="s">
        <v>1453</v>
      </c>
      <c r="C819" t="s">
        <v>1440</v>
      </c>
      <c r="D819" t="s">
        <v>1418</v>
      </c>
      <c r="E819" t="s">
        <v>1418</v>
      </c>
      <c r="F819" t="s">
        <v>1407</v>
      </c>
      <c r="G819" t="s">
        <v>1454</v>
      </c>
      <c r="H819" t="s">
        <v>1431</v>
      </c>
    </row>
    <row r="820" spans="1:8" x14ac:dyDescent="0.25">
      <c r="A820" t="s">
        <v>1455</v>
      </c>
      <c r="B820" t="s">
        <v>1443</v>
      </c>
      <c r="C820" t="s">
        <v>1442</v>
      </c>
      <c r="D820" t="s">
        <v>1422</v>
      </c>
      <c r="E820" t="s">
        <v>1422</v>
      </c>
      <c r="F820" t="s">
        <v>1410</v>
      </c>
      <c r="G820" t="s">
        <v>1456</v>
      </c>
      <c r="H820" t="s">
        <v>1437</v>
      </c>
    </row>
    <row r="821" spans="1:8" x14ac:dyDescent="0.25">
      <c r="A821" t="s">
        <v>1457</v>
      </c>
      <c r="B821" t="s">
        <v>1444</v>
      </c>
      <c r="C821" t="s">
        <v>1453</v>
      </c>
      <c r="D821" t="s">
        <v>1425</v>
      </c>
      <c r="E821" t="s">
        <v>1425</v>
      </c>
      <c r="F821" t="s">
        <v>1413</v>
      </c>
      <c r="G821" t="s">
        <v>1424</v>
      </c>
      <c r="H821" t="s">
        <v>1440</v>
      </c>
    </row>
    <row r="822" spans="1:8" x14ac:dyDescent="0.25">
      <c r="A822" t="s">
        <v>1458</v>
      </c>
      <c r="B822" t="s">
        <v>1445</v>
      </c>
      <c r="C822" t="s">
        <v>1459</v>
      </c>
      <c r="D822" t="s">
        <v>1429</v>
      </c>
      <c r="E822" t="s">
        <v>1429</v>
      </c>
      <c r="F822" t="s">
        <v>1415</v>
      </c>
      <c r="G822" t="s">
        <v>1428</v>
      </c>
      <c r="H822" t="s">
        <v>1442</v>
      </c>
    </row>
    <row r="823" spans="1:8" x14ac:dyDescent="0.25">
      <c r="A823" t="s">
        <v>1460</v>
      </c>
      <c r="B823" t="s">
        <v>1447</v>
      </c>
      <c r="C823" t="s">
        <v>1443</v>
      </c>
      <c r="D823" t="s">
        <v>1446</v>
      </c>
      <c r="E823" t="s">
        <v>1446</v>
      </c>
      <c r="F823" t="s">
        <v>1417</v>
      </c>
      <c r="G823" t="s">
        <v>1426</v>
      </c>
      <c r="H823" t="s">
        <v>1453</v>
      </c>
    </row>
    <row r="824" spans="1:8" x14ac:dyDescent="0.25">
      <c r="A824" t="s">
        <v>1461</v>
      </c>
      <c r="B824" t="s">
        <v>1448</v>
      </c>
      <c r="C824" t="s">
        <v>1444</v>
      </c>
      <c r="D824" t="s">
        <v>1462</v>
      </c>
      <c r="E824" t="s">
        <v>1431</v>
      </c>
      <c r="F824" t="s">
        <v>1421</v>
      </c>
      <c r="G824" t="s">
        <v>1433</v>
      </c>
      <c r="H824" t="s">
        <v>1463</v>
      </c>
    </row>
    <row r="825" spans="1:8" x14ac:dyDescent="0.25">
      <c r="A825" t="s">
        <v>1464</v>
      </c>
      <c r="B825" t="s">
        <v>1449</v>
      </c>
      <c r="C825" t="s">
        <v>1445</v>
      </c>
      <c r="D825" t="s">
        <v>1431</v>
      </c>
      <c r="E825" t="s">
        <v>1434</v>
      </c>
      <c r="F825" t="s">
        <v>1424</v>
      </c>
      <c r="G825" t="s">
        <v>1436</v>
      </c>
      <c r="H825" t="s">
        <v>1459</v>
      </c>
    </row>
    <row r="826" spans="1:8" x14ac:dyDescent="0.25">
      <c r="A826" t="s">
        <v>1465</v>
      </c>
      <c r="B826" t="s">
        <v>1466</v>
      </c>
      <c r="C826" t="s">
        <v>1447</v>
      </c>
      <c r="D826" t="s">
        <v>1434</v>
      </c>
      <c r="E826" t="s">
        <v>1437</v>
      </c>
      <c r="F826" t="s">
        <v>1428</v>
      </c>
      <c r="G826" t="s">
        <v>1439</v>
      </c>
      <c r="H826" t="s">
        <v>1443</v>
      </c>
    </row>
    <row r="827" spans="1:8" x14ac:dyDescent="0.25">
      <c r="A827" t="s">
        <v>1467</v>
      </c>
      <c r="B827" t="s">
        <v>1468</v>
      </c>
      <c r="C827" t="s">
        <v>1469</v>
      </c>
      <c r="D827" t="s">
        <v>1437</v>
      </c>
      <c r="E827" t="s">
        <v>1440</v>
      </c>
      <c r="F827" t="s">
        <v>1426</v>
      </c>
      <c r="G827" t="s">
        <v>1441</v>
      </c>
      <c r="H827" t="s">
        <v>1444</v>
      </c>
    </row>
    <row r="828" spans="1:8" x14ac:dyDescent="0.25">
      <c r="A828" t="s">
        <v>1470</v>
      </c>
      <c r="B828" t="s">
        <v>1455</v>
      </c>
      <c r="C828" t="s">
        <v>1448</v>
      </c>
      <c r="D828" t="s">
        <v>1440</v>
      </c>
      <c r="E828" t="s">
        <v>1453</v>
      </c>
      <c r="F828" t="s">
        <v>1433</v>
      </c>
      <c r="G828" t="s">
        <v>1418</v>
      </c>
      <c r="H828" t="s">
        <v>1445</v>
      </c>
    </row>
    <row r="829" spans="1:8" x14ac:dyDescent="0.25">
      <c r="A829" t="s">
        <v>1471</v>
      </c>
      <c r="B829" t="s">
        <v>1457</v>
      </c>
      <c r="C829" t="s">
        <v>1449</v>
      </c>
      <c r="D829" t="s">
        <v>1442</v>
      </c>
      <c r="E829" t="s">
        <v>1443</v>
      </c>
      <c r="F829" t="s">
        <v>1439</v>
      </c>
      <c r="G829" t="s">
        <v>1422</v>
      </c>
      <c r="H829" t="s">
        <v>1447</v>
      </c>
    </row>
    <row r="830" spans="1:8" x14ac:dyDescent="0.25">
      <c r="A830" t="s">
        <v>1472</v>
      </c>
      <c r="B830" t="s">
        <v>1458</v>
      </c>
      <c r="C830" t="s">
        <v>1452</v>
      </c>
      <c r="D830" t="s">
        <v>1453</v>
      </c>
      <c r="E830" t="s">
        <v>1444</v>
      </c>
      <c r="F830" t="s">
        <v>1441</v>
      </c>
      <c r="G830" t="s">
        <v>1425</v>
      </c>
      <c r="H830" t="s">
        <v>1469</v>
      </c>
    </row>
    <row r="831" spans="1:8" x14ac:dyDescent="0.25">
      <c r="A831" t="s">
        <v>1473</v>
      </c>
      <c r="B831" t="s">
        <v>1460</v>
      </c>
      <c r="C831" t="s">
        <v>1468</v>
      </c>
      <c r="D831" t="s">
        <v>1443</v>
      </c>
      <c r="E831" t="s">
        <v>1445</v>
      </c>
      <c r="F831" t="s">
        <v>1418</v>
      </c>
      <c r="G831" t="s">
        <v>1429</v>
      </c>
      <c r="H831" t="s">
        <v>1474</v>
      </c>
    </row>
    <row r="832" spans="1:8" x14ac:dyDescent="0.25">
      <c r="A832" t="s">
        <v>1475</v>
      </c>
      <c r="B832" t="s">
        <v>1461</v>
      </c>
      <c r="C832" t="s">
        <v>1476</v>
      </c>
      <c r="D832" t="s">
        <v>1477</v>
      </c>
      <c r="E832" t="s">
        <v>1447</v>
      </c>
      <c r="F832" t="s">
        <v>1429</v>
      </c>
      <c r="G832" t="s">
        <v>1446</v>
      </c>
      <c r="H832" t="s">
        <v>1478</v>
      </c>
    </row>
    <row r="833" spans="1:8" x14ac:dyDescent="0.25">
      <c r="A833" t="s">
        <v>1479</v>
      </c>
      <c r="B833" t="s">
        <v>1464</v>
      </c>
      <c r="C833" t="s">
        <v>1480</v>
      </c>
      <c r="D833" t="s">
        <v>1481</v>
      </c>
      <c r="E833" t="s">
        <v>1469</v>
      </c>
      <c r="F833" t="s">
        <v>1446</v>
      </c>
      <c r="G833" t="s">
        <v>1451</v>
      </c>
      <c r="H833" t="s">
        <v>1449</v>
      </c>
    </row>
    <row r="834" spans="1:8" x14ac:dyDescent="0.25">
      <c r="A834" t="s">
        <v>1482</v>
      </c>
      <c r="B834" t="s">
        <v>1465</v>
      </c>
      <c r="C834" t="s">
        <v>1455</v>
      </c>
      <c r="D834" t="s">
        <v>1444</v>
      </c>
      <c r="E834" t="s">
        <v>1478</v>
      </c>
      <c r="F834" t="s">
        <v>1431</v>
      </c>
      <c r="G834" t="s">
        <v>1431</v>
      </c>
      <c r="H834" t="s">
        <v>1452</v>
      </c>
    </row>
    <row r="835" spans="1:8" x14ac:dyDescent="0.25">
      <c r="A835" t="s">
        <v>1483</v>
      </c>
      <c r="B835" t="s">
        <v>1467</v>
      </c>
      <c r="C835" t="s">
        <v>1457</v>
      </c>
      <c r="D835" t="s">
        <v>1445</v>
      </c>
      <c r="E835" t="s">
        <v>1448</v>
      </c>
      <c r="F835" t="s">
        <v>1440</v>
      </c>
      <c r="G835" t="s">
        <v>1434</v>
      </c>
      <c r="H835" t="s">
        <v>1484</v>
      </c>
    </row>
    <row r="836" spans="1:8" x14ac:dyDescent="0.25">
      <c r="A836" t="s">
        <v>1485</v>
      </c>
      <c r="B836" t="s">
        <v>1470</v>
      </c>
      <c r="C836" t="s">
        <v>1458</v>
      </c>
      <c r="D836" t="s">
        <v>1447</v>
      </c>
      <c r="E836" t="s">
        <v>1449</v>
      </c>
      <c r="F836" t="s">
        <v>1453</v>
      </c>
      <c r="G836" t="s">
        <v>1437</v>
      </c>
      <c r="H836" t="s">
        <v>1468</v>
      </c>
    </row>
    <row r="837" spans="1:8" x14ac:dyDescent="0.25">
      <c r="A837" t="s">
        <v>1486</v>
      </c>
      <c r="B837" t="s">
        <v>1471</v>
      </c>
      <c r="C837" t="s">
        <v>1460</v>
      </c>
      <c r="D837" t="s">
        <v>1469</v>
      </c>
      <c r="E837" t="s">
        <v>1452</v>
      </c>
      <c r="F837" t="s">
        <v>1443</v>
      </c>
      <c r="G837" t="s">
        <v>1440</v>
      </c>
      <c r="H837" t="s">
        <v>1487</v>
      </c>
    </row>
    <row r="838" spans="1:8" x14ac:dyDescent="0.25">
      <c r="A838" t="s">
        <v>1488</v>
      </c>
      <c r="B838" t="s">
        <v>1472</v>
      </c>
      <c r="C838" t="s">
        <v>1461</v>
      </c>
      <c r="D838" t="s">
        <v>1474</v>
      </c>
      <c r="E838" t="s">
        <v>1466</v>
      </c>
      <c r="F838" t="s">
        <v>1481</v>
      </c>
      <c r="G838" t="s">
        <v>1442</v>
      </c>
      <c r="H838" t="s">
        <v>1489</v>
      </c>
    </row>
    <row r="839" spans="1:8" x14ac:dyDescent="0.25">
      <c r="A839" t="s">
        <v>1490</v>
      </c>
      <c r="B839" t="s">
        <v>1473</v>
      </c>
      <c r="C839" t="s">
        <v>1464</v>
      </c>
      <c r="D839" t="s">
        <v>1478</v>
      </c>
      <c r="E839" t="s">
        <v>1468</v>
      </c>
      <c r="F839" t="s">
        <v>1445</v>
      </c>
      <c r="G839" t="s">
        <v>1453</v>
      </c>
      <c r="H839" t="s">
        <v>1491</v>
      </c>
    </row>
    <row r="840" spans="1:8" x14ac:dyDescent="0.25">
      <c r="A840" t="s">
        <v>1492</v>
      </c>
      <c r="B840" t="s">
        <v>1475</v>
      </c>
      <c r="C840" t="s">
        <v>1467</v>
      </c>
      <c r="D840" t="s">
        <v>1448</v>
      </c>
      <c r="E840" t="s">
        <v>1491</v>
      </c>
      <c r="F840" t="s">
        <v>1447</v>
      </c>
      <c r="G840" t="s">
        <v>1443</v>
      </c>
      <c r="H840" t="s">
        <v>1493</v>
      </c>
    </row>
    <row r="841" spans="1:8" x14ac:dyDescent="0.25">
      <c r="A841" t="s">
        <v>1494</v>
      </c>
      <c r="B841" t="s">
        <v>1479</v>
      </c>
      <c r="C841" t="s">
        <v>1470</v>
      </c>
      <c r="D841" t="s">
        <v>1449</v>
      </c>
      <c r="E841" t="s">
        <v>1495</v>
      </c>
      <c r="F841" t="s">
        <v>1452</v>
      </c>
      <c r="G841" t="s">
        <v>1444</v>
      </c>
      <c r="H841" t="s">
        <v>1496</v>
      </c>
    </row>
    <row r="842" spans="1:8" x14ac:dyDescent="0.25">
      <c r="A842" t="s">
        <v>1497</v>
      </c>
      <c r="B842" t="s">
        <v>1482</v>
      </c>
      <c r="C842" t="s">
        <v>1471</v>
      </c>
      <c r="D842" t="s">
        <v>1452</v>
      </c>
      <c r="E842" t="s">
        <v>1455</v>
      </c>
      <c r="F842" t="s">
        <v>1466</v>
      </c>
      <c r="G842" t="s">
        <v>1445</v>
      </c>
      <c r="H842" t="s">
        <v>1455</v>
      </c>
    </row>
    <row r="843" spans="1:8" x14ac:dyDescent="0.25">
      <c r="A843" t="s">
        <v>1498</v>
      </c>
      <c r="B843" t="s">
        <v>1483</v>
      </c>
      <c r="C843" t="s">
        <v>1472</v>
      </c>
      <c r="D843" t="s">
        <v>1466</v>
      </c>
      <c r="E843" t="s">
        <v>1457</v>
      </c>
      <c r="F843" t="s">
        <v>1484</v>
      </c>
      <c r="G843" t="s">
        <v>1447</v>
      </c>
      <c r="H843" t="s">
        <v>1457</v>
      </c>
    </row>
    <row r="844" spans="1:8" x14ac:dyDescent="0.25">
      <c r="A844" t="s">
        <v>1499</v>
      </c>
      <c r="B844" t="s">
        <v>1485</v>
      </c>
      <c r="C844" t="s">
        <v>1473</v>
      </c>
      <c r="D844" t="s">
        <v>1476</v>
      </c>
      <c r="E844" t="s">
        <v>1458</v>
      </c>
      <c r="F844" t="s">
        <v>1468</v>
      </c>
      <c r="G844" t="s">
        <v>1469</v>
      </c>
      <c r="H844" t="s">
        <v>1458</v>
      </c>
    </row>
    <row r="845" spans="1:8" x14ac:dyDescent="0.25">
      <c r="A845" t="s">
        <v>1500</v>
      </c>
      <c r="B845" t="s">
        <v>1486</v>
      </c>
      <c r="C845" t="s">
        <v>1475</v>
      </c>
      <c r="D845" t="s">
        <v>1480</v>
      </c>
      <c r="E845" t="s">
        <v>1460</v>
      </c>
      <c r="F845" t="s">
        <v>1489</v>
      </c>
      <c r="G845" t="s">
        <v>1478</v>
      </c>
      <c r="H845" t="s">
        <v>1460</v>
      </c>
    </row>
    <row r="846" spans="1:8" x14ac:dyDescent="0.25">
      <c r="A846" t="s">
        <v>1501</v>
      </c>
      <c r="B846" t="s">
        <v>1488</v>
      </c>
      <c r="C846" t="s">
        <v>1479</v>
      </c>
      <c r="D846" t="s">
        <v>1455</v>
      </c>
      <c r="E846" t="s">
        <v>1461</v>
      </c>
      <c r="F846" t="s">
        <v>1491</v>
      </c>
      <c r="G846" t="s">
        <v>1449</v>
      </c>
      <c r="H846" t="s">
        <v>1461</v>
      </c>
    </row>
    <row r="847" spans="1:8" x14ac:dyDescent="0.25">
      <c r="A847" t="s">
        <v>1502</v>
      </c>
      <c r="B847" t="s">
        <v>1490</v>
      </c>
      <c r="C847" t="s">
        <v>1482</v>
      </c>
      <c r="D847" t="s">
        <v>1457</v>
      </c>
      <c r="E847" t="s">
        <v>1464</v>
      </c>
      <c r="F847" t="s">
        <v>1493</v>
      </c>
      <c r="G847" t="s">
        <v>1452</v>
      </c>
      <c r="H847" t="s">
        <v>1503</v>
      </c>
    </row>
    <row r="848" spans="1:8" x14ac:dyDescent="0.25">
      <c r="A848" t="s">
        <v>1504</v>
      </c>
      <c r="B848" t="s">
        <v>1492</v>
      </c>
      <c r="C848" t="s">
        <v>1483</v>
      </c>
      <c r="D848" t="s">
        <v>1458</v>
      </c>
      <c r="E848" t="s">
        <v>1505</v>
      </c>
      <c r="F848" t="s">
        <v>1495</v>
      </c>
      <c r="G848" t="s">
        <v>1489</v>
      </c>
      <c r="H848" t="s">
        <v>1506</v>
      </c>
    </row>
    <row r="849" spans="1:8" x14ac:dyDescent="0.25">
      <c r="A849" t="s">
        <v>1507</v>
      </c>
      <c r="B849" t="s">
        <v>1494</v>
      </c>
      <c r="C849" t="s">
        <v>1485</v>
      </c>
      <c r="D849" t="s">
        <v>1460</v>
      </c>
      <c r="E849" t="s">
        <v>1503</v>
      </c>
      <c r="F849" t="s">
        <v>1496</v>
      </c>
      <c r="G849" t="s">
        <v>1496</v>
      </c>
      <c r="H849" t="s">
        <v>1508</v>
      </c>
    </row>
    <row r="850" spans="1:8" x14ac:dyDescent="0.25">
      <c r="A850" t="s">
        <v>1509</v>
      </c>
      <c r="B850" t="s">
        <v>1497</v>
      </c>
      <c r="C850" t="s">
        <v>1486</v>
      </c>
      <c r="D850" t="s">
        <v>1461</v>
      </c>
      <c r="E850" t="s">
        <v>1506</v>
      </c>
      <c r="F850" t="s">
        <v>1457</v>
      </c>
      <c r="G850" t="s">
        <v>1455</v>
      </c>
      <c r="H850" t="s">
        <v>1510</v>
      </c>
    </row>
    <row r="851" spans="1:8" x14ac:dyDescent="0.25">
      <c r="A851" t="s">
        <v>1511</v>
      </c>
      <c r="B851" t="s">
        <v>1498</v>
      </c>
      <c r="C851" t="s">
        <v>1488</v>
      </c>
      <c r="D851" t="s">
        <v>1464</v>
      </c>
      <c r="E851" t="s">
        <v>1467</v>
      </c>
      <c r="F851" t="s">
        <v>1458</v>
      </c>
      <c r="G851" t="s">
        <v>1457</v>
      </c>
      <c r="H851" t="s">
        <v>1467</v>
      </c>
    </row>
    <row r="852" spans="1:8" x14ac:dyDescent="0.25">
      <c r="A852" t="s">
        <v>1512</v>
      </c>
      <c r="B852" t="s">
        <v>1499</v>
      </c>
      <c r="C852" t="s">
        <v>1490</v>
      </c>
      <c r="D852" t="s">
        <v>1506</v>
      </c>
      <c r="E852" t="s">
        <v>1470</v>
      </c>
      <c r="F852" t="s">
        <v>1460</v>
      </c>
      <c r="G852" t="s">
        <v>1458</v>
      </c>
      <c r="H852" t="s">
        <v>1470</v>
      </c>
    </row>
    <row r="853" spans="1:8" x14ac:dyDescent="0.25">
      <c r="A853" t="s">
        <v>1513</v>
      </c>
      <c r="B853" t="s">
        <v>1500</v>
      </c>
      <c r="C853" t="s">
        <v>1492</v>
      </c>
      <c r="D853" t="s">
        <v>1467</v>
      </c>
      <c r="E853" t="s">
        <v>1471</v>
      </c>
      <c r="F853" t="s">
        <v>1461</v>
      </c>
      <c r="G853" t="s">
        <v>1460</v>
      </c>
      <c r="H853" t="s">
        <v>1471</v>
      </c>
    </row>
    <row r="854" spans="1:8" x14ac:dyDescent="0.25">
      <c r="A854" t="s">
        <v>1514</v>
      </c>
      <c r="B854" t="s">
        <v>1501</v>
      </c>
      <c r="C854" t="s">
        <v>1494</v>
      </c>
      <c r="D854" t="s">
        <v>1470</v>
      </c>
      <c r="E854" t="s">
        <v>1472</v>
      </c>
      <c r="F854" t="s">
        <v>1464</v>
      </c>
      <c r="G854" t="s">
        <v>1461</v>
      </c>
      <c r="H854" t="s">
        <v>1472</v>
      </c>
    </row>
    <row r="855" spans="1:8" x14ac:dyDescent="0.25">
      <c r="A855" t="s">
        <v>1515</v>
      </c>
      <c r="B855" t="s">
        <v>1502</v>
      </c>
      <c r="C855" t="s">
        <v>1497</v>
      </c>
      <c r="D855" t="s">
        <v>1472</v>
      </c>
      <c r="E855" t="s">
        <v>1473</v>
      </c>
      <c r="F855" t="s">
        <v>1505</v>
      </c>
      <c r="G855" t="s">
        <v>1503</v>
      </c>
      <c r="H855" t="s">
        <v>1473</v>
      </c>
    </row>
    <row r="856" spans="1:8" x14ac:dyDescent="0.25">
      <c r="A856" t="s">
        <v>1516</v>
      </c>
      <c r="B856" t="s">
        <v>1504</v>
      </c>
      <c r="C856" t="s">
        <v>1498</v>
      </c>
      <c r="D856" t="s">
        <v>1473</v>
      </c>
      <c r="E856" t="s">
        <v>1475</v>
      </c>
      <c r="F856" t="s">
        <v>1503</v>
      </c>
      <c r="G856" t="s">
        <v>1506</v>
      </c>
      <c r="H856" t="s">
        <v>1475</v>
      </c>
    </row>
    <row r="857" spans="1:8" x14ac:dyDescent="0.25">
      <c r="A857" t="s">
        <v>1517</v>
      </c>
      <c r="B857" t="s">
        <v>1507</v>
      </c>
      <c r="C857" t="s">
        <v>1499</v>
      </c>
      <c r="D857" t="s">
        <v>1475</v>
      </c>
      <c r="E857" t="s">
        <v>1479</v>
      </c>
      <c r="F857" t="s">
        <v>1506</v>
      </c>
      <c r="G857" t="s">
        <v>1510</v>
      </c>
      <c r="H857" t="s">
        <v>1479</v>
      </c>
    </row>
    <row r="858" spans="1:8" x14ac:dyDescent="0.25">
      <c r="A858" t="s">
        <v>1518</v>
      </c>
      <c r="B858" t="s">
        <v>1509</v>
      </c>
      <c r="C858" t="s">
        <v>1500</v>
      </c>
      <c r="D858" t="s">
        <v>1479</v>
      </c>
      <c r="E858" t="s">
        <v>1482</v>
      </c>
      <c r="F858" t="s">
        <v>1508</v>
      </c>
      <c r="G858" t="s">
        <v>1467</v>
      </c>
      <c r="H858" t="s">
        <v>1482</v>
      </c>
    </row>
    <row r="859" spans="1:8" x14ac:dyDescent="0.25">
      <c r="A859" t="s">
        <v>1519</v>
      </c>
      <c r="B859" t="s">
        <v>1511</v>
      </c>
      <c r="C859" t="s">
        <v>1501</v>
      </c>
      <c r="D859" t="s">
        <v>1482</v>
      </c>
      <c r="E859" t="s">
        <v>1483</v>
      </c>
      <c r="F859" t="s">
        <v>1510</v>
      </c>
      <c r="G859" t="s">
        <v>1470</v>
      </c>
      <c r="H859" t="s">
        <v>1483</v>
      </c>
    </row>
    <row r="860" spans="1:8" x14ac:dyDescent="0.25">
      <c r="A860" t="s">
        <v>1520</v>
      </c>
      <c r="B860" t="s">
        <v>1512</v>
      </c>
      <c r="C860" t="s">
        <v>1502</v>
      </c>
      <c r="D860" t="s">
        <v>1483</v>
      </c>
      <c r="E860" t="s">
        <v>1485</v>
      </c>
      <c r="F860" t="s">
        <v>1467</v>
      </c>
      <c r="G860" t="s">
        <v>1471</v>
      </c>
      <c r="H860" t="s">
        <v>1485</v>
      </c>
    </row>
    <row r="861" spans="1:8" x14ac:dyDescent="0.25">
      <c r="A861" t="s">
        <v>1521</v>
      </c>
      <c r="B861" t="s">
        <v>1514</v>
      </c>
      <c r="C861" t="s">
        <v>1504</v>
      </c>
      <c r="D861" t="s">
        <v>1485</v>
      </c>
      <c r="E861" t="s">
        <v>1486</v>
      </c>
      <c r="F861" t="s">
        <v>1470</v>
      </c>
      <c r="G861" t="s">
        <v>1472</v>
      </c>
      <c r="H861" t="s">
        <v>1486</v>
      </c>
    </row>
    <row r="862" spans="1:8" x14ac:dyDescent="0.25">
      <c r="A862" t="s">
        <v>1522</v>
      </c>
      <c r="B862" t="s">
        <v>1515</v>
      </c>
      <c r="C862" t="s">
        <v>1507</v>
      </c>
      <c r="D862" t="s">
        <v>1486</v>
      </c>
      <c r="E862" t="s">
        <v>1488</v>
      </c>
      <c r="F862" t="s">
        <v>1471</v>
      </c>
      <c r="G862" t="s">
        <v>1473</v>
      </c>
      <c r="H862" t="s">
        <v>1488</v>
      </c>
    </row>
    <row r="863" spans="1:8" x14ac:dyDescent="0.25">
      <c r="A863" t="s">
        <v>1523</v>
      </c>
      <c r="B863" t="s">
        <v>1516</v>
      </c>
      <c r="C863" t="s">
        <v>1509</v>
      </c>
      <c r="D863" t="s">
        <v>1488</v>
      </c>
      <c r="E863" t="s">
        <v>1490</v>
      </c>
      <c r="F863" t="s">
        <v>1472</v>
      </c>
      <c r="G863" t="s">
        <v>1475</v>
      </c>
      <c r="H863" t="s">
        <v>1490</v>
      </c>
    </row>
    <row r="864" spans="1:8" x14ac:dyDescent="0.25">
      <c r="A864" t="s">
        <v>1524</v>
      </c>
      <c r="B864" t="s">
        <v>1517</v>
      </c>
      <c r="C864" t="s">
        <v>1511</v>
      </c>
      <c r="D864" t="s">
        <v>1490</v>
      </c>
      <c r="E864" t="s">
        <v>1492</v>
      </c>
      <c r="F864" t="s">
        <v>1473</v>
      </c>
      <c r="G864" t="s">
        <v>1479</v>
      </c>
      <c r="H864" t="s">
        <v>1492</v>
      </c>
    </row>
    <row r="865" spans="1:8" x14ac:dyDescent="0.25">
      <c r="A865" t="s">
        <v>1525</v>
      </c>
      <c r="B865" t="s">
        <v>1518</v>
      </c>
      <c r="C865" t="s">
        <v>1526</v>
      </c>
      <c r="D865" t="s">
        <v>1492</v>
      </c>
      <c r="E865" t="s">
        <v>1494</v>
      </c>
      <c r="F865" t="s">
        <v>1475</v>
      </c>
      <c r="G865" t="s">
        <v>1482</v>
      </c>
      <c r="H865" t="s">
        <v>1494</v>
      </c>
    </row>
    <row r="866" spans="1:8" x14ac:dyDescent="0.25">
      <c r="A866" t="s">
        <v>1527</v>
      </c>
      <c r="B866" t="s">
        <v>1519</v>
      </c>
      <c r="C866" t="s">
        <v>1512</v>
      </c>
      <c r="D866" t="s">
        <v>1494</v>
      </c>
      <c r="E866" t="s">
        <v>1497</v>
      </c>
      <c r="F866" t="s">
        <v>1479</v>
      </c>
      <c r="G866" t="s">
        <v>1483</v>
      </c>
      <c r="H866" t="s">
        <v>1497</v>
      </c>
    </row>
    <row r="867" spans="1:8" x14ac:dyDescent="0.25">
      <c r="A867" t="s">
        <v>1528</v>
      </c>
      <c r="B867" t="s">
        <v>1520</v>
      </c>
      <c r="C867" t="s">
        <v>1514</v>
      </c>
      <c r="D867" t="s">
        <v>1497</v>
      </c>
      <c r="E867" t="s">
        <v>1498</v>
      </c>
      <c r="F867" t="s">
        <v>1482</v>
      </c>
      <c r="G867" t="s">
        <v>1485</v>
      </c>
      <c r="H867" t="s">
        <v>1498</v>
      </c>
    </row>
    <row r="868" spans="1:8" x14ac:dyDescent="0.25">
      <c r="A868" t="s">
        <v>1529</v>
      </c>
      <c r="B868" t="s">
        <v>1521</v>
      </c>
      <c r="C868" t="s">
        <v>1515</v>
      </c>
      <c r="D868" t="s">
        <v>1498</v>
      </c>
      <c r="E868" t="s">
        <v>1499</v>
      </c>
      <c r="F868" t="s">
        <v>1483</v>
      </c>
      <c r="G868" t="s">
        <v>1486</v>
      </c>
      <c r="H868" t="s">
        <v>1499</v>
      </c>
    </row>
    <row r="869" spans="1:8" x14ac:dyDescent="0.25">
      <c r="A869" t="s">
        <v>1530</v>
      </c>
      <c r="B869" t="s">
        <v>1522</v>
      </c>
      <c r="C869" t="s">
        <v>1531</v>
      </c>
      <c r="D869" t="s">
        <v>1499</v>
      </c>
      <c r="E869" t="s">
        <v>1500</v>
      </c>
      <c r="F869" t="s">
        <v>1485</v>
      </c>
      <c r="G869" t="s">
        <v>1488</v>
      </c>
      <c r="H869" t="s">
        <v>1500</v>
      </c>
    </row>
    <row r="870" spans="1:8" x14ac:dyDescent="0.25">
      <c r="A870" t="s">
        <v>1532</v>
      </c>
      <c r="B870" t="s">
        <v>1523</v>
      </c>
      <c r="C870" t="s">
        <v>1516</v>
      </c>
      <c r="D870" t="s">
        <v>1500</v>
      </c>
      <c r="E870" t="s">
        <v>1501</v>
      </c>
      <c r="F870" t="s">
        <v>1486</v>
      </c>
      <c r="G870" t="s">
        <v>1490</v>
      </c>
      <c r="H870" t="s">
        <v>1501</v>
      </c>
    </row>
    <row r="871" spans="1:8" x14ac:dyDescent="0.25">
      <c r="A871" t="s">
        <v>1533</v>
      </c>
      <c r="B871" t="s">
        <v>1524</v>
      </c>
      <c r="C871" t="s">
        <v>1517</v>
      </c>
      <c r="D871" t="s">
        <v>1501</v>
      </c>
      <c r="E871" t="s">
        <v>1502</v>
      </c>
      <c r="F871" t="s">
        <v>1488</v>
      </c>
      <c r="G871" t="s">
        <v>1492</v>
      </c>
      <c r="H871" t="s">
        <v>1502</v>
      </c>
    </row>
    <row r="872" spans="1:8" x14ac:dyDescent="0.25">
      <c r="A872" t="s">
        <v>1534</v>
      </c>
      <c r="B872" t="s">
        <v>1525</v>
      </c>
      <c r="C872" t="s">
        <v>1535</v>
      </c>
      <c r="D872" t="s">
        <v>1502</v>
      </c>
      <c r="E872" t="s">
        <v>1504</v>
      </c>
      <c r="F872" t="s">
        <v>1490</v>
      </c>
      <c r="G872" t="s">
        <v>1494</v>
      </c>
      <c r="H872" t="s">
        <v>1504</v>
      </c>
    </row>
    <row r="873" spans="1:8" x14ac:dyDescent="0.25">
      <c r="A873" t="s">
        <v>1536</v>
      </c>
      <c r="B873" t="s">
        <v>1527</v>
      </c>
      <c r="C873" t="s">
        <v>1518</v>
      </c>
      <c r="D873" t="s">
        <v>1504</v>
      </c>
      <c r="E873" t="s">
        <v>1507</v>
      </c>
      <c r="F873" t="s">
        <v>1492</v>
      </c>
      <c r="G873" t="s">
        <v>1497</v>
      </c>
      <c r="H873" t="s">
        <v>1507</v>
      </c>
    </row>
    <row r="874" spans="1:8" x14ac:dyDescent="0.25">
      <c r="A874" t="s">
        <v>1537</v>
      </c>
      <c r="B874" t="s">
        <v>1528</v>
      </c>
      <c r="C874" t="s">
        <v>1519</v>
      </c>
      <c r="D874" t="s">
        <v>1507</v>
      </c>
      <c r="E874" t="s">
        <v>1509</v>
      </c>
      <c r="F874" t="s">
        <v>1494</v>
      </c>
      <c r="G874" t="s">
        <v>1498</v>
      </c>
      <c r="H874" t="s">
        <v>1509</v>
      </c>
    </row>
    <row r="875" spans="1:8" x14ac:dyDescent="0.25">
      <c r="A875" t="s">
        <v>1538</v>
      </c>
      <c r="B875" t="s">
        <v>1529</v>
      </c>
      <c r="C875" t="s">
        <v>1520</v>
      </c>
      <c r="D875" t="s">
        <v>1509</v>
      </c>
      <c r="E875" t="s">
        <v>1511</v>
      </c>
      <c r="F875" t="s">
        <v>1497</v>
      </c>
      <c r="G875" t="s">
        <v>1499</v>
      </c>
      <c r="H875" t="s">
        <v>1511</v>
      </c>
    </row>
    <row r="876" spans="1:8" x14ac:dyDescent="0.25">
      <c r="A876" t="s">
        <v>1539</v>
      </c>
      <c r="B876" t="s">
        <v>1530</v>
      </c>
      <c r="C876" t="s">
        <v>1521</v>
      </c>
      <c r="D876" t="s">
        <v>1511</v>
      </c>
      <c r="E876" t="s">
        <v>1526</v>
      </c>
      <c r="F876" t="s">
        <v>1498</v>
      </c>
      <c r="G876" t="s">
        <v>1500</v>
      </c>
      <c r="H876" t="s">
        <v>1526</v>
      </c>
    </row>
    <row r="877" spans="1:8" x14ac:dyDescent="0.25">
      <c r="A877" t="s">
        <v>1540</v>
      </c>
      <c r="B877" t="s">
        <v>1532</v>
      </c>
      <c r="C877" t="s">
        <v>1522</v>
      </c>
      <c r="D877" t="s">
        <v>1526</v>
      </c>
      <c r="E877" t="s">
        <v>1512</v>
      </c>
      <c r="F877" t="s">
        <v>1499</v>
      </c>
      <c r="G877" t="s">
        <v>1501</v>
      </c>
      <c r="H877" t="s">
        <v>1512</v>
      </c>
    </row>
    <row r="878" spans="1:8" x14ac:dyDescent="0.25">
      <c r="A878" t="s">
        <v>1541</v>
      </c>
      <c r="B878" t="s">
        <v>1533</v>
      </c>
      <c r="C878" t="s">
        <v>1523</v>
      </c>
      <c r="D878" t="s">
        <v>1512</v>
      </c>
      <c r="E878" t="s">
        <v>1513</v>
      </c>
      <c r="F878" t="s">
        <v>1500</v>
      </c>
      <c r="G878" t="s">
        <v>1502</v>
      </c>
      <c r="H878" t="s">
        <v>1514</v>
      </c>
    </row>
    <row r="879" spans="1:8" x14ac:dyDescent="0.25">
      <c r="A879" t="s">
        <v>1542</v>
      </c>
      <c r="B879" t="s">
        <v>1534</v>
      </c>
      <c r="C879" t="s">
        <v>1524</v>
      </c>
      <c r="D879" t="s">
        <v>1513</v>
      </c>
      <c r="E879" t="s">
        <v>1543</v>
      </c>
      <c r="F879" t="s">
        <v>1501</v>
      </c>
      <c r="G879" t="s">
        <v>1504</v>
      </c>
      <c r="H879" t="s">
        <v>1515</v>
      </c>
    </row>
    <row r="880" spans="1:8" x14ac:dyDescent="0.25">
      <c r="A880" t="s">
        <v>1544</v>
      </c>
      <c r="B880" t="s">
        <v>1536</v>
      </c>
      <c r="C880" t="s">
        <v>1525</v>
      </c>
      <c r="D880" t="s">
        <v>1514</v>
      </c>
      <c r="E880" t="s">
        <v>1514</v>
      </c>
      <c r="F880" t="s">
        <v>1502</v>
      </c>
      <c r="G880" t="s">
        <v>1507</v>
      </c>
      <c r="H880" t="s">
        <v>1531</v>
      </c>
    </row>
    <row r="881" spans="1:8" x14ac:dyDescent="0.25">
      <c r="A881" t="s">
        <v>1545</v>
      </c>
      <c r="B881" t="s">
        <v>1537</v>
      </c>
      <c r="C881" t="s">
        <v>1527</v>
      </c>
      <c r="D881" t="s">
        <v>1515</v>
      </c>
      <c r="E881" t="s">
        <v>1515</v>
      </c>
      <c r="F881" t="s">
        <v>1504</v>
      </c>
      <c r="G881" t="s">
        <v>1509</v>
      </c>
      <c r="H881" t="s">
        <v>1546</v>
      </c>
    </row>
    <row r="882" spans="1:8" x14ac:dyDescent="0.25">
      <c r="A882" t="s">
        <v>1547</v>
      </c>
      <c r="B882" t="s">
        <v>1538</v>
      </c>
      <c r="C882" t="s">
        <v>1528</v>
      </c>
      <c r="D882" t="s">
        <v>1531</v>
      </c>
      <c r="E882" t="s">
        <v>1531</v>
      </c>
      <c r="F882" t="s">
        <v>1507</v>
      </c>
      <c r="G882" t="s">
        <v>1511</v>
      </c>
      <c r="H882" t="s">
        <v>1517</v>
      </c>
    </row>
    <row r="883" spans="1:8" x14ac:dyDescent="0.25">
      <c r="A883" t="s">
        <v>1548</v>
      </c>
      <c r="B883" t="s">
        <v>1539</v>
      </c>
      <c r="C883" t="s">
        <v>1529</v>
      </c>
      <c r="D883" t="s">
        <v>1516</v>
      </c>
      <c r="E883" t="s">
        <v>1516</v>
      </c>
      <c r="F883" t="s">
        <v>1509</v>
      </c>
      <c r="G883" t="s">
        <v>1526</v>
      </c>
      <c r="H883" t="s">
        <v>1535</v>
      </c>
    </row>
    <row r="884" spans="1:8" x14ac:dyDescent="0.25">
      <c r="A884" t="s">
        <v>1549</v>
      </c>
      <c r="B884" t="s">
        <v>1540</v>
      </c>
      <c r="C884" t="s">
        <v>1530</v>
      </c>
      <c r="D884" t="s">
        <v>1517</v>
      </c>
      <c r="E884" t="s">
        <v>1546</v>
      </c>
      <c r="F884" t="s">
        <v>1511</v>
      </c>
      <c r="G884" t="s">
        <v>1512</v>
      </c>
      <c r="H884" t="s">
        <v>1518</v>
      </c>
    </row>
    <row r="885" spans="1:8" x14ac:dyDescent="0.25">
      <c r="A885" t="s">
        <v>1550</v>
      </c>
      <c r="B885" t="s">
        <v>1541</v>
      </c>
      <c r="C885" t="s">
        <v>1532</v>
      </c>
      <c r="D885" t="s">
        <v>1535</v>
      </c>
      <c r="E885" t="s">
        <v>1517</v>
      </c>
      <c r="F885" t="s">
        <v>1526</v>
      </c>
      <c r="G885" t="s">
        <v>1514</v>
      </c>
      <c r="H885" t="s">
        <v>1519</v>
      </c>
    </row>
    <row r="886" spans="1:8" x14ac:dyDescent="0.25">
      <c r="A886" t="s">
        <v>1551</v>
      </c>
      <c r="B886" t="s">
        <v>1542</v>
      </c>
      <c r="C886" t="s">
        <v>1533</v>
      </c>
      <c r="D886" t="s">
        <v>1518</v>
      </c>
      <c r="E886" t="s">
        <v>1535</v>
      </c>
      <c r="F886" t="s">
        <v>1512</v>
      </c>
      <c r="G886" t="s">
        <v>1515</v>
      </c>
      <c r="H886" t="s">
        <v>1520</v>
      </c>
    </row>
    <row r="887" spans="1:8" x14ac:dyDescent="0.25">
      <c r="A887" t="s">
        <v>1552</v>
      </c>
      <c r="B887" t="s">
        <v>1544</v>
      </c>
      <c r="C887" t="s">
        <v>1534</v>
      </c>
      <c r="D887" t="s">
        <v>1519</v>
      </c>
      <c r="E887" t="s">
        <v>1518</v>
      </c>
      <c r="F887" t="s">
        <v>1514</v>
      </c>
      <c r="G887" t="s">
        <v>1531</v>
      </c>
      <c r="H887" t="s">
        <v>1521</v>
      </c>
    </row>
    <row r="888" spans="1:8" x14ac:dyDescent="0.25">
      <c r="A888" t="s">
        <v>1553</v>
      </c>
      <c r="B888" t="s">
        <v>1545</v>
      </c>
      <c r="C888" t="s">
        <v>1536</v>
      </c>
      <c r="D888" t="s">
        <v>1520</v>
      </c>
      <c r="E888" t="s">
        <v>1519</v>
      </c>
      <c r="F888" t="s">
        <v>1515</v>
      </c>
      <c r="G888" t="s">
        <v>1516</v>
      </c>
      <c r="H888" t="s">
        <v>1522</v>
      </c>
    </row>
    <row r="889" spans="1:8" x14ac:dyDescent="0.25">
      <c r="A889" t="s">
        <v>1554</v>
      </c>
      <c r="B889" t="s">
        <v>1547</v>
      </c>
      <c r="C889" t="s">
        <v>1537</v>
      </c>
      <c r="D889" t="s">
        <v>1521</v>
      </c>
      <c r="E889" t="s">
        <v>1520</v>
      </c>
      <c r="F889" t="s">
        <v>1531</v>
      </c>
      <c r="G889" t="s">
        <v>1517</v>
      </c>
      <c r="H889" t="s">
        <v>1523</v>
      </c>
    </row>
    <row r="890" spans="1:8" x14ac:dyDescent="0.25">
      <c r="A890" t="s">
        <v>1555</v>
      </c>
      <c r="B890" t="s">
        <v>1548</v>
      </c>
      <c r="C890" t="s">
        <v>1538</v>
      </c>
      <c r="D890" t="s">
        <v>1522</v>
      </c>
      <c r="E890" t="s">
        <v>1521</v>
      </c>
      <c r="F890" t="s">
        <v>1517</v>
      </c>
      <c r="G890" t="s">
        <v>1535</v>
      </c>
      <c r="H890" t="s">
        <v>1524</v>
      </c>
    </row>
    <row r="891" spans="1:8" x14ac:dyDescent="0.25">
      <c r="A891" t="s">
        <v>1556</v>
      </c>
      <c r="B891" t="s">
        <v>1549</v>
      </c>
      <c r="C891" t="s">
        <v>1539</v>
      </c>
      <c r="D891" t="s">
        <v>1523</v>
      </c>
      <c r="E891" t="s">
        <v>1522</v>
      </c>
      <c r="F891" t="s">
        <v>1535</v>
      </c>
      <c r="G891" t="s">
        <v>1518</v>
      </c>
      <c r="H891" t="s">
        <v>1525</v>
      </c>
    </row>
    <row r="892" spans="1:8" x14ac:dyDescent="0.25">
      <c r="A892" t="s">
        <v>1557</v>
      </c>
      <c r="B892" t="s">
        <v>1550</v>
      </c>
      <c r="C892" t="s">
        <v>1540</v>
      </c>
      <c r="D892" t="s">
        <v>1524</v>
      </c>
      <c r="E892" t="s">
        <v>1523</v>
      </c>
      <c r="F892" t="s">
        <v>1518</v>
      </c>
      <c r="G892" t="s">
        <v>1519</v>
      </c>
      <c r="H892" t="s">
        <v>1527</v>
      </c>
    </row>
    <row r="893" spans="1:8" x14ac:dyDescent="0.25">
      <c r="A893" t="s">
        <v>1558</v>
      </c>
      <c r="B893" t="s">
        <v>1551</v>
      </c>
      <c r="C893" t="s">
        <v>1541</v>
      </c>
      <c r="D893" t="s">
        <v>1525</v>
      </c>
      <c r="E893" t="s">
        <v>1524</v>
      </c>
      <c r="F893" t="s">
        <v>1519</v>
      </c>
      <c r="G893" t="s">
        <v>1520</v>
      </c>
      <c r="H893" t="s">
        <v>1528</v>
      </c>
    </row>
    <row r="894" spans="1:8" x14ac:dyDescent="0.25">
      <c r="A894" t="s">
        <v>1559</v>
      </c>
      <c r="B894" t="s">
        <v>1552</v>
      </c>
      <c r="C894" t="s">
        <v>1542</v>
      </c>
      <c r="D894" t="s">
        <v>1527</v>
      </c>
      <c r="E894" t="s">
        <v>1525</v>
      </c>
      <c r="F894" t="s">
        <v>1520</v>
      </c>
      <c r="G894" t="s">
        <v>1521</v>
      </c>
      <c r="H894" t="s">
        <v>1530</v>
      </c>
    </row>
    <row r="895" spans="1:8" x14ac:dyDescent="0.25">
      <c r="A895" t="s">
        <v>1560</v>
      </c>
      <c r="B895" t="s">
        <v>1553</v>
      </c>
      <c r="C895" t="s">
        <v>1544</v>
      </c>
      <c r="D895" t="s">
        <v>1528</v>
      </c>
      <c r="E895" t="s">
        <v>1527</v>
      </c>
      <c r="F895" t="s">
        <v>1521</v>
      </c>
      <c r="G895" t="s">
        <v>1522</v>
      </c>
      <c r="H895" t="s">
        <v>1532</v>
      </c>
    </row>
    <row r="896" spans="1:8" x14ac:dyDescent="0.25">
      <c r="A896" t="s">
        <v>1561</v>
      </c>
      <c r="B896" t="s">
        <v>1554</v>
      </c>
      <c r="C896" t="s">
        <v>1545</v>
      </c>
      <c r="D896" t="s">
        <v>1530</v>
      </c>
      <c r="E896" t="s">
        <v>1528</v>
      </c>
      <c r="F896" t="s">
        <v>1522</v>
      </c>
      <c r="G896" t="s">
        <v>1523</v>
      </c>
      <c r="H896" t="s">
        <v>1533</v>
      </c>
    </row>
    <row r="897" spans="1:8" x14ac:dyDescent="0.25">
      <c r="A897" t="s">
        <v>1562</v>
      </c>
      <c r="B897" t="s">
        <v>1555</v>
      </c>
      <c r="C897" t="s">
        <v>1547</v>
      </c>
      <c r="D897" t="s">
        <v>1532</v>
      </c>
      <c r="E897" t="s">
        <v>1530</v>
      </c>
      <c r="F897" t="s">
        <v>1523</v>
      </c>
      <c r="G897" t="s">
        <v>1524</v>
      </c>
      <c r="H897" t="s">
        <v>1534</v>
      </c>
    </row>
    <row r="898" spans="1:8" x14ac:dyDescent="0.25">
      <c r="A898" t="s">
        <v>1563</v>
      </c>
      <c r="B898" t="s">
        <v>1556</v>
      </c>
      <c r="C898" t="s">
        <v>1548</v>
      </c>
      <c r="D898" t="s">
        <v>1533</v>
      </c>
      <c r="E898" t="s">
        <v>1532</v>
      </c>
      <c r="F898" t="s">
        <v>1524</v>
      </c>
      <c r="G898" t="s">
        <v>1525</v>
      </c>
      <c r="H898" t="s">
        <v>1536</v>
      </c>
    </row>
    <row r="899" spans="1:8" x14ac:dyDescent="0.25">
      <c r="A899" t="s">
        <v>1564</v>
      </c>
      <c r="B899" t="s">
        <v>1557</v>
      </c>
      <c r="C899" t="s">
        <v>1549</v>
      </c>
      <c r="D899" t="s">
        <v>1534</v>
      </c>
      <c r="E899" t="s">
        <v>1533</v>
      </c>
      <c r="F899" t="s">
        <v>1525</v>
      </c>
      <c r="G899" t="s">
        <v>1527</v>
      </c>
      <c r="H899" t="s">
        <v>1537</v>
      </c>
    </row>
    <row r="900" spans="1:8" x14ac:dyDescent="0.25">
      <c r="A900" t="s">
        <v>1565</v>
      </c>
      <c r="B900" t="s">
        <v>1558</v>
      </c>
      <c r="C900" t="s">
        <v>1550</v>
      </c>
      <c r="D900" t="s">
        <v>1536</v>
      </c>
      <c r="E900" t="s">
        <v>1534</v>
      </c>
      <c r="F900" t="s">
        <v>1527</v>
      </c>
      <c r="G900" t="s">
        <v>1528</v>
      </c>
      <c r="H900" t="s">
        <v>1538</v>
      </c>
    </row>
    <row r="901" spans="1:8" x14ac:dyDescent="0.25">
      <c r="A901" t="s">
        <v>1566</v>
      </c>
      <c r="B901" t="s">
        <v>1559</v>
      </c>
      <c r="C901" t="s">
        <v>1551</v>
      </c>
      <c r="D901" t="s">
        <v>1537</v>
      </c>
      <c r="E901" t="s">
        <v>1536</v>
      </c>
      <c r="F901" t="s">
        <v>1528</v>
      </c>
      <c r="G901" t="s">
        <v>1529</v>
      </c>
      <c r="H901" t="s">
        <v>1539</v>
      </c>
    </row>
    <row r="902" spans="1:8" x14ac:dyDescent="0.25">
      <c r="A902" t="s">
        <v>1567</v>
      </c>
      <c r="B902" t="s">
        <v>1560</v>
      </c>
      <c r="C902" t="s">
        <v>1552</v>
      </c>
      <c r="D902" t="s">
        <v>1538</v>
      </c>
      <c r="E902" t="s">
        <v>1537</v>
      </c>
      <c r="F902" t="s">
        <v>1530</v>
      </c>
      <c r="G902" t="s">
        <v>1530</v>
      </c>
      <c r="H902" t="s">
        <v>1540</v>
      </c>
    </row>
    <row r="903" spans="1:8" x14ac:dyDescent="0.25">
      <c r="A903" t="s">
        <v>1568</v>
      </c>
      <c r="B903" t="s">
        <v>1569</v>
      </c>
      <c r="C903" t="s">
        <v>1553</v>
      </c>
      <c r="D903" t="s">
        <v>1539</v>
      </c>
      <c r="E903" t="s">
        <v>1538</v>
      </c>
      <c r="F903" t="s">
        <v>1532</v>
      </c>
      <c r="G903" t="s">
        <v>1532</v>
      </c>
      <c r="H903" t="s">
        <v>1541</v>
      </c>
    </row>
    <row r="904" spans="1:8" x14ac:dyDescent="0.25">
      <c r="A904" t="s">
        <v>1570</v>
      </c>
      <c r="B904" t="s">
        <v>1561</v>
      </c>
      <c r="C904" t="s">
        <v>1554</v>
      </c>
      <c r="D904" t="s">
        <v>1540</v>
      </c>
      <c r="E904" t="s">
        <v>1539</v>
      </c>
      <c r="F904" t="s">
        <v>1533</v>
      </c>
      <c r="G904" t="s">
        <v>1533</v>
      </c>
      <c r="H904" t="s">
        <v>1542</v>
      </c>
    </row>
    <row r="905" spans="1:8" x14ac:dyDescent="0.25">
      <c r="A905" t="s">
        <v>1571</v>
      </c>
      <c r="B905" t="s">
        <v>1562</v>
      </c>
      <c r="C905" t="s">
        <v>1555</v>
      </c>
      <c r="D905" t="s">
        <v>1541</v>
      </c>
      <c r="E905" t="s">
        <v>1540</v>
      </c>
      <c r="F905" t="s">
        <v>1534</v>
      </c>
      <c r="G905" t="s">
        <v>1534</v>
      </c>
      <c r="H905" t="s">
        <v>1544</v>
      </c>
    </row>
    <row r="906" spans="1:8" x14ac:dyDescent="0.25">
      <c r="A906" t="s">
        <v>1572</v>
      </c>
      <c r="B906" t="s">
        <v>1563</v>
      </c>
      <c r="C906" t="s">
        <v>1573</v>
      </c>
      <c r="D906" t="s">
        <v>1542</v>
      </c>
      <c r="E906" t="s">
        <v>1541</v>
      </c>
      <c r="F906" t="s">
        <v>1536</v>
      </c>
      <c r="G906" t="s">
        <v>1536</v>
      </c>
      <c r="H906" t="s">
        <v>1545</v>
      </c>
    </row>
    <row r="907" spans="1:8" x14ac:dyDescent="0.25">
      <c r="A907" t="s">
        <v>1574</v>
      </c>
      <c r="B907" t="s">
        <v>1564</v>
      </c>
      <c r="C907" t="s">
        <v>1575</v>
      </c>
      <c r="D907" t="s">
        <v>1544</v>
      </c>
      <c r="E907" t="s">
        <v>1542</v>
      </c>
      <c r="F907" t="s">
        <v>1537</v>
      </c>
      <c r="G907" t="s">
        <v>1537</v>
      </c>
      <c r="H907" t="s">
        <v>1547</v>
      </c>
    </row>
    <row r="908" spans="1:8" x14ac:dyDescent="0.25">
      <c r="A908" t="s">
        <v>1576</v>
      </c>
      <c r="B908" t="s">
        <v>1565</v>
      </c>
      <c r="C908" t="s">
        <v>1556</v>
      </c>
      <c r="D908" t="s">
        <v>1545</v>
      </c>
      <c r="E908" t="s">
        <v>1544</v>
      </c>
      <c r="F908" t="s">
        <v>1538</v>
      </c>
      <c r="G908" t="s">
        <v>1538</v>
      </c>
      <c r="H908" t="s">
        <v>1548</v>
      </c>
    </row>
    <row r="909" spans="1:8" x14ac:dyDescent="0.25">
      <c r="A909" t="s">
        <v>1577</v>
      </c>
      <c r="B909" t="s">
        <v>1566</v>
      </c>
      <c r="C909" t="s">
        <v>1557</v>
      </c>
      <c r="D909" t="s">
        <v>1547</v>
      </c>
      <c r="E909" t="s">
        <v>1545</v>
      </c>
      <c r="F909" t="s">
        <v>1539</v>
      </c>
      <c r="G909" t="s">
        <v>1539</v>
      </c>
      <c r="H909" t="s">
        <v>1549</v>
      </c>
    </row>
    <row r="910" spans="1:8" x14ac:dyDescent="0.25">
      <c r="A910" t="s">
        <v>1578</v>
      </c>
      <c r="B910" t="s">
        <v>1567</v>
      </c>
      <c r="C910" t="s">
        <v>1558</v>
      </c>
      <c r="D910" t="s">
        <v>1548</v>
      </c>
      <c r="E910" t="s">
        <v>1547</v>
      </c>
      <c r="F910" t="s">
        <v>1540</v>
      </c>
      <c r="G910" t="s">
        <v>1540</v>
      </c>
      <c r="H910" t="s">
        <v>1550</v>
      </c>
    </row>
    <row r="911" spans="1:8" x14ac:dyDescent="0.25">
      <c r="A911" t="s">
        <v>1579</v>
      </c>
      <c r="B911" t="s">
        <v>1568</v>
      </c>
      <c r="C911" t="s">
        <v>1559</v>
      </c>
      <c r="D911" t="s">
        <v>1549</v>
      </c>
      <c r="E911" t="s">
        <v>1548</v>
      </c>
      <c r="F911" t="s">
        <v>1541</v>
      </c>
      <c r="G911" t="s">
        <v>1541</v>
      </c>
      <c r="H911" t="s">
        <v>1551</v>
      </c>
    </row>
    <row r="912" spans="1:8" x14ac:dyDescent="0.25">
      <c r="A912" t="s">
        <v>1580</v>
      </c>
      <c r="B912" t="s">
        <v>1570</v>
      </c>
      <c r="C912" t="s">
        <v>1560</v>
      </c>
      <c r="D912" t="s">
        <v>1550</v>
      </c>
      <c r="E912" t="s">
        <v>1549</v>
      </c>
      <c r="F912" t="s">
        <v>1542</v>
      </c>
      <c r="G912" t="s">
        <v>1542</v>
      </c>
      <c r="H912" t="s">
        <v>1552</v>
      </c>
    </row>
    <row r="913" spans="1:8" x14ac:dyDescent="0.25">
      <c r="A913" t="s">
        <v>1581</v>
      </c>
      <c r="B913" t="s">
        <v>1571</v>
      </c>
      <c r="C913" t="s">
        <v>1561</v>
      </c>
      <c r="D913" t="s">
        <v>1551</v>
      </c>
      <c r="E913" t="s">
        <v>1550</v>
      </c>
      <c r="F913" t="s">
        <v>1544</v>
      </c>
      <c r="G913" t="s">
        <v>1544</v>
      </c>
      <c r="H913" t="s">
        <v>1553</v>
      </c>
    </row>
    <row r="914" spans="1:8" x14ac:dyDescent="0.25">
      <c r="A914" t="s">
        <v>1582</v>
      </c>
      <c r="B914" t="s">
        <v>1572</v>
      </c>
      <c r="C914" t="s">
        <v>1562</v>
      </c>
      <c r="D914" t="s">
        <v>1552</v>
      </c>
      <c r="E914" t="s">
        <v>1551</v>
      </c>
      <c r="F914" t="s">
        <v>1545</v>
      </c>
      <c r="G914" t="s">
        <v>1545</v>
      </c>
      <c r="H914" t="s">
        <v>1554</v>
      </c>
    </row>
    <row r="915" spans="1:8" x14ac:dyDescent="0.25">
      <c r="A915" t="s">
        <v>1583</v>
      </c>
      <c r="B915" t="s">
        <v>1574</v>
      </c>
      <c r="C915" t="s">
        <v>1563</v>
      </c>
      <c r="D915" t="s">
        <v>1553</v>
      </c>
      <c r="E915" t="s">
        <v>1552</v>
      </c>
      <c r="F915" t="s">
        <v>1547</v>
      </c>
      <c r="G915" t="s">
        <v>1547</v>
      </c>
      <c r="H915" t="s">
        <v>1584</v>
      </c>
    </row>
    <row r="916" spans="1:8" x14ac:dyDescent="0.25">
      <c r="A916" t="s">
        <v>1585</v>
      </c>
      <c r="B916" t="s">
        <v>1576</v>
      </c>
      <c r="C916" t="s">
        <v>1564</v>
      </c>
      <c r="D916" t="s">
        <v>1554</v>
      </c>
      <c r="E916" t="s">
        <v>1553</v>
      </c>
      <c r="F916" t="s">
        <v>1548</v>
      </c>
      <c r="G916" t="s">
        <v>1548</v>
      </c>
      <c r="H916" t="s">
        <v>1555</v>
      </c>
    </row>
    <row r="917" spans="1:8" x14ac:dyDescent="0.25">
      <c r="A917" t="s">
        <v>1586</v>
      </c>
      <c r="B917" t="s">
        <v>1577</v>
      </c>
      <c r="C917" t="s">
        <v>1565</v>
      </c>
      <c r="D917" t="s">
        <v>1555</v>
      </c>
      <c r="E917" t="s">
        <v>1554</v>
      </c>
      <c r="F917" t="s">
        <v>1549</v>
      </c>
      <c r="G917" t="s">
        <v>1549</v>
      </c>
      <c r="H917" t="s">
        <v>1573</v>
      </c>
    </row>
    <row r="918" spans="1:8" x14ac:dyDescent="0.25">
      <c r="A918" t="s">
        <v>1587</v>
      </c>
      <c r="B918" t="s">
        <v>1578</v>
      </c>
      <c r="C918" t="s">
        <v>1566</v>
      </c>
      <c r="D918" t="s">
        <v>1573</v>
      </c>
      <c r="E918" t="s">
        <v>1584</v>
      </c>
      <c r="F918" t="s">
        <v>1550</v>
      </c>
      <c r="G918" t="s">
        <v>1550</v>
      </c>
      <c r="H918" t="s">
        <v>1575</v>
      </c>
    </row>
    <row r="919" spans="1:8" x14ac:dyDescent="0.25">
      <c r="A919" t="s">
        <v>1588</v>
      </c>
      <c r="B919" t="s">
        <v>1579</v>
      </c>
      <c r="C919" t="s">
        <v>1567</v>
      </c>
      <c r="D919" t="s">
        <v>1575</v>
      </c>
      <c r="E919" t="s">
        <v>1555</v>
      </c>
      <c r="F919" t="s">
        <v>1551</v>
      </c>
      <c r="G919" t="s">
        <v>1551</v>
      </c>
      <c r="H919" t="s">
        <v>1556</v>
      </c>
    </row>
    <row r="920" spans="1:8" x14ac:dyDescent="0.25">
      <c r="A920" t="s">
        <v>1589</v>
      </c>
      <c r="B920" t="s">
        <v>1580</v>
      </c>
      <c r="C920" t="s">
        <v>1568</v>
      </c>
      <c r="D920" t="s">
        <v>1556</v>
      </c>
      <c r="E920" t="s">
        <v>1573</v>
      </c>
      <c r="F920" t="s">
        <v>1552</v>
      </c>
      <c r="G920" t="s">
        <v>1552</v>
      </c>
      <c r="H920" t="s">
        <v>1557</v>
      </c>
    </row>
    <row r="921" spans="1:8" x14ac:dyDescent="0.25">
      <c r="A921" t="s">
        <v>1590</v>
      </c>
      <c r="B921" t="s">
        <v>1581</v>
      </c>
      <c r="C921" t="s">
        <v>1570</v>
      </c>
      <c r="D921" t="s">
        <v>1557</v>
      </c>
      <c r="E921" t="s">
        <v>1575</v>
      </c>
      <c r="F921" t="s">
        <v>1553</v>
      </c>
      <c r="G921" t="s">
        <v>1553</v>
      </c>
      <c r="H921" t="s">
        <v>1558</v>
      </c>
    </row>
    <row r="922" spans="1:8" x14ac:dyDescent="0.25">
      <c r="A922" t="s">
        <v>1591</v>
      </c>
      <c r="B922" t="s">
        <v>1582</v>
      </c>
      <c r="C922" t="s">
        <v>1571</v>
      </c>
      <c r="D922" t="s">
        <v>1558</v>
      </c>
      <c r="E922" t="s">
        <v>1592</v>
      </c>
      <c r="F922" t="s">
        <v>1554</v>
      </c>
      <c r="G922" t="s">
        <v>1554</v>
      </c>
      <c r="H922" t="s">
        <v>1559</v>
      </c>
    </row>
    <row r="923" spans="1:8" x14ac:dyDescent="0.25">
      <c r="A923" t="s">
        <v>1593</v>
      </c>
      <c r="B923" t="s">
        <v>1583</v>
      </c>
      <c r="C923" t="s">
        <v>1572</v>
      </c>
      <c r="D923" t="s">
        <v>1559</v>
      </c>
      <c r="E923" t="s">
        <v>1556</v>
      </c>
      <c r="F923" t="s">
        <v>1584</v>
      </c>
      <c r="G923" t="s">
        <v>1584</v>
      </c>
      <c r="H923" t="s">
        <v>1560</v>
      </c>
    </row>
    <row r="924" spans="1:8" x14ac:dyDescent="0.25">
      <c r="A924" t="s">
        <v>1594</v>
      </c>
      <c r="B924" t="s">
        <v>1595</v>
      </c>
      <c r="C924" t="s">
        <v>1574</v>
      </c>
      <c r="D924" t="s">
        <v>1560</v>
      </c>
      <c r="E924" t="s">
        <v>1557</v>
      </c>
      <c r="F924" t="s">
        <v>1573</v>
      </c>
      <c r="G924" t="s">
        <v>1555</v>
      </c>
      <c r="H924" t="s">
        <v>1561</v>
      </c>
    </row>
    <row r="925" spans="1:8" x14ac:dyDescent="0.25">
      <c r="A925" t="s">
        <v>1596</v>
      </c>
      <c r="B925" t="s">
        <v>1585</v>
      </c>
      <c r="C925" t="s">
        <v>1576</v>
      </c>
      <c r="D925" t="s">
        <v>1561</v>
      </c>
      <c r="E925" t="s">
        <v>1558</v>
      </c>
      <c r="F925" t="s">
        <v>1575</v>
      </c>
      <c r="G925" t="s">
        <v>1573</v>
      </c>
      <c r="H925" t="s">
        <v>1562</v>
      </c>
    </row>
    <row r="926" spans="1:8" x14ac:dyDescent="0.25">
      <c r="A926" t="s">
        <v>1597</v>
      </c>
      <c r="B926" t="s">
        <v>1586</v>
      </c>
      <c r="C926" t="s">
        <v>1577</v>
      </c>
      <c r="D926" t="s">
        <v>1598</v>
      </c>
      <c r="E926" t="s">
        <v>1559</v>
      </c>
      <c r="F926" t="s">
        <v>1556</v>
      </c>
      <c r="G926" t="s">
        <v>1575</v>
      </c>
      <c r="H926" t="s">
        <v>1563</v>
      </c>
    </row>
    <row r="927" spans="1:8" x14ac:dyDescent="0.25">
      <c r="A927" t="s">
        <v>1599</v>
      </c>
      <c r="B927" t="s">
        <v>1587</v>
      </c>
      <c r="C927" t="s">
        <v>1578</v>
      </c>
      <c r="D927" t="s">
        <v>1562</v>
      </c>
      <c r="E927" t="s">
        <v>1560</v>
      </c>
      <c r="F927" t="s">
        <v>1557</v>
      </c>
      <c r="G927" t="s">
        <v>1556</v>
      </c>
      <c r="H927" t="s">
        <v>1564</v>
      </c>
    </row>
    <row r="928" spans="1:8" x14ac:dyDescent="0.25">
      <c r="A928" t="s">
        <v>1600</v>
      </c>
      <c r="B928" t="s">
        <v>1588</v>
      </c>
      <c r="C928" t="s">
        <v>1579</v>
      </c>
      <c r="D928" t="s">
        <v>1563</v>
      </c>
      <c r="E928" t="s">
        <v>1561</v>
      </c>
      <c r="F928" t="s">
        <v>1558</v>
      </c>
      <c r="G928" t="s">
        <v>1557</v>
      </c>
      <c r="H928" t="s">
        <v>1565</v>
      </c>
    </row>
    <row r="929" spans="1:8" x14ac:dyDescent="0.25">
      <c r="A929" t="s">
        <v>1601</v>
      </c>
      <c r="B929" t="s">
        <v>1589</v>
      </c>
      <c r="C929" t="s">
        <v>1580</v>
      </c>
      <c r="D929" t="s">
        <v>1564</v>
      </c>
      <c r="E929" t="s">
        <v>1598</v>
      </c>
      <c r="F929" t="s">
        <v>1559</v>
      </c>
      <c r="G929" t="s">
        <v>1559</v>
      </c>
      <c r="H929" t="s">
        <v>1566</v>
      </c>
    </row>
    <row r="930" spans="1:8" x14ac:dyDescent="0.25">
      <c r="A930" t="s">
        <v>1602</v>
      </c>
      <c r="B930" t="s">
        <v>1590</v>
      </c>
      <c r="C930" t="s">
        <v>1581</v>
      </c>
      <c r="D930" t="s">
        <v>1565</v>
      </c>
      <c r="E930" t="s">
        <v>1562</v>
      </c>
      <c r="F930" t="s">
        <v>1560</v>
      </c>
      <c r="G930" t="s">
        <v>1560</v>
      </c>
      <c r="H930" t="s">
        <v>1567</v>
      </c>
    </row>
    <row r="931" spans="1:8" x14ac:dyDescent="0.25">
      <c r="A931" t="s">
        <v>1603</v>
      </c>
      <c r="B931" t="s">
        <v>1604</v>
      </c>
      <c r="C931" t="s">
        <v>1582</v>
      </c>
      <c r="D931" t="s">
        <v>1605</v>
      </c>
      <c r="E931" t="s">
        <v>1563</v>
      </c>
      <c r="F931" t="s">
        <v>1561</v>
      </c>
      <c r="G931" t="s">
        <v>1561</v>
      </c>
      <c r="H931" t="s">
        <v>1568</v>
      </c>
    </row>
    <row r="932" spans="1:8" x14ac:dyDescent="0.25">
      <c r="A932" t="s">
        <v>1606</v>
      </c>
      <c r="B932" t="s">
        <v>1591</v>
      </c>
      <c r="C932" t="s">
        <v>1583</v>
      </c>
      <c r="D932" t="s">
        <v>1566</v>
      </c>
      <c r="E932" t="s">
        <v>1564</v>
      </c>
      <c r="F932" t="s">
        <v>1562</v>
      </c>
      <c r="G932" t="s">
        <v>1562</v>
      </c>
      <c r="H932" t="s">
        <v>1570</v>
      </c>
    </row>
    <row r="933" spans="1:8" x14ac:dyDescent="0.25">
      <c r="A933" t="s">
        <v>1607</v>
      </c>
      <c r="B933" t="s">
        <v>1593</v>
      </c>
      <c r="C933" t="s">
        <v>1585</v>
      </c>
      <c r="D933" t="s">
        <v>1567</v>
      </c>
      <c r="E933" t="s">
        <v>1565</v>
      </c>
      <c r="F933" t="s">
        <v>1563</v>
      </c>
      <c r="G933" t="s">
        <v>1564</v>
      </c>
      <c r="H933" t="s">
        <v>1571</v>
      </c>
    </row>
    <row r="934" spans="1:8" x14ac:dyDescent="0.25">
      <c r="A934" t="s">
        <v>1608</v>
      </c>
      <c r="B934" t="s">
        <v>1594</v>
      </c>
      <c r="C934" t="s">
        <v>1586</v>
      </c>
      <c r="D934" t="s">
        <v>1568</v>
      </c>
      <c r="E934" t="s">
        <v>1566</v>
      </c>
      <c r="F934" t="s">
        <v>1564</v>
      </c>
      <c r="G934" t="s">
        <v>1565</v>
      </c>
      <c r="H934" t="s">
        <v>1572</v>
      </c>
    </row>
    <row r="935" spans="1:8" x14ac:dyDescent="0.25">
      <c r="A935" t="s">
        <v>1609</v>
      </c>
      <c r="B935" t="s">
        <v>1596</v>
      </c>
      <c r="C935" t="s">
        <v>1587</v>
      </c>
      <c r="D935" t="s">
        <v>1570</v>
      </c>
      <c r="E935" t="s">
        <v>1567</v>
      </c>
      <c r="F935" t="s">
        <v>1565</v>
      </c>
      <c r="G935" t="s">
        <v>1610</v>
      </c>
      <c r="H935" t="s">
        <v>1574</v>
      </c>
    </row>
    <row r="936" spans="1:8" x14ac:dyDescent="0.25">
      <c r="A936" t="s">
        <v>1611</v>
      </c>
      <c r="B936" t="s">
        <v>1597</v>
      </c>
      <c r="C936" t="s">
        <v>1588</v>
      </c>
      <c r="D936" t="s">
        <v>1571</v>
      </c>
      <c r="E936" t="s">
        <v>1568</v>
      </c>
      <c r="F936" t="s">
        <v>1566</v>
      </c>
      <c r="G936" t="s">
        <v>1605</v>
      </c>
      <c r="H936" t="s">
        <v>1576</v>
      </c>
    </row>
    <row r="937" spans="1:8" x14ac:dyDescent="0.25">
      <c r="A937" t="s">
        <v>1612</v>
      </c>
      <c r="B937" t="s">
        <v>1599</v>
      </c>
      <c r="C937" t="s">
        <v>1590</v>
      </c>
      <c r="D937" t="s">
        <v>1572</v>
      </c>
      <c r="E937" t="s">
        <v>1570</v>
      </c>
      <c r="F937" t="s">
        <v>1567</v>
      </c>
      <c r="G937" t="s">
        <v>1566</v>
      </c>
      <c r="H937" t="s">
        <v>1577</v>
      </c>
    </row>
    <row r="938" spans="1:8" x14ac:dyDescent="0.25">
      <c r="A938" t="s">
        <v>1613</v>
      </c>
      <c r="B938" t="s">
        <v>1600</v>
      </c>
      <c r="C938" t="s">
        <v>1604</v>
      </c>
      <c r="D938" t="s">
        <v>1574</v>
      </c>
      <c r="E938" t="s">
        <v>1571</v>
      </c>
      <c r="F938" t="s">
        <v>1568</v>
      </c>
      <c r="G938" t="s">
        <v>1567</v>
      </c>
      <c r="H938" t="s">
        <v>1578</v>
      </c>
    </row>
    <row r="939" spans="1:8" x14ac:dyDescent="0.25">
      <c r="A939" t="s">
        <v>1614</v>
      </c>
      <c r="B939" t="s">
        <v>1615</v>
      </c>
      <c r="C939" t="s">
        <v>1591</v>
      </c>
      <c r="D939" t="s">
        <v>1576</v>
      </c>
      <c r="E939" t="s">
        <v>1572</v>
      </c>
      <c r="F939" t="s">
        <v>1570</v>
      </c>
      <c r="G939" t="s">
        <v>1568</v>
      </c>
      <c r="H939" t="s">
        <v>1579</v>
      </c>
    </row>
    <row r="940" spans="1:8" x14ac:dyDescent="0.25">
      <c r="A940" t="s">
        <v>1616</v>
      </c>
      <c r="B940" t="s">
        <v>1601</v>
      </c>
      <c r="C940" t="s">
        <v>1593</v>
      </c>
      <c r="D940" t="s">
        <v>1577</v>
      </c>
      <c r="E940" t="s">
        <v>1574</v>
      </c>
      <c r="F940" t="s">
        <v>1571</v>
      </c>
      <c r="G940" t="s">
        <v>1570</v>
      </c>
      <c r="H940" t="s">
        <v>1580</v>
      </c>
    </row>
    <row r="941" spans="1:8" x14ac:dyDescent="0.25">
      <c r="A941" t="s">
        <v>1617</v>
      </c>
      <c r="B941" t="s">
        <v>1602</v>
      </c>
      <c r="C941" t="s">
        <v>1594</v>
      </c>
      <c r="D941" t="s">
        <v>1578</v>
      </c>
      <c r="E941" t="s">
        <v>1576</v>
      </c>
      <c r="F941" t="s">
        <v>1572</v>
      </c>
      <c r="G941" t="s">
        <v>1571</v>
      </c>
      <c r="H941" t="s">
        <v>1581</v>
      </c>
    </row>
    <row r="942" spans="1:8" x14ac:dyDescent="0.25">
      <c r="A942" t="s">
        <v>1618</v>
      </c>
      <c r="B942" t="s">
        <v>1603</v>
      </c>
      <c r="C942" t="s">
        <v>1596</v>
      </c>
      <c r="D942" t="s">
        <v>1579</v>
      </c>
      <c r="E942" t="s">
        <v>1577</v>
      </c>
      <c r="F942" t="s">
        <v>1574</v>
      </c>
      <c r="G942" t="s">
        <v>1572</v>
      </c>
      <c r="H942" t="s">
        <v>1582</v>
      </c>
    </row>
    <row r="943" spans="1:8" x14ac:dyDescent="0.25">
      <c r="A943" t="s">
        <v>1619</v>
      </c>
      <c r="B943" t="s">
        <v>1606</v>
      </c>
      <c r="C943" t="s">
        <v>1597</v>
      </c>
      <c r="D943" t="s">
        <v>1580</v>
      </c>
      <c r="E943" t="s">
        <v>1578</v>
      </c>
      <c r="F943" t="s">
        <v>1576</v>
      </c>
      <c r="G943" t="s">
        <v>1574</v>
      </c>
      <c r="H943" t="s">
        <v>1620</v>
      </c>
    </row>
    <row r="944" spans="1:8" x14ac:dyDescent="0.25">
      <c r="A944" t="s">
        <v>1621</v>
      </c>
      <c r="B944" t="s">
        <v>1607</v>
      </c>
      <c r="C944" t="s">
        <v>1599</v>
      </c>
      <c r="D944" t="s">
        <v>1581</v>
      </c>
      <c r="E944" t="s">
        <v>1579</v>
      </c>
      <c r="F944" t="s">
        <v>1577</v>
      </c>
      <c r="G944" t="s">
        <v>1576</v>
      </c>
      <c r="H944" t="s">
        <v>1586</v>
      </c>
    </row>
    <row r="945" spans="1:8" x14ac:dyDescent="0.25">
      <c r="A945" t="s">
        <v>1622</v>
      </c>
      <c r="B945" t="s">
        <v>1623</v>
      </c>
      <c r="C945" t="s">
        <v>1600</v>
      </c>
      <c r="D945" t="s">
        <v>1582</v>
      </c>
      <c r="E945" t="s">
        <v>1580</v>
      </c>
      <c r="F945" t="s">
        <v>1578</v>
      </c>
      <c r="G945" t="s">
        <v>1577</v>
      </c>
      <c r="H945" t="s">
        <v>1587</v>
      </c>
    </row>
    <row r="946" spans="1:8" x14ac:dyDescent="0.25">
      <c r="A946" t="s">
        <v>1624</v>
      </c>
      <c r="B946" t="s">
        <v>1608</v>
      </c>
      <c r="C946" t="s">
        <v>1601</v>
      </c>
      <c r="D946" t="s">
        <v>1583</v>
      </c>
      <c r="E946" t="s">
        <v>1581</v>
      </c>
      <c r="F946" t="s">
        <v>1579</v>
      </c>
      <c r="G946" t="s">
        <v>1578</v>
      </c>
      <c r="H946" t="s">
        <v>1588</v>
      </c>
    </row>
    <row r="947" spans="1:8" x14ac:dyDescent="0.25">
      <c r="A947" t="s">
        <v>1625</v>
      </c>
      <c r="B947" t="s">
        <v>1609</v>
      </c>
      <c r="C947" t="s">
        <v>1602</v>
      </c>
      <c r="D947" t="s">
        <v>1585</v>
      </c>
      <c r="E947" t="s">
        <v>1582</v>
      </c>
      <c r="F947" t="s">
        <v>1580</v>
      </c>
      <c r="G947" t="s">
        <v>1579</v>
      </c>
      <c r="H947" t="s">
        <v>1590</v>
      </c>
    </row>
    <row r="948" spans="1:8" x14ac:dyDescent="0.25">
      <c r="A948" t="s">
        <v>1626</v>
      </c>
      <c r="B948" t="s">
        <v>1611</v>
      </c>
      <c r="C948" t="s">
        <v>1603</v>
      </c>
      <c r="D948" t="s">
        <v>1586</v>
      </c>
      <c r="E948" t="s">
        <v>1583</v>
      </c>
      <c r="F948" t="s">
        <v>1581</v>
      </c>
      <c r="G948" t="s">
        <v>1580</v>
      </c>
      <c r="H948" t="s">
        <v>1604</v>
      </c>
    </row>
    <row r="949" spans="1:8" x14ac:dyDescent="0.25">
      <c r="A949" t="s">
        <v>1627</v>
      </c>
      <c r="B949" t="s">
        <v>1612</v>
      </c>
      <c r="C949" t="s">
        <v>1606</v>
      </c>
      <c r="D949" t="s">
        <v>1587</v>
      </c>
      <c r="E949" t="s">
        <v>1585</v>
      </c>
      <c r="F949" t="s">
        <v>1582</v>
      </c>
      <c r="G949" t="s">
        <v>1581</v>
      </c>
      <c r="H949" t="s">
        <v>1591</v>
      </c>
    </row>
    <row r="950" spans="1:8" x14ac:dyDescent="0.25">
      <c r="A950" t="s">
        <v>1628</v>
      </c>
      <c r="B950" t="s">
        <v>1613</v>
      </c>
      <c r="C950" t="s">
        <v>1607</v>
      </c>
      <c r="D950" t="s">
        <v>1588</v>
      </c>
      <c r="E950" t="s">
        <v>1586</v>
      </c>
      <c r="F950" t="s">
        <v>1583</v>
      </c>
      <c r="G950" t="s">
        <v>1582</v>
      </c>
      <c r="H950" t="s">
        <v>1629</v>
      </c>
    </row>
    <row r="951" spans="1:8" x14ac:dyDescent="0.25">
      <c r="A951" t="s">
        <v>1630</v>
      </c>
      <c r="B951" t="s">
        <v>1614</v>
      </c>
      <c r="C951" t="s">
        <v>1608</v>
      </c>
      <c r="D951" t="s">
        <v>1590</v>
      </c>
      <c r="E951" t="s">
        <v>1587</v>
      </c>
      <c r="F951" t="s">
        <v>1586</v>
      </c>
      <c r="G951" t="s">
        <v>1586</v>
      </c>
      <c r="H951" t="s">
        <v>1594</v>
      </c>
    </row>
    <row r="952" spans="1:8" x14ac:dyDescent="0.25">
      <c r="A952" t="s">
        <v>1631</v>
      </c>
      <c r="B952" t="s">
        <v>1616</v>
      </c>
      <c r="C952" t="s">
        <v>1609</v>
      </c>
      <c r="D952" t="s">
        <v>1604</v>
      </c>
      <c r="E952" t="s">
        <v>1588</v>
      </c>
      <c r="F952" t="s">
        <v>1587</v>
      </c>
      <c r="G952" t="s">
        <v>1587</v>
      </c>
      <c r="H952" t="s">
        <v>1596</v>
      </c>
    </row>
    <row r="953" spans="1:8" x14ac:dyDescent="0.25">
      <c r="A953" t="s">
        <v>1632</v>
      </c>
      <c r="B953" t="s">
        <v>1617</v>
      </c>
      <c r="C953" t="s">
        <v>1611</v>
      </c>
      <c r="D953" t="s">
        <v>1591</v>
      </c>
      <c r="E953" t="s">
        <v>1590</v>
      </c>
      <c r="F953" t="s">
        <v>1588</v>
      </c>
      <c r="G953" t="s">
        <v>1588</v>
      </c>
      <c r="H953" t="s">
        <v>1597</v>
      </c>
    </row>
    <row r="954" spans="1:8" x14ac:dyDescent="0.25">
      <c r="A954" t="s">
        <v>1633</v>
      </c>
      <c r="B954" t="s">
        <v>1618</v>
      </c>
      <c r="C954" t="s">
        <v>1612</v>
      </c>
      <c r="D954" t="s">
        <v>1629</v>
      </c>
      <c r="E954" t="s">
        <v>1604</v>
      </c>
      <c r="F954" t="s">
        <v>1590</v>
      </c>
      <c r="G954" t="s">
        <v>1604</v>
      </c>
      <c r="H954" t="s">
        <v>1634</v>
      </c>
    </row>
    <row r="955" spans="1:8" x14ac:dyDescent="0.25">
      <c r="A955" t="s">
        <v>1635</v>
      </c>
      <c r="B955" t="s">
        <v>1619</v>
      </c>
      <c r="C955" t="s">
        <v>1613</v>
      </c>
      <c r="D955" t="s">
        <v>1593</v>
      </c>
      <c r="E955" t="s">
        <v>1591</v>
      </c>
      <c r="F955" t="s">
        <v>1604</v>
      </c>
      <c r="G955" t="s">
        <v>1591</v>
      </c>
      <c r="H955" t="s">
        <v>1636</v>
      </c>
    </row>
    <row r="956" spans="1:8" x14ac:dyDescent="0.25">
      <c r="A956" t="s">
        <v>1637</v>
      </c>
      <c r="B956" t="s">
        <v>1621</v>
      </c>
      <c r="C956" t="s">
        <v>1614</v>
      </c>
      <c r="D956" t="s">
        <v>1594</v>
      </c>
      <c r="E956" t="s">
        <v>1629</v>
      </c>
      <c r="F956" t="s">
        <v>1591</v>
      </c>
      <c r="G956" t="s">
        <v>1629</v>
      </c>
      <c r="H956" t="s">
        <v>1638</v>
      </c>
    </row>
    <row r="957" spans="1:8" x14ac:dyDescent="0.25">
      <c r="A957" t="s">
        <v>1639</v>
      </c>
      <c r="B957" t="s">
        <v>1622</v>
      </c>
      <c r="C957" t="s">
        <v>1616</v>
      </c>
      <c r="D957" t="s">
        <v>1596</v>
      </c>
      <c r="E957" t="s">
        <v>1593</v>
      </c>
      <c r="F957" t="s">
        <v>1629</v>
      </c>
      <c r="G957" t="s">
        <v>1593</v>
      </c>
      <c r="H957" t="s">
        <v>1640</v>
      </c>
    </row>
    <row r="958" spans="1:8" x14ac:dyDescent="0.25">
      <c r="A958" t="s">
        <v>1641</v>
      </c>
      <c r="B958" t="s">
        <v>1624</v>
      </c>
      <c r="C958" t="s">
        <v>1617</v>
      </c>
      <c r="D958" t="s">
        <v>1597</v>
      </c>
      <c r="E958" t="s">
        <v>1594</v>
      </c>
      <c r="F958" t="s">
        <v>1593</v>
      </c>
      <c r="G958" t="s">
        <v>1594</v>
      </c>
      <c r="H958" t="s">
        <v>1642</v>
      </c>
    </row>
    <row r="959" spans="1:8" x14ac:dyDescent="0.25">
      <c r="A959" t="s">
        <v>1643</v>
      </c>
      <c r="B959" t="s">
        <v>1625</v>
      </c>
      <c r="C959" t="s">
        <v>1618</v>
      </c>
      <c r="D959" t="s">
        <v>1638</v>
      </c>
      <c r="E959" t="s">
        <v>1596</v>
      </c>
      <c r="F959" t="s">
        <v>1594</v>
      </c>
      <c r="G959" t="s">
        <v>1596</v>
      </c>
      <c r="H959" t="s">
        <v>1644</v>
      </c>
    </row>
    <row r="960" spans="1:8" x14ac:dyDescent="0.25">
      <c r="A960" t="s">
        <v>1645</v>
      </c>
      <c r="B960" t="s">
        <v>1626</v>
      </c>
      <c r="C960" t="s">
        <v>1619</v>
      </c>
      <c r="D960" t="s">
        <v>1642</v>
      </c>
      <c r="E960" t="s">
        <v>1597</v>
      </c>
      <c r="F960" t="s">
        <v>1596</v>
      </c>
      <c r="G960" t="s">
        <v>1597</v>
      </c>
      <c r="H960" t="s">
        <v>1646</v>
      </c>
    </row>
    <row r="961" spans="1:8" x14ac:dyDescent="0.25">
      <c r="A961" t="s">
        <v>1647</v>
      </c>
      <c r="B961" t="s">
        <v>1627</v>
      </c>
      <c r="C961" t="s">
        <v>1621</v>
      </c>
      <c r="D961" t="s">
        <v>1644</v>
      </c>
      <c r="E961" t="s">
        <v>1634</v>
      </c>
      <c r="F961" t="s">
        <v>1597</v>
      </c>
      <c r="G961" t="s">
        <v>1648</v>
      </c>
      <c r="H961" t="s">
        <v>1649</v>
      </c>
    </row>
    <row r="962" spans="1:8" x14ac:dyDescent="0.25">
      <c r="A962" t="s">
        <v>1650</v>
      </c>
      <c r="B962" t="s">
        <v>1628</v>
      </c>
      <c r="C962" t="s">
        <v>1622</v>
      </c>
      <c r="D962" t="s">
        <v>1599</v>
      </c>
      <c r="E962" t="s">
        <v>1638</v>
      </c>
      <c r="F962" t="s">
        <v>1648</v>
      </c>
      <c r="G962" t="s">
        <v>1634</v>
      </c>
      <c r="H962" t="s">
        <v>1599</v>
      </c>
    </row>
    <row r="963" spans="1:8" x14ac:dyDescent="0.25">
      <c r="A963" t="s">
        <v>1651</v>
      </c>
      <c r="B963" t="s">
        <v>1630</v>
      </c>
      <c r="C963" t="s">
        <v>1624</v>
      </c>
      <c r="D963" t="s">
        <v>1652</v>
      </c>
      <c r="E963" t="s">
        <v>1644</v>
      </c>
      <c r="F963" t="s">
        <v>1634</v>
      </c>
      <c r="G963" t="s">
        <v>1636</v>
      </c>
      <c r="H963" t="s">
        <v>1653</v>
      </c>
    </row>
    <row r="964" spans="1:8" x14ac:dyDescent="0.25">
      <c r="A964" t="s">
        <v>1654</v>
      </c>
      <c r="B964" t="s">
        <v>1631</v>
      </c>
      <c r="C964" t="s">
        <v>1625</v>
      </c>
      <c r="D964" t="s">
        <v>1600</v>
      </c>
      <c r="E964" t="s">
        <v>1599</v>
      </c>
      <c r="F964" t="s">
        <v>1636</v>
      </c>
      <c r="G964" t="s">
        <v>1638</v>
      </c>
      <c r="H964" t="s">
        <v>1652</v>
      </c>
    </row>
    <row r="965" spans="1:8" x14ac:dyDescent="0.25">
      <c r="A965" t="s">
        <v>1655</v>
      </c>
      <c r="B965" t="s">
        <v>1656</v>
      </c>
      <c r="C965" t="s">
        <v>1626</v>
      </c>
      <c r="D965" t="s">
        <v>1615</v>
      </c>
      <c r="E965" t="s">
        <v>1657</v>
      </c>
      <c r="F965" t="s">
        <v>1638</v>
      </c>
      <c r="G965" t="s">
        <v>1640</v>
      </c>
      <c r="H965" t="s">
        <v>1658</v>
      </c>
    </row>
    <row r="966" spans="1:8" x14ac:dyDescent="0.25">
      <c r="A966" t="s">
        <v>1659</v>
      </c>
      <c r="B966" t="s">
        <v>1632</v>
      </c>
      <c r="C966" t="s">
        <v>1627</v>
      </c>
      <c r="D966" t="s">
        <v>1601</v>
      </c>
      <c r="E966" t="s">
        <v>1600</v>
      </c>
      <c r="F966" t="s">
        <v>1660</v>
      </c>
      <c r="G966" t="s">
        <v>1644</v>
      </c>
      <c r="H966" t="s">
        <v>1657</v>
      </c>
    </row>
    <row r="967" spans="1:8" x14ac:dyDescent="0.25">
      <c r="A967" t="s">
        <v>1661</v>
      </c>
      <c r="B967" t="s">
        <v>1633</v>
      </c>
      <c r="C967" t="s">
        <v>1628</v>
      </c>
      <c r="D967" t="s">
        <v>1602</v>
      </c>
      <c r="E967" t="s">
        <v>1615</v>
      </c>
      <c r="F967" t="s">
        <v>1640</v>
      </c>
      <c r="G967" t="s">
        <v>1646</v>
      </c>
      <c r="H967" t="s">
        <v>1615</v>
      </c>
    </row>
    <row r="968" spans="1:8" x14ac:dyDescent="0.25">
      <c r="A968" t="s">
        <v>1662</v>
      </c>
      <c r="B968" t="s">
        <v>1635</v>
      </c>
      <c r="C968" t="s">
        <v>1630</v>
      </c>
      <c r="D968" t="s">
        <v>1603</v>
      </c>
      <c r="E968" t="s">
        <v>1601</v>
      </c>
      <c r="F968" t="s">
        <v>1644</v>
      </c>
      <c r="G968" t="s">
        <v>1649</v>
      </c>
      <c r="H968" t="s">
        <v>1601</v>
      </c>
    </row>
    <row r="969" spans="1:8" x14ac:dyDescent="0.25">
      <c r="A969" t="s">
        <v>1663</v>
      </c>
      <c r="B969" t="s">
        <v>1664</v>
      </c>
      <c r="C969" t="s">
        <v>1631</v>
      </c>
      <c r="D969" t="s">
        <v>1606</v>
      </c>
      <c r="E969" t="s">
        <v>1665</v>
      </c>
      <c r="F969" t="s">
        <v>1666</v>
      </c>
      <c r="G969" t="s">
        <v>1599</v>
      </c>
      <c r="H969" t="s">
        <v>1665</v>
      </c>
    </row>
    <row r="970" spans="1:8" x14ac:dyDescent="0.25">
      <c r="A970" t="s">
        <v>1667</v>
      </c>
      <c r="B970" t="s">
        <v>1637</v>
      </c>
      <c r="C970" t="s">
        <v>1632</v>
      </c>
      <c r="D970" t="s">
        <v>1607</v>
      </c>
      <c r="E970" t="s">
        <v>1602</v>
      </c>
      <c r="F970" t="s">
        <v>1646</v>
      </c>
      <c r="G970" t="s">
        <v>1653</v>
      </c>
      <c r="H970" t="s">
        <v>1602</v>
      </c>
    </row>
    <row r="971" spans="1:8" x14ac:dyDescent="0.25">
      <c r="A971" t="s">
        <v>1668</v>
      </c>
      <c r="B971" t="s">
        <v>1639</v>
      </c>
      <c r="C971" t="s">
        <v>1633</v>
      </c>
      <c r="D971" t="s">
        <v>1608</v>
      </c>
      <c r="E971" t="s">
        <v>1603</v>
      </c>
      <c r="F971" t="s">
        <v>1649</v>
      </c>
      <c r="G971" t="s">
        <v>1652</v>
      </c>
      <c r="H971" t="s">
        <v>1603</v>
      </c>
    </row>
    <row r="972" spans="1:8" x14ac:dyDescent="0.25">
      <c r="A972" t="s">
        <v>1669</v>
      </c>
      <c r="B972" t="s">
        <v>1641</v>
      </c>
      <c r="C972" t="s">
        <v>1635</v>
      </c>
      <c r="D972" t="s">
        <v>1609</v>
      </c>
      <c r="E972" t="s">
        <v>1606</v>
      </c>
      <c r="F972" t="s">
        <v>1599</v>
      </c>
      <c r="G972" t="s">
        <v>1658</v>
      </c>
      <c r="H972" t="s">
        <v>1606</v>
      </c>
    </row>
    <row r="973" spans="1:8" x14ac:dyDescent="0.25">
      <c r="A973" t="s">
        <v>1670</v>
      </c>
      <c r="B973" t="s">
        <v>1643</v>
      </c>
      <c r="C973" t="s">
        <v>1637</v>
      </c>
      <c r="D973" t="s">
        <v>1611</v>
      </c>
      <c r="E973" t="s">
        <v>1607</v>
      </c>
      <c r="F973" t="s">
        <v>1653</v>
      </c>
      <c r="G973" t="s">
        <v>1657</v>
      </c>
      <c r="H973" t="s">
        <v>1607</v>
      </c>
    </row>
    <row r="974" spans="1:8" x14ac:dyDescent="0.25">
      <c r="A974" t="s">
        <v>1671</v>
      </c>
      <c r="B974" t="s">
        <v>1645</v>
      </c>
      <c r="C974" t="s">
        <v>1639</v>
      </c>
      <c r="D974" t="s">
        <v>1612</v>
      </c>
      <c r="E974" t="s">
        <v>1608</v>
      </c>
      <c r="F974" t="s">
        <v>1652</v>
      </c>
      <c r="G974" t="s">
        <v>1600</v>
      </c>
      <c r="H974" t="s">
        <v>1608</v>
      </c>
    </row>
    <row r="975" spans="1:8" x14ac:dyDescent="0.25">
      <c r="A975" t="s">
        <v>1672</v>
      </c>
      <c r="B975" t="s">
        <v>1647</v>
      </c>
      <c r="C975" t="s">
        <v>1641</v>
      </c>
      <c r="D975" t="s">
        <v>1614</v>
      </c>
      <c r="E975" t="s">
        <v>1609</v>
      </c>
      <c r="F975" t="s">
        <v>1658</v>
      </c>
      <c r="G975" t="s">
        <v>1615</v>
      </c>
      <c r="H975" t="s">
        <v>1609</v>
      </c>
    </row>
    <row r="976" spans="1:8" x14ac:dyDescent="0.25">
      <c r="A976" t="s">
        <v>1673</v>
      </c>
      <c r="B976" t="s">
        <v>1650</v>
      </c>
      <c r="C976" t="s">
        <v>1643</v>
      </c>
      <c r="D976" t="s">
        <v>1616</v>
      </c>
      <c r="E976" t="s">
        <v>1611</v>
      </c>
      <c r="F976" t="s">
        <v>1657</v>
      </c>
      <c r="G976" t="s">
        <v>1601</v>
      </c>
      <c r="H976" t="s">
        <v>1611</v>
      </c>
    </row>
    <row r="977" spans="1:8" x14ac:dyDescent="0.25">
      <c r="A977" t="s">
        <v>1674</v>
      </c>
      <c r="B977" t="s">
        <v>1651</v>
      </c>
      <c r="C977" t="s">
        <v>1645</v>
      </c>
      <c r="D977" t="s">
        <v>1617</v>
      </c>
      <c r="E977" t="s">
        <v>1612</v>
      </c>
      <c r="F977" t="s">
        <v>1600</v>
      </c>
      <c r="G977" t="s">
        <v>1665</v>
      </c>
      <c r="H977" t="s">
        <v>1612</v>
      </c>
    </row>
    <row r="978" spans="1:8" x14ac:dyDescent="0.25">
      <c r="A978" t="s">
        <v>1675</v>
      </c>
      <c r="B978" t="s">
        <v>1654</v>
      </c>
      <c r="C978" t="s">
        <v>1647</v>
      </c>
      <c r="D978" t="s">
        <v>1618</v>
      </c>
      <c r="E978" t="s">
        <v>1614</v>
      </c>
      <c r="F978" t="s">
        <v>1615</v>
      </c>
      <c r="G978" t="s">
        <v>1602</v>
      </c>
      <c r="H978" t="s">
        <v>1613</v>
      </c>
    </row>
    <row r="979" spans="1:8" x14ac:dyDescent="0.25">
      <c r="A979" t="s">
        <v>1676</v>
      </c>
      <c r="B979" t="s">
        <v>1655</v>
      </c>
      <c r="C979" t="s">
        <v>1650</v>
      </c>
      <c r="D979" t="s">
        <v>1619</v>
      </c>
      <c r="E979" t="s">
        <v>1616</v>
      </c>
      <c r="F979" t="s">
        <v>1601</v>
      </c>
      <c r="G979" t="s">
        <v>1603</v>
      </c>
      <c r="H979" t="s">
        <v>1614</v>
      </c>
    </row>
    <row r="980" spans="1:8" x14ac:dyDescent="0.25">
      <c r="A980" t="s">
        <v>1677</v>
      </c>
      <c r="B980" t="s">
        <v>1659</v>
      </c>
      <c r="C980" t="s">
        <v>1651</v>
      </c>
      <c r="D980" t="s">
        <v>1621</v>
      </c>
      <c r="E980" t="s">
        <v>1617</v>
      </c>
      <c r="F980" t="s">
        <v>1665</v>
      </c>
      <c r="G980" t="s">
        <v>1606</v>
      </c>
      <c r="H980" t="s">
        <v>1616</v>
      </c>
    </row>
    <row r="981" spans="1:8" x14ac:dyDescent="0.25">
      <c r="A981" t="s">
        <v>1678</v>
      </c>
      <c r="B981" t="s">
        <v>1661</v>
      </c>
      <c r="C981" t="s">
        <v>1654</v>
      </c>
      <c r="D981" t="s">
        <v>1622</v>
      </c>
      <c r="E981" t="s">
        <v>1618</v>
      </c>
      <c r="F981" t="s">
        <v>1602</v>
      </c>
      <c r="G981" t="s">
        <v>1607</v>
      </c>
      <c r="H981" t="s">
        <v>1617</v>
      </c>
    </row>
    <row r="982" spans="1:8" x14ac:dyDescent="0.25">
      <c r="A982" t="s">
        <v>1679</v>
      </c>
      <c r="B982" t="s">
        <v>1662</v>
      </c>
      <c r="C982" t="s">
        <v>1655</v>
      </c>
      <c r="D982" t="s">
        <v>1624</v>
      </c>
      <c r="E982" t="s">
        <v>1619</v>
      </c>
      <c r="F982" t="s">
        <v>1603</v>
      </c>
      <c r="G982" t="s">
        <v>1608</v>
      </c>
      <c r="H982" t="s">
        <v>1618</v>
      </c>
    </row>
    <row r="983" spans="1:8" x14ac:dyDescent="0.25">
      <c r="A983" t="s">
        <v>1680</v>
      </c>
      <c r="B983" t="s">
        <v>1681</v>
      </c>
      <c r="C983" t="s">
        <v>1659</v>
      </c>
      <c r="D983" t="s">
        <v>1625</v>
      </c>
      <c r="E983" t="s">
        <v>1621</v>
      </c>
      <c r="F983" t="s">
        <v>1606</v>
      </c>
      <c r="G983" t="s">
        <v>1609</v>
      </c>
      <c r="H983" t="s">
        <v>1619</v>
      </c>
    </row>
    <row r="984" spans="1:8" x14ac:dyDescent="0.25">
      <c r="A984" t="s">
        <v>1682</v>
      </c>
      <c r="B984" t="s">
        <v>1663</v>
      </c>
      <c r="C984" t="s">
        <v>1661</v>
      </c>
      <c r="D984" t="s">
        <v>1626</v>
      </c>
      <c r="E984" t="s">
        <v>1622</v>
      </c>
      <c r="F984" t="s">
        <v>1607</v>
      </c>
      <c r="G984" t="s">
        <v>1611</v>
      </c>
      <c r="H984" t="s">
        <v>1621</v>
      </c>
    </row>
    <row r="985" spans="1:8" x14ac:dyDescent="0.25">
      <c r="A985" t="s">
        <v>1683</v>
      </c>
      <c r="B985" t="s">
        <v>1684</v>
      </c>
      <c r="C985" t="s">
        <v>1662</v>
      </c>
      <c r="D985" t="s">
        <v>1627</v>
      </c>
      <c r="E985" t="s">
        <v>1624</v>
      </c>
      <c r="F985" t="s">
        <v>1608</v>
      </c>
      <c r="G985" t="s">
        <v>1612</v>
      </c>
      <c r="H985" t="s">
        <v>1622</v>
      </c>
    </row>
    <row r="986" spans="1:8" x14ac:dyDescent="0.25">
      <c r="A986" t="s">
        <v>1685</v>
      </c>
      <c r="B986" t="s">
        <v>1667</v>
      </c>
      <c r="C986" t="s">
        <v>1681</v>
      </c>
      <c r="D986" t="s">
        <v>1628</v>
      </c>
      <c r="E986" t="s">
        <v>1625</v>
      </c>
      <c r="F986" t="s">
        <v>1609</v>
      </c>
      <c r="G986" t="s">
        <v>1613</v>
      </c>
      <c r="H986" t="s">
        <v>1624</v>
      </c>
    </row>
    <row r="987" spans="1:8" x14ac:dyDescent="0.25">
      <c r="A987" t="s">
        <v>1686</v>
      </c>
      <c r="B987" t="s">
        <v>1668</v>
      </c>
      <c r="C987" t="s">
        <v>1663</v>
      </c>
      <c r="D987" t="s">
        <v>1630</v>
      </c>
      <c r="E987" t="s">
        <v>1626</v>
      </c>
      <c r="F987" t="s">
        <v>1611</v>
      </c>
      <c r="G987" t="s">
        <v>1614</v>
      </c>
      <c r="H987" t="s">
        <v>1625</v>
      </c>
    </row>
    <row r="988" spans="1:8" x14ac:dyDescent="0.25">
      <c r="A988" t="s">
        <v>1687</v>
      </c>
      <c r="B988" t="s">
        <v>1669</v>
      </c>
      <c r="C988" t="s">
        <v>1667</v>
      </c>
      <c r="D988" t="s">
        <v>1631</v>
      </c>
      <c r="E988" t="s">
        <v>1627</v>
      </c>
      <c r="F988" t="s">
        <v>1612</v>
      </c>
      <c r="G988" t="s">
        <v>1616</v>
      </c>
      <c r="H988" t="s">
        <v>1626</v>
      </c>
    </row>
    <row r="989" spans="1:8" x14ac:dyDescent="0.25">
      <c r="A989" t="s">
        <v>1688</v>
      </c>
      <c r="B989" t="s">
        <v>1670</v>
      </c>
      <c r="C989" t="s">
        <v>1668</v>
      </c>
      <c r="D989" t="s">
        <v>1656</v>
      </c>
      <c r="E989" t="s">
        <v>1628</v>
      </c>
      <c r="F989" t="s">
        <v>1613</v>
      </c>
      <c r="G989" t="s">
        <v>1617</v>
      </c>
      <c r="H989" t="s">
        <v>1627</v>
      </c>
    </row>
    <row r="990" spans="1:8" x14ac:dyDescent="0.25">
      <c r="A990" t="s">
        <v>1689</v>
      </c>
      <c r="B990" t="s">
        <v>1671</v>
      </c>
      <c r="C990" t="s">
        <v>1669</v>
      </c>
      <c r="D990" t="s">
        <v>1632</v>
      </c>
      <c r="E990" t="s">
        <v>1630</v>
      </c>
      <c r="F990" t="s">
        <v>1614</v>
      </c>
      <c r="G990" t="s">
        <v>1618</v>
      </c>
      <c r="H990" t="s">
        <v>1628</v>
      </c>
    </row>
    <row r="991" spans="1:8" x14ac:dyDescent="0.25">
      <c r="A991" t="s">
        <v>1690</v>
      </c>
      <c r="B991" t="s">
        <v>1673</v>
      </c>
      <c r="C991" t="s">
        <v>1670</v>
      </c>
      <c r="D991" t="s">
        <v>1633</v>
      </c>
      <c r="E991" t="s">
        <v>1631</v>
      </c>
      <c r="F991" t="s">
        <v>1616</v>
      </c>
      <c r="G991" t="s">
        <v>1619</v>
      </c>
      <c r="H991" t="s">
        <v>1630</v>
      </c>
    </row>
    <row r="992" spans="1:8" x14ac:dyDescent="0.25">
      <c r="A992" t="s">
        <v>1691</v>
      </c>
      <c r="B992" t="s">
        <v>1674</v>
      </c>
      <c r="C992" t="s">
        <v>1671</v>
      </c>
      <c r="D992" t="s">
        <v>1635</v>
      </c>
      <c r="E992" t="s">
        <v>1656</v>
      </c>
      <c r="F992" t="s">
        <v>1617</v>
      </c>
      <c r="G992" t="s">
        <v>1621</v>
      </c>
      <c r="H992" t="s">
        <v>1631</v>
      </c>
    </row>
    <row r="993" spans="1:8" x14ac:dyDescent="0.25">
      <c r="A993" t="s">
        <v>1692</v>
      </c>
      <c r="B993" t="s">
        <v>1675</v>
      </c>
      <c r="C993" t="s">
        <v>1673</v>
      </c>
      <c r="D993" t="s">
        <v>1664</v>
      </c>
      <c r="E993" t="s">
        <v>1632</v>
      </c>
      <c r="F993" t="s">
        <v>1618</v>
      </c>
      <c r="G993" t="s">
        <v>1622</v>
      </c>
      <c r="H993" t="s">
        <v>1656</v>
      </c>
    </row>
    <row r="994" spans="1:8" x14ac:dyDescent="0.25">
      <c r="A994" t="s">
        <v>1693</v>
      </c>
      <c r="B994" t="s">
        <v>1676</v>
      </c>
      <c r="C994" t="s">
        <v>1674</v>
      </c>
      <c r="D994" t="s">
        <v>1637</v>
      </c>
      <c r="E994" t="s">
        <v>1633</v>
      </c>
      <c r="F994" t="s">
        <v>1619</v>
      </c>
      <c r="G994" t="s">
        <v>1624</v>
      </c>
      <c r="H994" t="s">
        <v>1632</v>
      </c>
    </row>
    <row r="995" spans="1:8" x14ac:dyDescent="0.25">
      <c r="A995" t="s">
        <v>1694</v>
      </c>
      <c r="B995" t="s">
        <v>1677</v>
      </c>
      <c r="C995" t="s">
        <v>1675</v>
      </c>
      <c r="D995" t="s">
        <v>1639</v>
      </c>
      <c r="E995" t="s">
        <v>1635</v>
      </c>
      <c r="F995" t="s">
        <v>1621</v>
      </c>
      <c r="G995" t="s">
        <v>1625</v>
      </c>
      <c r="H995" t="s">
        <v>1695</v>
      </c>
    </row>
    <row r="996" spans="1:8" x14ac:dyDescent="0.25">
      <c r="A996" t="s">
        <v>1696</v>
      </c>
      <c r="B996" t="s">
        <v>1678</v>
      </c>
      <c r="C996" t="s">
        <v>1676</v>
      </c>
      <c r="D996" t="s">
        <v>1641</v>
      </c>
      <c r="E996" t="s">
        <v>1664</v>
      </c>
      <c r="F996" t="s">
        <v>1622</v>
      </c>
      <c r="G996" t="s">
        <v>1627</v>
      </c>
      <c r="H996" t="s">
        <v>1633</v>
      </c>
    </row>
    <row r="997" spans="1:8" x14ac:dyDescent="0.25">
      <c r="A997" t="s">
        <v>1697</v>
      </c>
      <c r="B997" t="s">
        <v>1698</v>
      </c>
      <c r="C997" t="s">
        <v>1677</v>
      </c>
      <c r="D997" t="s">
        <v>1643</v>
      </c>
      <c r="E997" t="s">
        <v>1637</v>
      </c>
      <c r="F997" t="s">
        <v>1624</v>
      </c>
      <c r="G997" t="s">
        <v>1630</v>
      </c>
      <c r="H997" t="s">
        <v>1635</v>
      </c>
    </row>
    <row r="998" spans="1:8" x14ac:dyDescent="0.25">
      <c r="A998" t="s">
        <v>1699</v>
      </c>
      <c r="B998" t="s">
        <v>1679</v>
      </c>
      <c r="C998" t="s">
        <v>1678</v>
      </c>
      <c r="D998" t="s">
        <v>1645</v>
      </c>
      <c r="E998" t="s">
        <v>1641</v>
      </c>
      <c r="F998" t="s">
        <v>1625</v>
      </c>
      <c r="G998" t="s">
        <v>1631</v>
      </c>
      <c r="H998" t="s">
        <v>1664</v>
      </c>
    </row>
    <row r="999" spans="1:8" x14ac:dyDescent="0.25">
      <c r="A999" t="s">
        <v>1700</v>
      </c>
      <c r="B999" t="s">
        <v>1680</v>
      </c>
      <c r="C999" t="s">
        <v>1679</v>
      </c>
      <c r="D999" t="s">
        <v>1647</v>
      </c>
      <c r="E999" t="s">
        <v>1643</v>
      </c>
      <c r="F999" t="s">
        <v>1626</v>
      </c>
      <c r="G999" t="s">
        <v>1656</v>
      </c>
      <c r="H999" t="s">
        <v>1637</v>
      </c>
    </row>
    <row r="1000" spans="1:8" x14ac:dyDescent="0.25">
      <c r="A1000" t="s">
        <v>1701</v>
      </c>
      <c r="B1000" t="s">
        <v>1682</v>
      </c>
      <c r="C1000" t="s">
        <v>1680</v>
      </c>
      <c r="D1000" t="s">
        <v>1650</v>
      </c>
      <c r="E1000" t="s">
        <v>1645</v>
      </c>
      <c r="F1000" t="s">
        <v>1627</v>
      </c>
      <c r="G1000" t="s">
        <v>1632</v>
      </c>
      <c r="H1000" t="s">
        <v>1639</v>
      </c>
    </row>
    <row r="1001" spans="1:8" x14ac:dyDescent="0.25">
      <c r="A1001" t="s">
        <v>1702</v>
      </c>
      <c r="B1001" t="s">
        <v>1683</v>
      </c>
      <c r="C1001" t="s">
        <v>1682</v>
      </c>
      <c r="D1001" t="s">
        <v>1651</v>
      </c>
      <c r="E1001" t="s">
        <v>1647</v>
      </c>
      <c r="F1001" t="s">
        <v>1628</v>
      </c>
      <c r="G1001" t="s">
        <v>1695</v>
      </c>
      <c r="H1001" t="s">
        <v>1641</v>
      </c>
    </row>
    <row r="1002" spans="1:8" x14ac:dyDescent="0.25">
      <c r="A1002" t="s">
        <v>1703</v>
      </c>
      <c r="B1002" t="s">
        <v>1685</v>
      </c>
      <c r="C1002" t="s">
        <v>1683</v>
      </c>
      <c r="D1002" t="s">
        <v>1654</v>
      </c>
      <c r="E1002" t="s">
        <v>1650</v>
      </c>
      <c r="F1002" t="s">
        <v>1630</v>
      </c>
      <c r="G1002" t="s">
        <v>1633</v>
      </c>
      <c r="H1002" t="s">
        <v>1643</v>
      </c>
    </row>
    <row r="1003" spans="1:8" x14ac:dyDescent="0.25">
      <c r="A1003" t="s">
        <v>1704</v>
      </c>
      <c r="B1003" t="s">
        <v>1686</v>
      </c>
      <c r="C1003" t="s">
        <v>1685</v>
      </c>
      <c r="D1003" t="s">
        <v>1655</v>
      </c>
      <c r="E1003" t="s">
        <v>1651</v>
      </c>
      <c r="F1003" t="s">
        <v>1631</v>
      </c>
      <c r="G1003" t="s">
        <v>1635</v>
      </c>
      <c r="H1003" t="s">
        <v>1645</v>
      </c>
    </row>
    <row r="1004" spans="1:8" x14ac:dyDescent="0.25">
      <c r="A1004" t="s">
        <v>1705</v>
      </c>
      <c r="B1004" t="s">
        <v>1687</v>
      </c>
      <c r="C1004" t="s">
        <v>1686</v>
      </c>
      <c r="D1004" t="s">
        <v>1659</v>
      </c>
      <c r="E1004" t="s">
        <v>1654</v>
      </c>
      <c r="F1004" t="s">
        <v>1656</v>
      </c>
      <c r="G1004" t="s">
        <v>1664</v>
      </c>
      <c r="H1004" t="s">
        <v>1647</v>
      </c>
    </row>
    <row r="1005" spans="1:8" x14ac:dyDescent="0.25">
      <c r="A1005" t="s">
        <v>1706</v>
      </c>
      <c r="B1005" t="s">
        <v>1688</v>
      </c>
      <c r="C1005" t="s">
        <v>1687</v>
      </c>
      <c r="D1005" t="s">
        <v>1661</v>
      </c>
      <c r="E1005" t="s">
        <v>1655</v>
      </c>
      <c r="F1005" t="s">
        <v>1632</v>
      </c>
      <c r="G1005" t="s">
        <v>1637</v>
      </c>
      <c r="H1005" t="s">
        <v>1650</v>
      </c>
    </row>
    <row r="1006" spans="1:8" x14ac:dyDescent="0.25">
      <c r="A1006" t="s">
        <v>1707</v>
      </c>
      <c r="B1006" t="s">
        <v>1689</v>
      </c>
      <c r="C1006" t="s">
        <v>1688</v>
      </c>
      <c r="D1006" t="s">
        <v>1663</v>
      </c>
      <c r="E1006" t="s">
        <v>1659</v>
      </c>
      <c r="F1006" t="s">
        <v>1695</v>
      </c>
      <c r="G1006" t="s">
        <v>1639</v>
      </c>
      <c r="H1006" t="s">
        <v>1651</v>
      </c>
    </row>
    <row r="1007" spans="1:8" x14ac:dyDescent="0.25">
      <c r="A1007" t="s">
        <v>1708</v>
      </c>
      <c r="B1007" t="s">
        <v>1691</v>
      </c>
      <c r="C1007" t="s">
        <v>1689</v>
      </c>
      <c r="D1007" t="s">
        <v>1667</v>
      </c>
      <c r="E1007" t="s">
        <v>1661</v>
      </c>
      <c r="F1007" t="s">
        <v>1633</v>
      </c>
      <c r="G1007" t="s">
        <v>1641</v>
      </c>
      <c r="H1007" t="s">
        <v>1654</v>
      </c>
    </row>
    <row r="1008" spans="1:8" x14ac:dyDescent="0.25">
      <c r="A1008" t="s">
        <v>1709</v>
      </c>
      <c r="B1008" t="s">
        <v>1693</v>
      </c>
      <c r="C1008" t="s">
        <v>1691</v>
      </c>
      <c r="D1008" t="s">
        <v>1668</v>
      </c>
      <c r="E1008" t="s">
        <v>1663</v>
      </c>
      <c r="F1008" t="s">
        <v>1635</v>
      </c>
      <c r="G1008" t="s">
        <v>1643</v>
      </c>
      <c r="H1008" t="s">
        <v>1655</v>
      </c>
    </row>
    <row r="1009" spans="1:8" x14ac:dyDescent="0.25">
      <c r="A1009" t="s">
        <v>1710</v>
      </c>
      <c r="B1009" t="s">
        <v>1694</v>
      </c>
      <c r="C1009" t="s">
        <v>1693</v>
      </c>
      <c r="D1009" t="s">
        <v>1669</v>
      </c>
      <c r="E1009" t="s">
        <v>1667</v>
      </c>
      <c r="F1009" t="s">
        <v>1664</v>
      </c>
      <c r="G1009" t="s">
        <v>1645</v>
      </c>
      <c r="H1009" t="s">
        <v>1659</v>
      </c>
    </row>
    <row r="1010" spans="1:8" x14ac:dyDescent="0.25">
      <c r="A1010" t="s">
        <v>1711</v>
      </c>
      <c r="B1010" t="s">
        <v>1696</v>
      </c>
      <c r="C1010" t="s">
        <v>1694</v>
      </c>
      <c r="D1010" t="s">
        <v>1670</v>
      </c>
      <c r="E1010" t="s">
        <v>1668</v>
      </c>
      <c r="F1010" t="s">
        <v>1637</v>
      </c>
      <c r="G1010" t="s">
        <v>1647</v>
      </c>
      <c r="H1010" t="s">
        <v>1661</v>
      </c>
    </row>
    <row r="1011" spans="1:8" x14ac:dyDescent="0.25">
      <c r="A1011" t="s">
        <v>1712</v>
      </c>
      <c r="B1011" t="s">
        <v>1697</v>
      </c>
      <c r="C1011" t="s">
        <v>1696</v>
      </c>
      <c r="D1011" t="s">
        <v>1671</v>
      </c>
      <c r="E1011" t="s">
        <v>1669</v>
      </c>
      <c r="F1011" t="s">
        <v>1639</v>
      </c>
      <c r="G1011" t="s">
        <v>1650</v>
      </c>
      <c r="H1011" t="s">
        <v>1663</v>
      </c>
    </row>
    <row r="1012" spans="1:8" x14ac:dyDescent="0.25">
      <c r="A1012" t="s">
        <v>1713</v>
      </c>
      <c r="B1012" t="s">
        <v>1701</v>
      </c>
      <c r="C1012" t="s">
        <v>1697</v>
      </c>
      <c r="D1012" t="s">
        <v>1673</v>
      </c>
      <c r="E1012" t="s">
        <v>1670</v>
      </c>
      <c r="F1012" t="s">
        <v>1641</v>
      </c>
      <c r="G1012" t="s">
        <v>1651</v>
      </c>
      <c r="H1012" t="s">
        <v>1667</v>
      </c>
    </row>
    <row r="1013" spans="1:8" x14ac:dyDescent="0.25">
      <c r="A1013" t="s">
        <v>1714</v>
      </c>
      <c r="B1013" t="s">
        <v>1702</v>
      </c>
      <c r="C1013" t="s">
        <v>1701</v>
      </c>
      <c r="D1013" t="s">
        <v>1675</v>
      </c>
      <c r="E1013" t="s">
        <v>1671</v>
      </c>
      <c r="F1013" t="s">
        <v>1643</v>
      </c>
      <c r="G1013" t="s">
        <v>1654</v>
      </c>
      <c r="H1013" t="s">
        <v>1668</v>
      </c>
    </row>
    <row r="1014" spans="1:8" x14ac:dyDescent="0.25">
      <c r="A1014" t="s">
        <v>1715</v>
      </c>
      <c r="B1014" t="s">
        <v>1703</v>
      </c>
      <c r="C1014" t="s">
        <v>1702</v>
      </c>
      <c r="D1014" t="s">
        <v>1676</v>
      </c>
      <c r="E1014" t="s">
        <v>1672</v>
      </c>
      <c r="F1014" t="s">
        <v>1645</v>
      </c>
      <c r="G1014" t="s">
        <v>1655</v>
      </c>
      <c r="H1014" t="s">
        <v>1669</v>
      </c>
    </row>
    <row r="1015" spans="1:8" x14ac:dyDescent="0.25">
      <c r="A1015" t="s">
        <v>1716</v>
      </c>
      <c r="B1015" t="s">
        <v>1704</v>
      </c>
      <c r="C1015" t="s">
        <v>1704</v>
      </c>
      <c r="D1015" t="s">
        <v>1678</v>
      </c>
      <c r="E1015" t="s">
        <v>1673</v>
      </c>
      <c r="F1015" t="s">
        <v>1647</v>
      </c>
      <c r="G1015" t="s">
        <v>1659</v>
      </c>
      <c r="H1015" t="s">
        <v>1670</v>
      </c>
    </row>
    <row r="1016" spans="1:8" x14ac:dyDescent="0.25">
      <c r="A1016" t="s">
        <v>1717</v>
      </c>
      <c r="B1016" t="s">
        <v>1705</v>
      </c>
      <c r="C1016" t="s">
        <v>1705</v>
      </c>
      <c r="D1016" t="s">
        <v>1679</v>
      </c>
      <c r="E1016" t="s">
        <v>1675</v>
      </c>
      <c r="F1016" t="s">
        <v>1650</v>
      </c>
      <c r="G1016" t="s">
        <v>1661</v>
      </c>
      <c r="H1016" t="s">
        <v>1671</v>
      </c>
    </row>
    <row r="1017" spans="1:8" x14ac:dyDescent="0.25">
      <c r="A1017" t="s">
        <v>1718</v>
      </c>
      <c r="B1017" t="s">
        <v>1706</v>
      </c>
      <c r="C1017" t="s">
        <v>1706</v>
      </c>
      <c r="D1017" t="s">
        <v>1680</v>
      </c>
      <c r="E1017" t="s">
        <v>1676</v>
      </c>
      <c r="F1017" t="s">
        <v>1651</v>
      </c>
      <c r="G1017" t="s">
        <v>1663</v>
      </c>
      <c r="H1017" t="s">
        <v>1673</v>
      </c>
    </row>
    <row r="1018" spans="1:8" x14ac:dyDescent="0.25">
      <c r="A1018" t="s">
        <v>1719</v>
      </c>
      <c r="B1018" t="s">
        <v>1707</v>
      </c>
      <c r="C1018" t="s">
        <v>1707</v>
      </c>
      <c r="D1018" t="s">
        <v>1682</v>
      </c>
      <c r="E1018" t="s">
        <v>1720</v>
      </c>
      <c r="F1018" t="s">
        <v>1654</v>
      </c>
      <c r="G1018" t="s">
        <v>1667</v>
      </c>
      <c r="H1018" t="s">
        <v>1675</v>
      </c>
    </row>
    <row r="1019" spans="1:8" x14ac:dyDescent="0.25">
      <c r="A1019" t="s">
        <v>1721</v>
      </c>
      <c r="B1019" t="s">
        <v>1708</v>
      </c>
      <c r="C1019" t="s">
        <v>1708</v>
      </c>
      <c r="D1019" t="s">
        <v>1683</v>
      </c>
      <c r="E1019" t="s">
        <v>1678</v>
      </c>
      <c r="F1019" t="s">
        <v>1655</v>
      </c>
      <c r="G1019" t="s">
        <v>1668</v>
      </c>
      <c r="H1019" t="s">
        <v>1676</v>
      </c>
    </row>
    <row r="1020" spans="1:8" x14ac:dyDescent="0.25">
      <c r="A1020" t="s">
        <v>1722</v>
      </c>
      <c r="B1020" t="s">
        <v>1709</v>
      </c>
      <c r="C1020" t="s">
        <v>1709</v>
      </c>
      <c r="D1020" t="s">
        <v>1685</v>
      </c>
      <c r="E1020" t="s">
        <v>1679</v>
      </c>
      <c r="F1020" t="s">
        <v>1659</v>
      </c>
      <c r="G1020" t="s">
        <v>1669</v>
      </c>
      <c r="H1020" t="s">
        <v>1720</v>
      </c>
    </row>
    <row r="1021" spans="1:8" x14ac:dyDescent="0.25">
      <c r="A1021" t="s">
        <v>1723</v>
      </c>
      <c r="B1021" t="s">
        <v>1711</v>
      </c>
      <c r="C1021" t="s">
        <v>1711</v>
      </c>
      <c r="D1021" t="s">
        <v>1686</v>
      </c>
      <c r="E1021" t="s">
        <v>1680</v>
      </c>
      <c r="F1021" t="s">
        <v>1661</v>
      </c>
      <c r="G1021" t="s">
        <v>1670</v>
      </c>
      <c r="H1021" t="s">
        <v>1678</v>
      </c>
    </row>
    <row r="1022" spans="1:8" x14ac:dyDescent="0.25">
      <c r="A1022" t="s">
        <v>1724</v>
      </c>
      <c r="B1022" t="s">
        <v>1712</v>
      </c>
      <c r="C1022" t="s">
        <v>1713</v>
      </c>
      <c r="D1022" t="s">
        <v>1687</v>
      </c>
      <c r="E1022" t="s">
        <v>1682</v>
      </c>
      <c r="F1022" t="s">
        <v>1663</v>
      </c>
      <c r="G1022" t="s">
        <v>1671</v>
      </c>
      <c r="H1022" t="s">
        <v>1679</v>
      </c>
    </row>
    <row r="1023" spans="1:8" x14ac:dyDescent="0.25">
      <c r="A1023" t="s">
        <v>1725</v>
      </c>
      <c r="B1023" t="s">
        <v>1713</v>
      </c>
      <c r="C1023" t="s">
        <v>1714</v>
      </c>
      <c r="D1023" t="s">
        <v>1688</v>
      </c>
      <c r="E1023" t="s">
        <v>1683</v>
      </c>
      <c r="F1023" t="s">
        <v>1667</v>
      </c>
      <c r="G1023" t="s">
        <v>1673</v>
      </c>
      <c r="H1023" t="s">
        <v>1680</v>
      </c>
    </row>
    <row r="1024" spans="1:8" x14ac:dyDescent="0.25">
      <c r="A1024" t="s">
        <v>1726</v>
      </c>
      <c r="B1024" t="s">
        <v>1714</v>
      </c>
      <c r="C1024" t="s">
        <v>1715</v>
      </c>
      <c r="D1024" t="s">
        <v>1689</v>
      </c>
      <c r="E1024" t="s">
        <v>1685</v>
      </c>
      <c r="F1024" t="s">
        <v>1668</v>
      </c>
      <c r="G1024" t="s">
        <v>1675</v>
      </c>
      <c r="H1024" t="s">
        <v>1682</v>
      </c>
    </row>
    <row r="1025" spans="1:8" x14ac:dyDescent="0.25">
      <c r="A1025" t="s">
        <v>1727</v>
      </c>
      <c r="B1025" t="s">
        <v>1715</v>
      </c>
      <c r="C1025" t="s">
        <v>1716</v>
      </c>
      <c r="D1025" t="s">
        <v>1693</v>
      </c>
      <c r="E1025" t="s">
        <v>1686</v>
      </c>
      <c r="F1025" t="s">
        <v>1669</v>
      </c>
      <c r="G1025" t="s">
        <v>1676</v>
      </c>
      <c r="H1025" t="s">
        <v>1683</v>
      </c>
    </row>
    <row r="1026" spans="1:8" x14ac:dyDescent="0.25">
      <c r="A1026" t="s">
        <v>1728</v>
      </c>
      <c r="B1026" t="s">
        <v>1716</v>
      </c>
      <c r="C1026" t="s">
        <v>1719</v>
      </c>
      <c r="D1026" t="s">
        <v>1694</v>
      </c>
      <c r="E1026" t="s">
        <v>1687</v>
      </c>
      <c r="F1026" t="s">
        <v>1670</v>
      </c>
      <c r="G1026" t="s">
        <v>1720</v>
      </c>
      <c r="H1026" t="s">
        <v>1685</v>
      </c>
    </row>
    <row r="1027" spans="1:8" x14ac:dyDescent="0.25">
      <c r="A1027" t="s">
        <v>1729</v>
      </c>
      <c r="B1027" t="s">
        <v>1717</v>
      </c>
      <c r="C1027" t="s">
        <v>1721</v>
      </c>
      <c r="D1027" t="s">
        <v>1696</v>
      </c>
      <c r="E1027" t="s">
        <v>1688</v>
      </c>
      <c r="F1027" t="s">
        <v>1671</v>
      </c>
      <c r="G1027" t="s">
        <v>1678</v>
      </c>
      <c r="H1027" t="s">
        <v>1686</v>
      </c>
    </row>
    <row r="1028" spans="1:8" x14ac:dyDescent="0.25">
      <c r="A1028" t="s">
        <v>1730</v>
      </c>
      <c r="B1028" t="s">
        <v>1718</v>
      </c>
      <c r="C1028" t="s">
        <v>1722</v>
      </c>
      <c r="D1028" t="s">
        <v>1697</v>
      </c>
      <c r="E1028" t="s">
        <v>1689</v>
      </c>
      <c r="F1028" t="s">
        <v>1673</v>
      </c>
      <c r="G1028" t="s">
        <v>1679</v>
      </c>
      <c r="H1028" t="s">
        <v>1687</v>
      </c>
    </row>
    <row r="1029" spans="1:8" x14ac:dyDescent="0.25">
      <c r="A1029" t="s">
        <v>1731</v>
      </c>
      <c r="B1029" t="s">
        <v>1719</v>
      </c>
      <c r="C1029" t="s">
        <v>1723</v>
      </c>
      <c r="D1029" t="s">
        <v>1701</v>
      </c>
      <c r="E1029" t="s">
        <v>1693</v>
      </c>
      <c r="F1029" t="s">
        <v>1675</v>
      </c>
      <c r="G1029" t="s">
        <v>1680</v>
      </c>
      <c r="H1029" t="s">
        <v>1688</v>
      </c>
    </row>
    <row r="1030" spans="1:8" x14ac:dyDescent="0.25">
      <c r="A1030" t="s">
        <v>1732</v>
      </c>
      <c r="B1030" t="s">
        <v>1721</v>
      </c>
      <c r="C1030" t="s">
        <v>1726</v>
      </c>
      <c r="D1030" t="s">
        <v>1702</v>
      </c>
      <c r="E1030" t="s">
        <v>1694</v>
      </c>
      <c r="F1030" t="s">
        <v>1676</v>
      </c>
      <c r="G1030" t="s">
        <v>1682</v>
      </c>
      <c r="H1030" t="s">
        <v>1689</v>
      </c>
    </row>
    <row r="1031" spans="1:8" x14ac:dyDescent="0.25">
      <c r="A1031" t="s">
        <v>1733</v>
      </c>
      <c r="B1031" t="s">
        <v>1722</v>
      </c>
      <c r="C1031" t="s">
        <v>1727</v>
      </c>
      <c r="D1031" t="s">
        <v>1704</v>
      </c>
      <c r="E1031" t="s">
        <v>1696</v>
      </c>
      <c r="F1031" t="s">
        <v>1720</v>
      </c>
      <c r="G1031" t="s">
        <v>1683</v>
      </c>
      <c r="H1031" t="s">
        <v>1691</v>
      </c>
    </row>
    <row r="1032" spans="1:8" x14ac:dyDescent="0.25">
      <c r="A1032" t="s">
        <v>1734</v>
      </c>
      <c r="B1032" t="s">
        <v>1723</v>
      </c>
      <c r="C1032" t="s">
        <v>1728</v>
      </c>
      <c r="D1032" t="s">
        <v>1705</v>
      </c>
      <c r="E1032" t="s">
        <v>1697</v>
      </c>
      <c r="F1032" t="s">
        <v>1678</v>
      </c>
      <c r="G1032" t="s">
        <v>1685</v>
      </c>
      <c r="H1032" t="s">
        <v>1693</v>
      </c>
    </row>
    <row r="1033" spans="1:8" x14ac:dyDescent="0.25">
      <c r="A1033" t="s">
        <v>1735</v>
      </c>
      <c r="B1033" t="s">
        <v>1724</v>
      </c>
      <c r="C1033" t="s">
        <v>1729</v>
      </c>
      <c r="D1033" t="s">
        <v>1706</v>
      </c>
      <c r="E1033" t="s">
        <v>1701</v>
      </c>
      <c r="F1033" t="s">
        <v>1679</v>
      </c>
      <c r="G1033" t="s">
        <v>1686</v>
      </c>
      <c r="H1033" t="s">
        <v>1694</v>
      </c>
    </row>
    <row r="1034" spans="1:8" x14ac:dyDescent="0.25">
      <c r="A1034" t="s">
        <v>1736</v>
      </c>
      <c r="B1034" t="s">
        <v>1726</v>
      </c>
      <c r="C1034" t="s">
        <v>1730</v>
      </c>
      <c r="D1034" t="s">
        <v>1707</v>
      </c>
      <c r="E1034" t="s">
        <v>1702</v>
      </c>
      <c r="F1034" t="s">
        <v>1680</v>
      </c>
      <c r="G1034" t="s">
        <v>1687</v>
      </c>
      <c r="H1034" t="s">
        <v>1696</v>
      </c>
    </row>
    <row r="1035" spans="1:8" x14ac:dyDescent="0.25">
      <c r="A1035" t="s">
        <v>1737</v>
      </c>
      <c r="B1035" t="s">
        <v>1727</v>
      </c>
      <c r="C1035" t="s">
        <v>1731</v>
      </c>
      <c r="D1035" t="s">
        <v>1708</v>
      </c>
      <c r="E1035" t="s">
        <v>1704</v>
      </c>
      <c r="F1035" t="s">
        <v>1682</v>
      </c>
      <c r="G1035" t="s">
        <v>1688</v>
      </c>
      <c r="H1035" t="s">
        <v>1697</v>
      </c>
    </row>
    <row r="1036" spans="1:8" x14ac:dyDescent="0.25">
      <c r="A1036" t="s">
        <v>1738</v>
      </c>
      <c r="B1036" t="s">
        <v>1728</v>
      </c>
      <c r="C1036" t="s">
        <v>1732</v>
      </c>
      <c r="D1036" t="s">
        <v>1709</v>
      </c>
      <c r="E1036" t="s">
        <v>1705</v>
      </c>
      <c r="F1036" t="s">
        <v>1683</v>
      </c>
      <c r="G1036" t="s">
        <v>1689</v>
      </c>
      <c r="H1036" t="s">
        <v>1701</v>
      </c>
    </row>
    <row r="1037" spans="1:8" x14ac:dyDescent="0.25">
      <c r="A1037" t="s">
        <v>1739</v>
      </c>
      <c r="B1037" t="s">
        <v>1729</v>
      </c>
      <c r="C1037" t="s">
        <v>1733</v>
      </c>
      <c r="D1037" t="s">
        <v>1713</v>
      </c>
      <c r="E1037" t="s">
        <v>1706</v>
      </c>
      <c r="F1037" t="s">
        <v>1685</v>
      </c>
      <c r="G1037" t="s">
        <v>1691</v>
      </c>
      <c r="H1037" t="s">
        <v>1702</v>
      </c>
    </row>
    <row r="1038" spans="1:8" x14ac:dyDescent="0.25">
      <c r="A1038" t="s">
        <v>1740</v>
      </c>
      <c r="B1038" t="s">
        <v>1730</v>
      </c>
      <c r="C1038" t="s">
        <v>1734</v>
      </c>
      <c r="D1038" t="s">
        <v>1714</v>
      </c>
      <c r="E1038" t="s">
        <v>1707</v>
      </c>
      <c r="F1038" t="s">
        <v>1686</v>
      </c>
      <c r="G1038" t="s">
        <v>1693</v>
      </c>
      <c r="H1038" t="s">
        <v>1704</v>
      </c>
    </row>
    <row r="1039" spans="1:8" x14ac:dyDescent="0.25">
      <c r="A1039" t="s">
        <v>1741</v>
      </c>
      <c r="B1039" t="s">
        <v>1731</v>
      </c>
      <c r="C1039" t="s">
        <v>1735</v>
      </c>
      <c r="D1039" t="s">
        <v>1715</v>
      </c>
      <c r="E1039" t="s">
        <v>1708</v>
      </c>
      <c r="F1039" t="s">
        <v>1688</v>
      </c>
      <c r="G1039" t="s">
        <v>1694</v>
      </c>
      <c r="H1039" t="s">
        <v>1705</v>
      </c>
    </row>
    <row r="1040" spans="1:8" x14ac:dyDescent="0.25">
      <c r="A1040" t="s">
        <v>1742</v>
      </c>
      <c r="B1040" t="s">
        <v>1732</v>
      </c>
      <c r="C1040" t="s">
        <v>1736</v>
      </c>
      <c r="D1040" t="s">
        <v>1716</v>
      </c>
      <c r="E1040" t="s">
        <v>1709</v>
      </c>
      <c r="F1040" t="s">
        <v>1689</v>
      </c>
      <c r="G1040" t="s">
        <v>1696</v>
      </c>
      <c r="H1040" t="s">
        <v>1706</v>
      </c>
    </row>
    <row r="1041" spans="1:8" x14ac:dyDescent="0.25">
      <c r="A1041" t="s">
        <v>1743</v>
      </c>
      <c r="B1041" t="s">
        <v>1733</v>
      </c>
      <c r="C1041" t="s">
        <v>1737</v>
      </c>
      <c r="D1041" t="s">
        <v>1719</v>
      </c>
      <c r="E1041" t="s">
        <v>1713</v>
      </c>
      <c r="F1041" t="s">
        <v>1691</v>
      </c>
      <c r="G1041" t="s">
        <v>1697</v>
      </c>
      <c r="H1041" t="s">
        <v>1707</v>
      </c>
    </row>
    <row r="1042" spans="1:8" x14ac:dyDescent="0.25">
      <c r="A1042" t="s">
        <v>1744</v>
      </c>
      <c r="B1042" t="s">
        <v>1734</v>
      </c>
      <c r="C1042" t="s">
        <v>1738</v>
      </c>
      <c r="D1042" t="s">
        <v>1721</v>
      </c>
      <c r="E1042" t="s">
        <v>1714</v>
      </c>
      <c r="F1042" t="s">
        <v>1693</v>
      </c>
      <c r="G1042" t="s">
        <v>1701</v>
      </c>
      <c r="H1042" t="s">
        <v>1708</v>
      </c>
    </row>
    <row r="1043" spans="1:8" x14ac:dyDescent="0.25">
      <c r="A1043" t="s">
        <v>1745</v>
      </c>
      <c r="B1043" t="s">
        <v>1735</v>
      </c>
      <c r="C1043" t="s">
        <v>1739</v>
      </c>
      <c r="D1043" t="s">
        <v>1722</v>
      </c>
      <c r="E1043" t="s">
        <v>1715</v>
      </c>
      <c r="F1043" t="s">
        <v>1694</v>
      </c>
      <c r="G1043" t="s">
        <v>1702</v>
      </c>
      <c r="H1043" t="s">
        <v>1709</v>
      </c>
    </row>
    <row r="1044" spans="1:8" x14ac:dyDescent="0.25">
      <c r="A1044" t="s">
        <v>1746</v>
      </c>
      <c r="B1044" t="s">
        <v>1736</v>
      </c>
      <c r="C1044" t="s">
        <v>1740</v>
      </c>
      <c r="D1044" t="s">
        <v>1723</v>
      </c>
      <c r="E1044" t="s">
        <v>1716</v>
      </c>
      <c r="F1044" t="s">
        <v>1696</v>
      </c>
      <c r="G1044" t="s">
        <v>1704</v>
      </c>
      <c r="H1044" t="s">
        <v>1711</v>
      </c>
    </row>
    <row r="1045" spans="1:8" x14ac:dyDescent="0.25">
      <c r="A1045" t="s">
        <v>1747</v>
      </c>
      <c r="B1045" t="s">
        <v>1737</v>
      </c>
      <c r="C1045" t="s">
        <v>1741</v>
      </c>
      <c r="D1045" t="s">
        <v>1726</v>
      </c>
      <c r="E1045" t="s">
        <v>1719</v>
      </c>
      <c r="F1045" t="s">
        <v>1697</v>
      </c>
      <c r="G1045" t="s">
        <v>1705</v>
      </c>
      <c r="H1045" t="s">
        <v>1712</v>
      </c>
    </row>
    <row r="1046" spans="1:8" x14ac:dyDescent="0.25">
      <c r="A1046" t="s">
        <v>1748</v>
      </c>
      <c r="B1046" t="s">
        <v>1738</v>
      </c>
      <c r="C1046" t="s">
        <v>1742</v>
      </c>
      <c r="D1046" t="s">
        <v>1727</v>
      </c>
      <c r="E1046" t="s">
        <v>1721</v>
      </c>
      <c r="F1046" t="s">
        <v>1701</v>
      </c>
      <c r="G1046" t="s">
        <v>1706</v>
      </c>
      <c r="H1046" t="s">
        <v>1713</v>
      </c>
    </row>
    <row r="1047" spans="1:8" x14ac:dyDescent="0.25">
      <c r="A1047" t="s">
        <v>1749</v>
      </c>
      <c r="B1047" t="s">
        <v>1739</v>
      </c>
      <c r="C1047" t="s">
        <v>1743</v>
      </c>
      <c r="D1047" t="s">
        <v>1728</v>
      </c>
      <c r="E1047" t="s">
        <v>1722</v>
      </c>
      <c r="F1047" t="s">
        <v>1702</v>
      </c>
      <c r="G1047" t="s">
        <v>1707</v>
      </c>
      <c r="H1047" t="s">
        <v>1714</v>
      </c>
    </row>
    <row r="1048" spans="1:8" x14ac:dyDescent="0.25">
      <c r="A1048" t="s">
        <v>1750</v>
      </c>
      <c r="B1048" t="s">
        <v>1740</v>
      </c>
      <c r="C1048" t="s">
        <v>1744</v>
      </c>
      <c r="D1048" t="s">
        <v>1729</v>
      </c>
      <c r="E1048" t="s">
        <v>1723</v>
      </c>
      <c r="F1048" t="s">
        <v>1704</v>
      </c>
      <c r="G1048" t="s">
        <v>1708</v>
      </c>
      <c r="H1048" t="s">
        <v>1715</v>
      </c>
    </row>
    <row r="1049" spans="1:8" x14ac:dyDescent="0.25">
      <c r="A1049" t="s">
        <v>1751</v>
      </c>
      <c r="B1049" t="s">
        <v>1741</v>
      </c>
      <c r="C1049" t="s">
        <v>1745</v>
      </c>
      <c r="D1049" t="s">
        <v>1730</v>
      </c>
      <c r="E1049" t="s">
        <v>1726</v>
      </c>
      <c r="F1049" t="s">
        <v>1705</v>
      </c>
      <c r="G1049" t="s">
        <v>1709</v>
      </c>
      <c r="H1049" t="s">
        <v>1716</v>
      </c>
    </row>
    <row r="1050" spans="1:8" x14ac:dyDescent="0.25">
      <c r="A1050" t="s">
        <v>1752</v>
      </c>
      <c r="B1050" t="s">
        <v>1742</v>
      </c>
      <c r="C1050" t="s">
        <v>1746</v>
      </c>
      <c r="D1050" t="s">
        <v>1731</v>
      </c>
      <c r="E1050" t="s">
        <v>1727</v>
      </c>
      <c r="F1050" t="s">
        <v>1706</v>
      </c>
      <c r="G1050" t="s">
        <v>1711</v>
      </c>
      <c r="H1050" t="s">
        <v>1717</v>
      </c>
    </row>
    <row r="1051" spans="1:8" x14ac:dyDescent="0.25">
      <c r="A1051" t="s">
        <v>1753</v>
      </c>
      <c r="B1051" t="s">
        <v>1743</v>
      </c>
      <c r="C1051" t="s">
        <v>1747</v>
      </c>
      <c r="D1051" t="s">
        <v>1732</v>
      </c>
      <c r="E1051" t="s">
        <v>1728</v>
      </c>
      <c r="F1051" t="s">
        <v>1707</v>
      </c>
      <c r="G1051" t="s">
        <v>1712</v>
      </c>
      <c r="H1051" t="s">
        <v>1718</v>
      </c>
    </row>
    <row r="1052" spans="1:8" x14ac:dyDescent="0.25">
      <c r="A1052" t="s">
        <v>1754</v>
      </c>
      <c r="B1052" t="s">
        <v>1744</v>
      </c>
      <c r="C1052" t="s">
        <v>1748</v>
      </c>
      <c r="D1052" t="s">
        <v>1733</v>
      </c>
      <c r="E1052" t="s">
        <v>1729</v>
      </c>
      <c r="F1052" t="s">
        <v>1708</v>
      </c>
      <c r="G1052" t="s">
        <v>1713</v>
      </c>
      <c r="H1052" t="s">
        <v>1719</v>
      </c>
    </row>
    <row r="1053" spans="1:8" x14ac:dyDescent="0.25">
      <c r="A1053" t="s">
        <v>1755</v>
      </c>
      <c r="B1053" t="s">
        <v>1745</v>
      </c>
      <c r="C1053" t="s">
        <v>1751</v>
      </c>
      <c r="D1053" t="s">
        <v>1734</v>
      </c>
      <c r="E1053" t="s">
        <v>1730</v>
      </c>
      <c r="F1053" t="s">
        <v>1709</v>
      </c>
      <c r="G1053" t="s">
        <v>1714</v>
      </c>
      <c r="H1053" t="s">
        <v>1721</v>
      </c>
    </row>
    <row r="1054" spans="1:8" x14ac:dyDescent="0.25">
      <c r="A1054" t="s">
        <v>1756</v>
      </c>
      <c r="B1054" t="s">
        <v>1746</v>
      </c>
      <c r="C1054" t="s">
        <v>1752</v>
      </c>
      <c r="D1054" t="s">
        <v>1735</v>
      </c>
      <c r="E1054" t="s">
        <v>1731</v>
      </c>
      <c r="F1054" t="s">
        <v>1711</v>
      </c>
      <c r="G1054" t="s">
        <v>1715</v>
      </c>
      <c r="H1054" t="s">
        <v>1722</v>
      </c>
    </row>
    <row r="1055" spans="1:8" x14ac:dyDescent="0.25">
      <c r="A1055" t="s">
        <v>1757</v>
      </c>
      <c r="B1055" t="s">
        <v>1747</v>
      </c>
      <c r="C1055" t="s">
        <v>1753</v>
      </c>
      <c r="D1055" t="s">
        <v>1736</v>
      </c>
      <c r="E1055" t="s">
        <v>1732</v>
      </c>
      <c r="F1055" t="s">
        <v>1713</v>
      </c>
      <c r="G1055" t="s">
        <v>1716</v>
      </c>
      <c r="H1055" t="s">
        <v>1723</v>
      </c>
    </row>
    <row r="1056" spans="1:8" x14ac:dyDescent="0.25">
      <c r="A1056" t="s">
        <v>1758</v>
      </c>
      <c r="B1056" t="s">
        <v>1748</v>
      </c>
      <c r="C1056" t="s">
        <v>1754</v>
      </c>
      <c r="D1056" t="s">
        <v>1737</v>
      </c>
      <c r="E1056" t="s">
        <v>1733</v>
      </c>
      <c r="F1056" t="s">
        <v>1714</v>
      </c>
      <c r="G1056" t="s">
        <v>1717</v>
      </c>
      <c r="H1056" t="s">
        <v>1724</v>
      </c>
    </row>
    <row r="1057" spans="1:8" x14ac:dyDescent="0.25">
      <c r="A1057" t="s">
        <v>1759</v>
      </c>
      <c r="B1057" t="s">
        <v>1751</v>
      </c>
      <c r="C1057" t="s">
        <v>1756</v>
      </c>
      <c r="D1057" t="s">
        <v>1738</v>
      </c>
      <c r="E1057" t="s">
        <v>1734</v>
      </c>
      <c r="F1057" t="s">
        <v>1715</v>
      </c>
      <c r="G1057" t="s">
        <v>1718</v>
      </c>
      <c r="H1057" t="s">
        <v>1726</v>
      </c>
    </row>
    <row r="1058" spans="1:8" x14ac:dyDescent="0.25">
      <c r="A1058" t="s">
        <v>1760</v>
      </c>
      <c r="B1058" t="s">
        <v>1752</v>
      </c>
      <c r="C1058" t="s">
        <v>1757</v>
      </c>
      <c r="D1058" t="s">
        <v>1739</v>
      </c>
      <c r="E1058" t="s">
        <v>1735</v>
      </c>
      <c r="F1058" t="s">
        <v>1716</v>
      </c>
      <c r="G1058" t="s">
        <v>1719</v>
      </c>
      <c r="H1058" t="s">
        <v>1727</v>
      </c>
    </row>
    <row r="1059" spans="1:8" x14ac:dyDescent="0.25">
      <c r="A1059" t="s">
        <v>1761</v>
      </c>
      <c r="B1059" t="s">
        <v>1753</v>
      </c>
      <c r="C1059" t="s">
        <v>1758</v>
      </c>
      <c r="D1059" t="s">
        <v>1740</v>
      </c>
      <c r="E1059" t="s">
        <v>1736</v>
      </c>
      <c r="F1059" t="s">
        <v>1719</v>
      </c>
      <c r="G1059" t="s">
        <v>1721</v>
      </c>
      <c r="H1059" t="s">
        <v>1728</v>
      </c>
    </row>
    <row r="1060" spans="1:8" x14ac:dyDescent="0.25">
      <c r="A1060" t="s">
        <v>1762</v>
      </c>
      <c r="B1060" t="s">
        <v>1754</v>
      </c>
      <c r="C1060" t="s">
        <v>1759</v>
      </c>
      <c r="D1060" t="s">
        <v>1741</v>
      </c>
      <c r="E1060" t="s">
        <v>1737</v>
      </c>
      <c r="F1060" t="s">
        <v>1721</v>
      </c>
      <c r="G1060" t="s">
        <v>1722</v>
      </c>
      <c r="H1060" t="s">
        <v>1729</v>
      </c>
    </row>
    <row r="1061" spans="1:8" x14ac:dyDescent="0.25">
      <c r="A1061" t="s">
        <v>1763</v>
      </c>
      <c r="B1061" t="s">
        <v>1756</v>
      </c>
      <c r="C1061" t="s">
        <v>1760</v>
      </c>
      <c r="D1061" t="s">
        <v>1742</v>
      </c>
      <c r="E1061" t="s">
        <v>1738</v>
      </c>
      <c r="F1061" t="s">
        <v>1722</v>
      </c>
      <c r="G1061" t="s">
        <v>1723</v>
      </c>
      <c r="H1061" t="s">
        <v>1730</v>
      </c>
    </row>
    <row r="1062" spans="1:8" x14ac:dyDescent="0.25">
      <c r="A1062" t="s">
        <v>1764</v>
      </c>
      <c r="B1062" t="s">
        <v>1757</v>
      </c>
      <c r="C1062" t="s">
        <v>1761</v>
      </c>
      <c r="D1062" t="s">
        <v>1743</v>
      </c>
      <c r="E1062" t="s">
        <v>1739</v>
      </c>
      <c r="F1062" t="s">
        <v>1723</v>
      </c>
      <c r="G1062" t="s">
        <v>1726</v>
      </c>
      <c r="H1062" t="s">
        <v>1731</v>
      </c>
    </row>
    <row r="1063" spans="1:8" x14ac:dyDescent="0.25">
      <c r="A1063" t="s">
        <v>1765</v>
      </c>
      <c r="B1063" t="s">
        <v>1758</v>
      </c>
      <c r="C1063" t="s">
        <v>1762</v>
      </c>
      <c r="D1063" t="s">
        <v>1744</v>
      </c>
      <c r="E1063" t="s">
        <v>1740</v>
      </c>
      <c r="F1063" t="s">
        <v>1726</v>
      </c>
      <c r="G1063" t="s">
        <v>1727</v>
      </c>
      <c r="H1063" t="s">
        <v>1732</v>
      </c>
    </row>
    <row r="1064" spans="1:8" x14ac:dyDescent="0.25">
      <c r="A1064" t="s">
        <v>1766</v>
      </c>
      <c r="B1064" t="s">
        <v>1759</v>
      </c>
      <c r="C1064" t="s">
        <v>1763</v>
      </c>
      <c r="D1064" t="s">
        <v>1746</v>
      </c>
      <c r="E1064" t="s">
        <v>1741</v>
      </c>
      <c r="F1064" t="s">
        <v>1727</v>
      </c>
      <c r="G1064" t="s">
        <v>1728</v>
      </c>
      <c r="H1064" t="s">
        <v>1733</v>
      </c>
    </row>
    <row r="1065" spans="1:8" x14ac:dyDescent="0.25">
      <c r="A1065" t="s">
        <v>1767</v>
      </c>
      <c r="B1065" t="s">
        <v>1760</v>
      </c>
      <c r="C1065" t="s">
        <v>1764</v>
      </c>
      <c r="D1065" t="s">
        <v>1747</v>
      </c>
      <c r="E1065" t="s">
        <v>1742</v>
      </c>
      <c r="F1065" t="s">
        <v>1728</v>
      </c>
      <c r="G1065" t="s">
        <v>1729</v>
      </c>
      <c r="H1065" t="s">
        <v>1734</v>
      </c>
    </row>
    <row r="1066" spans="1:8" x14ac:dyDescent="0.25">
      <c r="A1066" t="s">
        <v>1768</v>
      </c>
      <c r="B1066" t="s">
        <v>1761</v>
      </c>
      <c r="C1066" t="s">
        <v>1765</v>
      </c>
      <c r="D1066" t="s">
        <v>1748</v>
      </c>
      <c r="E1066" t="s">
        <v>1743</v>
      </c>
      <c r="F1066" t="s">
        <v>1729</v>
      </c>
      <c r="G1066" t="s">
        <v>1730</v>
      </c>
      <c r="H1066" t="s">
        <v>1735</v>
      </c>
    </row>
    <row r="1067" spans="1:8" x14ac:dyDescent="0.25">
      <c r="A1067" t="s">
        <v>1769</v>
      </c>
      <c r="B1067" t="s">
        <v>1762</v>
      </c>
      <c r="C1067" t="s">
        <v>1770</v>
      </c>
      <c r="D1067" t="s">
        <v>1751</v>
      </c>
      <c r="E1067" t="s">
        <v>1744</v>
      </c>
      <c r="F1067" t="s">
        <v>1730</v>
      </c>
      <c r="G1067" t="s">
        <v>1731</v>
      </c>
      <c r="H1067" t="s">
        <v>1736</v>
      </c>
    </row>
    <row r="1068" spans="1:8" x14ac:dyDescent="0.25">
      <c r="A1068" t="s">
        <v>1771</v>
      </c>
      <c r="B1068" t="s">
        <v>1765</v>
      </c>
      <c r="C1068" t="s">
        <v>1766</v>
      </c>
      <c r="D1068" t="s">
        <v>1752</v>
      </c>
      <c r="E1068" t="s">
        <v>1746</v>
      </c>
      <c r="F1068" t="s">
        <v>1731</v>
      </c>
      <c r="G1068" t="s">
        <v>1732</v>
      </c>
      <c r="H1068" t="s">
        <v>1737</v>
      </c>
    </row>
    <row r="1069" spans="1:8" x14ac:dyDescent="0.25">
      <c r="A1069" t="s">
        <v>1772</v>
      </c>
      <c r="B1069" t="s">
        <v>1766</v>
      </c>
      <c r="C1069" t="s">
        <v>1773</v>
      </c>
      <c r="D1069" t="s">
        <v>1753</v>
      </c>
      <c r="E1069" t="s">
        <v>1747</v>
      </c>
      <c r="F1069" t="s">
        <v>1732</v>
      </c>
      <c r="G1069" t="s">
        <v>1733</v>
      </c>
      <c r="H1069" t="s">
        <v>1738</v>
      </c>
    </row>
    <row r="1070" spans="1:8" x14ac:dyDescent="0.25">
      <c r="A1070" t="s">
        <v>1774</v>
      </c>
      <c r="B1070" t="s">
        <v>1767</v>
      </c>
      <c r="C1070" t="s">
        <v>1767</v>
      </c>
      <c r="D1070" t="s">
        <v>1756</v>
      </c>
      <c r="E1070" t="s">
        <v>1748</v>
      </c>
      <c r="F1070" t="s">
        <v>1733</v>
      </c>
      <c r="G1070" t="s">
        <v>1734</v>
      </c>
      <c r="H1070" t="s">
        <v>1739</v>
      </c>
    </row>
    <row r="1071" spans="1:8" x14ac:dyDescent="0.25">
      <c r="A1071" t="s">
        <v>1775</v>
      </c>
      <c r="B1071" t="s">
        <v>1768</v>
      </c>
      <c r="C1071" t="s">
        <v>1768</v>
      </c>
      <c r="D1071" t="s">
        <v>1757</v>
      </c>
      <c r="E1071" t="s">
        <v>1751</v>
      </c>
      <c r="F1071" t="s">
        <v>1734</v>
      </c>
      <c r="G1071" t="s">
        <v>1735</v>
      </c>
      <c r="H1071" t="s">
        <v>1740</v>
      </c>
    </row>
    <row r="1072" spans="1:8" x14ac:dyDescent="0.25">
      <c r="A1072" t="s">
        <v>1776</v>
      </c>
      <c r="B1072" t="s">
        <v>1769</v>
      </c>
      <c r="C1072" t="s">
        <v>1769</v>
      </c>
      <c r="D1072" t="s">
        <v>1758</v>
      </c>
      <c r="E1072" t="s">
        <v>1752</v>
      </c>
      <c r="F1072" t="s">
        <v>1735</v>
      </c>
      <c r="G1072" t="s">
        <v>1736</v>
      </c>
      <c r="H1072" t="s">
        <v>1741</v>
      </c>
    </row>
    <row r="1073" spans="1:8" x14ac:dyDescent="0.25">
      <c r="A1073" t="s">
        <v>1777</v>
      </c>
      <c r="B1073" t="s">
        <v>1771</v>
      </c>
      <c r="C1073" t="s">
        <v>1775</v>
      </c>
      <c r="D1073" t="s">
        <v>1759</v>
      </c>
      <c r="E1073" t="s">
        <v>1753</v>
      </c>
      <c r="F1073" t="s">
        <v>1736</v>
      </c>
      <c r="G1073" t="s">
        <v>1737</v>
      </c>
      <c r="H1073" t="s">
        <v>1742</v>
      </c>
    </row>
    <row r="1074" spans="1:8" x14ac:dyDescent="0.25">
      <c r="A1074" t="s">
        <v>1778</v>
      </c>
      <c r="B1074" t="s">
        <v>1772</v>
      </c>
      <c r="C1074" t="s">
        <v>1776</v>
      </c>
      <c r="D1074" t="s">
        <v>1761</v>
      </c>
      <c r="E1074" t="s">
        <v>1756</v>
      </c>
      <c r="F1074" t="s">
        <v>1737</v>
      </c>
      <c r="G1074" t="s">
        <v>1738</v>
      </c>
      <c r="H1074" t="s">
        <v>1743</v>
      </c>
    </row>
    <row r="1075" spans="1:8" x14ac:dyDescent="0.25">
      <c r="A1075" t="s">
        <v>1779</v>
      </c>
      <c r="B1075" t="s">
        <v>1774</v>
      </c>
      <c r="C1075" t="s">
        <v>1777</v>
      </c>
      <c r="D1075" t="s">
        <v>1762</v>
      </c>
      <c r="E1075" t="s">
        <v>1757</v>
      </c>
      <c r="F1075" t="s">
        <v>1738</v>
      </c>
      <c r="G1075" t="s">
        <v>1739</v>
      </c>
      <c r="H1075" t="s">
        <v>1744</v>
      </c>
    </row>
    <row r="1076" spans="1:8" x14ac:dyDescent="0.25">
      <c r="A1076" t="s">
        <v>1780</v>
      </c>
      <c r="B1076" t="s">
        <v>1775</v>
      </c>
      <c r="C1076" t="s">
        <v>1781</v>
      </c>
      <c r="D1076" t="s">
        <v>1763</v>
      </c>
      <c r="E1076" t="s">
        <v>1758</v>
      </c>
      <c r="F1076" t="s">
        <v>1739</v>
      </c>
      <c r="G1076" t="s">
        <v>1740</v>
      </c>
      <c r="H1076" t="s">
        <v>1746</v>
      </c>
    </row>
    <row r="1077" spans="1:8" x14ac:dyDescent="0.25">
      <c r="A1077" t="s">
        <v>1782</v>
      </c>
      <c r="B1077" t="s">
        <v>1776</v>
      </c>
      <c r="C1077" t="s">
        <v>1783</v>
      </c>
      <c r="D1077" t="s">
        <v>1764</v>
      </c>
      <c r="E1077" t="s">
        <v>1759</v>
      </c>
      <c r="F1077" t="s">
        <v>1740</v>
      </c>
      <c r="G1077" t="s">
        <v>1741</v>
      </c>
      <c r="H1077" t="s">
        <v>1784</v>
      </c>
    </row>
    <row r="1078" spans="1:8" x14ac:dyDescent="0.25">
      <c r="A1078" t="s">
        <v>1785</v>
      </c>
      <c r="B1078" t="s">
        <v>1777</v>
      </c>
      <c r="C1078" t="s">
        <v>1786</v>
      </c>
      <c r="D1078" t="s">
        <v>1765</v>
      </c>
      <c r="E1078" t="s">
        <v>1761</v>
      </c>
      <c r="F1078" t="s">
        <v>1741</v>
      </c>
      <c r="G1078" t="s">
        <v>1742</v>
      </c>
      <c r="H1078" t="s">
        <v>1747</v>
      </c>
    </row>
    <row r="1079" spans="1:8" x14ac:dyDescent="0.25">
      <c r="A1079" t="s">
        <v>1787</v>
      </c>
      <c r="B1079" t="s">
        <v>1778</v>
      </c>
      <c r="C1079" t="s">
        <v>1778</v>
      </c>
      <c r="D1079" t="s">
        <v>1766</v>
      </c>
      <c r="E1079" t="s">
        <v>1762</v>
      </c>
      <c r="F1079" t="s">
        <v>1742</v>
      </c>
      <c r="G1079" t="s">
        <v>1743</v>
      </c>
      <c r="H1079" t="s">
        <v>1748</v>
      </c>
    </row>
    <row r="1080" spans="1:8" x14ac:dyDescent="0.25">
      <c r="A1080" t="s">
        <v>1788</v>
      </c>
      <c r="B1080" t="s">
        <v>1779</v>
      </c>
      <c r="C1080" t="s">
        <v>1780</v>
      </c>
      <c r="D1080" t="s">
        <v>1767</v>
      </c>
      <c r="E1080" t="s">
        <v>1763</v>
      </c>
      <c r="F1080" t="s">
        <v>1743</v>
      </c>
      <c r="G1080" t="s">
        <v>1744</v>
      </c>
      <c r="H1080" t="s">
        <v>1751</v>
      </c>
    </row>
    <row r="1081" spans="1:8" x14ac:dyDescent="0.25">
      <c r="A1081" t="s">
        <v>1789</v>
      </c>
      <c r="B1081" t="s">
        <v>1780</v>
      </c>
      <c r="C1081" t="s">
        <v>1790</v>
      </c>
      <c r="D1081" t="s">
        <v>1768</v>
      </c>
      <c r="E1081" t="s">
        <v>1764</v>
      </c>
      <c r="F1081" t="s">
        <v>1744</v>
      </c>
      <c r="G1081" t="s">
        <v>1745</v>
      </c>
      <c r="H1081" t="s">
        <v>1752</v>
      </c>
    </row>
    <row r="1082" spans="1:8" x14ac:dyDescent="0.25">
      <c r="A1082" t="s">
        <v>1791</v>
      </c>
      <c r="B1082" t="s">
        <v>1792</v>
      </c>
      <c r="C1082" t="s">
        <v>1793</v>
      </c>
      <c r="D1082" t="s">
        <v>1769</v>
      </c>
      <c r="E1082" t="s">
        <v>1765</v>
      </c>
      <c r="F1082" t="s">
        <v>1745</v>
      </c>
      <c r="G1082" t="s">
        <v>1746</v>
      </c>
      <c r="H1082" t="s">
        <v>1753</v>
      </c>
    </row>
    <row r="1083" spans="1:8" x14ac:dyDescent="0.25">
      <c r="A1083" t="s">
        <v>1794</v>
      </c>
      <c r="B1083" t="s">
        <v>1782</v>
      </c>
      <c r="C1083" t="s">
        <v>1792</v>
      </c>
      <c r="D1083" t="s">
        <v>1771</v>
      </c>
      <c r="E1083" t="s">
        <v>1766</v>
      </c>
      <c r="F1083" t="s">
        <v>1746</v>
      </c>
      <c r="G1083" t="s">
        <v>1747</v>
      </c>
      <c r="H1083" t="s">
        <v>1754</v>
      </c>
    </row>
    <row r="1084" spans="1:8" x14ac:dyDescent="0.25">
      <c r="A1084" t="s">
        <v>1795</v>
      </c>
      <c r="B1084" t="s">
        <v>1785</v>
      </c>
      <c r="C1084" t="s">
        <v>1782</v>
      </c>
      <c r="D1084" t="s">
        <v>1775</v>
      </c>
      <c r="E1084" t="s">
        <v>1767</v>
      </c>
      <c r="F1084" t="s">
        <v>1747</v>
      </c>
      <c r="G1084" t="s">
        <v>1748</v>
      </c>
      <c r="H1084" t="s">
        <v>1755</v>
      </c>
    </row>
    <row r="1085" spans="1:8" x14ac:dyDescent="0.25">
      <c r="A1085" t="s">
        <v>1796</v>
      </c>
      <c r="B1085" t="s">
        <v>1787</v>
      </c>
      <c r="C1085" t="s">
        <v>1785</v>
      </c>
      <c r="D1085" t="s">
        <v>1776</v>
      </c>
      <c r="E1085" t="s">
        <v>1768</v>
      </c>
      <c r="F1085" t="s">
        <v>1748</v>
      </c>
      <c r="G1085" t="s">
        <v>1751</v>
      </c>
      <c r="H1085" t="s">
        <v>1756</v>
      </c>
    </row>
    <row r="1086" spans="1:8" x14ac:dyDescent="0.25">
      <c r="A1086" t="s">
        <v>1797</v>
      </c>
      <c r="B1086" t="s">
        <v>1788</v>
      </c>
      <c r="C1086" t="s">
        <v>1787</v>
      </c>
      <c r="D1086" t="s">
        <v>1777</v>
      </c>
      <c r="E1086" t="s">
        <v>1769</v>
      </c>
      <c r="F1086" t="s">
        <v>1751</v>
      </c>
      <c r="G1086" t="s">
        <v>1752</v>
      </c>
      <c r="H1086" t="s">
        <v>1757</v>
      </c>
    </row>
    <row r="1087" spans="1:8" x14ac:dyDescent="0.25">
      <c r="A1087" t="s">
        <v>1798</v>
      </c>
      <c r="B1087" t="s">
        <v>1789</v>
      </c>
      <c r="C1087" t="s">
        <v>1788</v>
      </c>
      <c r="D1087" t="s">
        <v>1799</v>
      </c>
      <c r="E1087" t="s">
        <v>1775</v>
      </c>
      <c r="F1087" t="s">
        <v>1752</v>
      </c>
      <c r="G1087" t="s">
        <v>1753</v>
      </c>
      <c r="H1087" t="s">
        <v>1758</v>
      </c>
    </row>
    <row r="1088" spans="1:8" x14ac:dyDescent="0.25">
      <c r="A1088" t="s">
        <v>1800</v>
      </c>
      <c r="B1088" t="s">
        <v>1791</v>
      </c>
      <c r="C1088" t="s">
        <v>1789</v>
      </c>
      <c r="D1088" t="s">
        <v>1781</v>
      </c>
      <c r="E1088" t="s">
        <v>1776</v>
      </c>
      <c r="F1088" t="s">
        <v>1753</v>
      </c>
      <c r="G1088" t="s">
        <v>1754</v>
      </c>
      <c r="H1088" t="s">
        <v>1801</v>
      </c>
    </row>
    <row r="1089" spans="1:8" x14ac:dyDescent="0.25">
      <c r="A1089" t="s">
        <v>1802</v>
      </c>
      <c r="B1089" t="s">
        <v>1794</v>
      </c>
      <c r="C1089" t="s">
        <v>1791</v>
      </c>
      <c r="D1089" t="s">
        <v>1803</v>
      </c>
      <c r="E1089" t="s">
        <v>1777</v>
      </c>
      <c r="F1089" t="s">
        <v>1754</v>
      </c>
      <c r="G1089" t="s">
        <v>1755</v>
      </c>
      <c r="H1089" t="s">
        <v>1759</v>
      </c>
    </row>
    <row r="1090" spans="1:8" x14ac:dyDescent="0.25">
      <c r="A1090" t="s">
        <v>1804</v>
      </c>
      <c r="B1090" t="s">
        <v>1795</v>
      </c>
      <c r="C1090" t="s">
        <v>1794</v>
      </c>
      <c r="D1090" t="s">
        <v>1783</v>
      </c>
      <c r="E1090" t="s">
        <v>1799</v>
      </c>
      <c r="F1090" t="s">
        <v>1756</v>
      </c>
      <c r="G1090" t="s">
        <v>1756</v>
      </c>
      <c r="H1090" t="s">
        <v>1761</v>
      </c>
    </row>
    <row r="1091" spans="1:8" x14ac:dyDescent="0.25">
      <c r="A1091" t="s">
        <v>1805</v>
      </c>
      <c r="B1091" t="s">
        <v>1796</v>
      </c>
      <c r="C1091" t="s">
        <v>1795</v>
      </c>
      <c r="D1091" t="s">
        <v>1786</v>
      </c>
      <c r="E1091" t="s">
        <v>1781</v>
      </c>
      <c r="F1091" t="s">
        <v>1757</v>
      </c>
      <c r="G1091" t="s">
        <v>1757</v>
      </c>
      <c r="H1091" t="s">
        <v>1762</v>
      </c>
    </row>
    <row r="1092" spans="1:8" x14ac:dyDescent="0.25">
      <c r="A1092" t="s">
        <v>1806</v>
      </c>
      <c r="B1092" t="s">
        <v>1797</v>
      </c>
      <c r="C1092" t="s">
        <v>1796</v>
      </c>
      <c r="D1092" t="s">
        <v>1778</v>
      </c>
      <c r="E1092" t="s">
        <v>1803</v>
      </c>
      <c r="F1092" t="s">
        <v>1758</v>
      </c>
      <c r="G1092" t="s">
        <v>1758</v>
      </c>
      <c r="H1092" t="s">
        <v>1763</v>
      </c>
    </row>
    <row r="1093" spans="1:8" x14ac:dyDescent="0.25">
      <c r="A1093" t="s">
        <v>1807</v>
      </c>
      <c r="B1093" t="s">
        <v>1798</v>
      </c>
      <c r="C1093" t="s">
        <v>1797</v>
      </c>
      <c r="D1093" t="s">
        <v>1780</v>
      </c>
      <c r="E1093" t="s">
        <v>1783</v>
      </c>
      <c r="F1093" t="s">
        <v>1759</v>
      </c>
      <c r="G1093" t="s">
        <v>1801</v>
      </c>
      <c r="H1093" t="s">
        <v>1764</v>
      </c>
    </row>
    <row r="1094" spans="1:8" x14ac:dyDescent="0.25">
      <c r="A1094" t="s">
        <v>1808</v>
      </c>
      <c r="B1094" t="s">
        <v>1800</v>
      </c>
      <c r="C1094" t="s">
        <v>1798</v>
      </c>
      <c r="D1094" t="s">
        <v>1809</v>
      </c>
      <c r="E1094" t="s">
        <v>1786</v>
      </c>
      <c r="F1094" t="s">
        <v>1761</v>
      </c>
      <c r="G1094" t="s">
        <v>1759</v>
      </c>
      <c r="H1094" t="s">
        <v>1765</v>
      </c>
    </row>
    <row r="1095" spans="1:8" x14ac:dyDescent="0.25">
      <c r="A1095" t="s">
        <v>1810</v>
      </c>
      <c r="B1095" t="s">
        <v>1802</v>
      </c>
      <c r="C1095" t="s">
        <v>1800</v>
      </c>
      <c r="D1095" t="s">
        <v>1790</v>
      </c>
      <c r="E1095" t="s">
        <v>1778</v>
      </c>
      <c r="F1095" t="s">
        <v>1762</v>
      </c>
      <c r="G1095" t="s">
        <v>1761</v>
      </c>
      <c r="H1095" t="s">
        <v>1766</v>
      </c>
    </row>
    <row r="1096" spans="1:8" x14ac:dyDescent="0.25">
      <c r="A1096" t="s">
        <v>1811</v>
      </c>
      <c r="B1096" t="s">
        <v>1804</v>
      </c>
      <c r="C1096" t="s">
        <v>1802</v>
      </c>
      <c r="D1096" t="s">
        <v>1793</v>
      </c>
      <c r="E1096" t="s">
        <v>1780</v>
      </c>
      <c r="F1096" t="s">
        <v>1812</v>
      </c>
      <c r="G1096" t="s">
        <v>1762</v>
      </c>
      <c r="H1096" t="s">
        <v>1767</v>
      </c>
    </row>
    <row r="1097" spans="1:8" x14ac:dyDescent="0.25">
      <c r="A1097" t="s">
        <v>1813</v>
      </c>
      <c r="B1097" t="s">
        <v>1805</v>
      </c>
      <c r="C1097" t="s">
        <v>1804</v>
      </c>
      <c r="D1097" t="s">
        <v>1792</v>
      </c>
      <c r="E1097" t="s">
        <v>1809</v>
      </c>
      <c r="F1097" t="s">
        <v>1763</v>
      </c>
      <c r="G1097" t="s">
        <v>1763</v>
      </c>
      <c r="H1097" t="s">
        <v>1768</v>
      </c>
    </row>
    <row r="1098" spans="1:8" x14ac:dyDescent="0.25">
      <c r="A1098" t="s">
        <v>1814</v>
      </c>
      <c r="B1098" t="s">
        <v>1806</v>
      </c>
      <c r="C1098" t="s">
        <v>1805</v>
      </c>
      <c r="D1098" t="s">
        <v>1782</v>
      </c>
      <c r="E1098" t="s">
        <v>1790</v>
      </c>
      <c r="F1098" t="s">
        <v>1764</v>
      </c>
      <c r="G1098" t="s">
        <v>1764</v>
      </c>
      <c r="H1098" t="s">
        <v>1769</v>
      </c>
    </row>
    <row r="1099" spans="1:8" x14ac:dyDescent="0.25">
      <c r="A1099" t="s">
        <v>1815</v>
      </c>
      <c r="B1099" t="s">
        <v>1807</v>
      </c>
      <c r="C1099" t="s">
        <v>1806</v>
      </c>
      <c r="D1099" t="s">
        <v>1785</v>
      </c>
      <c r="E1099" t="s">
        <v>1793</v>
      </c>
      <c r="F1099" t="s">
        <v>1765</v>
      </c>
      <c r="G1099" t="s">
        <v>1766</v>
      </c>
      <c r="H1099" t="s">
        <v>1775</v>
      </c>
    </row>
    <row r="1100" spans="1:8" x14ac:dyDescent="0.25">
      <c r="A1100" t="s">
        <v>1816</v>
      </c>
      <c r="B1100" t="s">
        <v>1808</v>
      </c>
      <c r="C1100" t="s">
        <v>1807</v>
      </c>
      <c r="D1100" t="s">
        <v>1787</v>
      </c>
      <c r="E1100" t="s">
        <v>1792</v>
      </c>
      <c r="F1100" t="s">
        <v>1766</v>
      </c>
      <c r="G1100" t="s">
        <v>1767</v>
      </c>
      <c r="H1100" t="s">
        <v>1777</v>
      </c>
    </row>
    <row r="1101" spans="1:8" x14ac:dyDescent="0.25">
      <c r="A1101" t="s">
        <v>1817</v>
      </c>
      <c r="B1101" t="s">
        <v>1810</v>
      </c>
      <c r="C1101" t="s">
        <v>1808</v>
      </c>
      <c r="D1101" t="s">
        <v>1788</v>
      </c>
      <c r="E1101" t="s">
        <v>1782</v>
      </c>
      <c r="F1101" t="s">
        <v>1767</v>
      </c>
      <c r="G1101" t="s">
        <v>1768</v>
      </c>
      <c r="H1101" t="s">
        <v>1799</v>
      </c>
    </row>
    <row r="1102" spans="1:8" x14ac:dyDescent="0.25">
      <c r="A1102" t="s">
        <v>1818</v>
      </c>
      <c r="B1102" t="s">
        <v>1811</v>
      </c>
      <c r="C1102" t="s">
        <v>1810</v>
      </c>
      <c r="D1102" t="s">
        <v>1789</v>
      </c>
      <c r="E1102" t="s">
        <v>1785</v>
      </c>
      <c r="F1102" t="s">
        <v>1768</v>
      </c>
      <c r="G1102" t="s">
        <v>1769</v>
      </c>
      <c r="H1102" t="s">
        <v>1781</v>
      </c>
    </row>
    <row r="1103" spans="1:8" x14ac:dyDescent="0.25">
      <c r="A1103" t="s">
        <v>1819</v>
      </c>
      <c r="B1103" t="s">
        <v>1813</v>
      </c>
      <c r="C1103" t="s">
        <v>1811</v>
      </c>
      <c r="D1103" t="s">
        <v>1791</v>
      </c>
      <c r="E1103" t="s">
        <v>1787</v>
      </c>
      <c r="F1103" t="s">
        <v>1769</v>
      </c>
      <c r="G1103" t="s">
        <v>1772</v>
      </c>
      <c r="H1103" t="s">
        <v>1803</v>
      </c>
    </row>
    <row r="1104" spans="1:8" x14ac:dyDescent="0.25">
      <c r="A1104" t="s">
        <v>1820</v>
      </c>
      <c r="B1104" t="s">
        <v>1814</v>
      </c>
      <c r="C1104" t="s">
        <v>1813</v>
      </c>
      <c r="D1104" t="s">
        <v>1794</v>
      </c>
      <c r="E1104" t="s">
        <v>1788</v>
      </c>
      <c r="F1104" t="s">
        <v>1771</v>
      </c>
      <c r="G1104" t="s">
        <v>1775</v>
      </c>
      <c r="H1104" t="s">
        <v>1783</v>
      </c>
    </row>
    <row r="1105" spans="1:8" x14ac:dyDescent="0.25">
      <c r="A1105" t="s">
        <v>1821</v>
      </c>
      <c r="B1105" t="s">
        <v>1815</v>
      </c>
      <c r="C1105" t="s">
        <v>1814</v>
      </c>
      <c r="D1105" t="s">
        <v>1796</v>
      </c>
      <c r="E1105" t="s">
        <v>1789</v>
      </c>
      <c r="F1105" t="s">
        <v>1774</v>
      </c>
      <c r="G1105" t="s">
        <v>1776</v>
      </c>
      <c r="H1105" t="s">
        <v>1786</v>
      </c>
    </row>
    <row r="1106" spans="1:8" x14ac:dyDescent="0.25">
      <c r="A1106" t="s">
        <v>1822</v>
      </c>
      <c r="B1106" t="s">
        <v>1816</v>
      </c>
      <c r="C1106" t="s">
        <v>1815</v>
      </c>
      <c r="D1106" t="s">
        <v>1797</v>
      </c>
      <c r="E1106" t="s">
        <v>1791</v>
      </c>
      <c r="F1106" t="s">
        <v>1775</v>
      </c>
      <c r="G1106" t="s">
        <v>1777</v>
      </c>
      <c r="H1106" t="s">
        <v>1778</v>
      </c>
    </row>
    <row r="1107" spans="1:8" x14ac:dyDescent="0.25">
      <c r="A1107" t="s">
        <v>1823</v>
      </c>
      <c r="B1107" t="s">
        <v>1817</v>
      </c>
      <c r="C1107" t="s">
        <v>1816</v>
      </c>
      <c r="D1107" t="s">
        <v>1798</v>
      </c>
      <c r="E1107" t="s">
        <v>1794</v>
      </c>
      <c r="F1107" t="s">
        <v>1776</v>
      </c>
      <c r="G1107" t="s">
        <v>1799</v>
      </c>
      <c r="H1107" t="s">
        <v>1779</v>
      </c>
    </row>
    <row r="1108" spans="1:8" x14ac:dyDescent="0.25">
      <c r="A1108" t="s">
        <v>1824</v>
      </c>
      <c r="B1108" t="s">
        <v>1818</v>
      </c>
      <c r="C1108" t="s">
        <v>1817</v>
      </c>
      <c r="D1108" t="s">
        <v>1800</v>
      </c>
      <c r="E1108" t="s">
        <v>1795</v>
      </c>
      <c r="F1108" t="s">
        <v>1777</v>
      </c>
      <c r="G1108" t="s">
        <v>1781</v>
      </c>
      <c r="H1108" t="s">
        <v>1780</v>
      </c>
    </row>
    <row r="1109" spans="1:8" x14ac:dyDescent="0.25">
      <c r="A1109" t="s">
        <v>1825</v>
      </c>
      <c r="B1109" t="s">
        <v>1819</v>
      </c>
      <c r="C1109" t="s">
        <v>1818</v>
      </c>
      <c r="D1109" t="s">
        <v>1802</v>
      </c>
      <c r="E1109" t="s">
        <v>1796</v>
      </c>
      <c r="F1109" t="s">
        <v>1799</v>
      </c>
      <c r="G1109" t="s">
        <v>1803</v>
      </c>
      <c r="H1109" t="s">
        <v>1809</v>
      </c>
    </row>
    <row r="1110" spans="1:8" x14ac:dyDescent="0.25">
      <c r="A1110" t="s">
        <v>1826</v>
      </c>
      <c r="B1110" t="s">
        <v>1820</v>
      </c>
      <c r="C1110" t="s">
        <v>1819</v>
      </c>
      <c r="D1110" t="s">
        <v>1804</v>
      </c>
      <c r="E1110" t="s">
        <v>1797</v>
      </c>
      <c r="F1110" t="s">
        <v>1781</v>
      </c>
      <c r="G1110" t="s">
        <v>1783</v>
      </c>
      <c r="H1110" t="s">
        <v>1790</v>
      </c>
    </row>
    <row r="1111" spans="1:8" x14ac:dyDescent="0.25">
      <c r="A1111" t="s">
        <v>1827</v>
      </c>
      <c r="B1111" t="s">
        <v>1821</v>
      </c>
      <c r="C1111" t="s">
        <v>1820</v>
      </c>
      <c r="D1111" t="s">
        <v>1805</v>
      </c>
      <c r="E1111" t="s">
        <v>1798</v>
      </c>
      <c r="F1111" t="s">
        <v>1783</v>
      </c>
      <c r="G1111" t="s">
        <v>1786</v>
      </c>
      <c r="H1111" t="s">
        <v>1793</v>
      </c>
    </row>
    <row r="1112" spans="1:8" x14ac:dyDescent="0.25">
      <c r="A1112" t="s">
        <v>1828</v>
      </c>
      <c r="B1112" t="s">
        <v>1822</v>
      </c>
      <c r="C1112" t="s">
        <v>1821</v>
      </c>
      <c r="D1112" t="s">
        <v>1806</v>
      </c>
      <c r="E1112" t="s">
        <v>1800</v>
      </c>
      <c r="F1112" t="s">
        <v>1786</v>
      </c>
      <c r="G1112" t="s">
        <v>1778</v>
      </c>
      <c r="H1112" t="s">
        <v>1792</v>
      </c>
    </row>
    <row r="1113" spans="1:8" x14ac:dyDescent="0.25">
      <c r="A1113" t="s">
        <v>1829</v>
      </c>
      <c r="B1113" t="s">
        <v>1823</v>
      </c>
      <c r="C1113" t="s">
        <v>1822</v>
      </c>
      <c r="D1113" t="s">
        <v>1807</v>
      </c>
      <c r="E1113" t="s">
        <v>1802</v>
      </c>
      <c r="F1113" t="s">
        <v>1778</v>
      </c>
      <c r="G1113" t="s">
        <v>1780</v>
      </c>
      <c r="H1113" t="s">
        <v>1830</v>
      </c>
    </row>
    <row r="1114" spans="1:8" x14ac:dyDescent="0.25">
      <c r="A1114" t="s">
        <v>1831</v>
      </c>
      <c r="B1114" t="s">
        <v>1824</v>
      </c>
      <c r="C1114" t="s">
        <v>1823</v>
      </c>
      <c r="D1114" t="s">
        <v>1808</v>
      </c>
      <c r="E1114" t="s">
        <v>1804</v>
      </c>
      <c r="F1114" t="s">
        <v>1779</v>
      </c>
      <c r="G1114" t="s">
        <v>1809</v>
      </c>
      <c r="H1114" t="s">
        <v>1782</v>
      </c>
    </row>
    <row r="1115" spans="1:8" x14ac:dyDescent="0.25">
      <c r="A1115" t="s">
        <v>1832</v>
      </c>
      <c r="B1115" t="s">
        <v>1825</v>
      </c>
      <c r="C1115" t="s">
        <v>1833</v>
      </c>
      <c r="D1115" t="s">
        <v>1810</v>
      </c>
      <c r="E1115" t="s">
        <v>1805</v>
      </c>
      <c r="F1115" t="s">
        <v>1780</v>
      </c>
      <c r="G1115" t="s">
        <v>1790</v>
      </c>
      <c r="H1115" t="s">
        <v>1785</v>
      </c>
    </row>
    <row r="1116" spans="1:8" x14ac:dyDescent="0.25">
      <c r="A1116" t="s">
        <v>1834</v>
      </c>
      <c r="B1116" t="s">
        <v>1826</v>
      </c>
      <c r="C1116" t="s">
        <v>1824</v>
      </c>
      <c r="D1116" t="s">
        <v>1811</v>
      </c>
      <c r="E1116" t="s">
        <v>1806</v>
      </c>
      <c r="F1116" t="s">
        <v>1790</v>
      </c>
      <c r="G1116" t="s">
        <v>1793</v>
      </c>
      <c r="H1116" t="s">
        <v>1787</v>
      </c>
    </row>
    <row r="1117" spans="1:8" x14ac:dyDescent="0.25">
      <c r="A1117" t="s">
        <v>1835</v>
      </c>
      <c r="B1117" t="s">
        <v>1827</v>
      </c>
      <c r="C1117" t="s">
        <v>1836</v>
      </c>
      <c r="D1117" t="s">
        <v>1813</v>
      </c>
      <c r="E1117" t="s">
        <v>1807</v>
      </c>
      <c r="F1117" t="s">
        <v>1793</v>
      </c>
      <c r="G1117" t="s">
        <v>1792</v>
      </c>
      <c r="H1117" t="s">
        <v>1788</v>
      </c>
    </row>
    <row r="1118" spans="1:8" x14ac:dyDescent="0.25">
      <c r="A1118" t="s">
        <v>1837</v>
      </c>
      <c r="B1118" t="s">
        <v>1828</v>
      </c>
      <c r="C1118" t="s">
        <v>1825</v>
      </c>
      <c r="D1118" t="s">
        <v>1814</v>
      </c>
      <c r="E1118" t="s">
        <v>1808</v>
      </c>
      <c r="F1118" t="s">
        <v>1792</v>
      </c>
      <c r="G1118" t="s">
        <v>1830</v>
      </c>
      <c r="H1118" t="s">
        <v>1789</v>
      </c>
    </row>
    <row r="1119" spans="1:8" x14ac:dyDescent="0.25">
      <c r="A1119" t="s">
        <v>1838</v>
      </c>
      <c r="B1119" t="s">
        <v>1829</v>
      </c>
      <c r="C1119" t="s">
        <v>1826</v>
      </c>
      <c r="D1119" t="s">
        <v>1815</v>
      </c>
      <c r="E1119" t="s">
        <v>1810</v>
      </c>
      <c r="F1119" t="s">
        <v>1830</v>
      </c>
      <c r="G1119" t="s">
        <v>1782</v>
      </c>
      <c r="H1119" t="s">
        <v>1791</v>
      </c>
    </row>
    <row r="1120" spans="1:8" x14ac:dyDescent="0.25">
      <c r="A1120" t="s">
        <v>1839</v>
      </c>
      <c r="B1120" t="s">
        <v>1831</v>
      </c>
      <c r="C1120" t="s">
        <v>1827</v>
      </c>
      <c r="D1120" t="s">
        <v>1816</v>
      </c>
      <c r="E1120" t="s">
        <v>1811</v>
      </c>
      <c r="F1120" t="s">
        <v>1782</v>
      </c>
      <c r="G1120" t="s">
        <v>1785</v>
      </c>
      <c r="H1120" t="s">
        <v>1794</v>
      </c>
    </row>
    <row r="1121" spans="1:8" x14ac:dyDescent="0.25">
      <c r="A1121" t="s">
        <v>1840</v>
      </c>
      <c r="B1121" t="s">
        <v>1832</v>
      </c>
      <c r="C1121" t="s">
        <v>1828</v>
      </c>
      <c r="D1121" t="s">
        <v>1817</v>
      </c>
      <c r="E1121" t="s">
        <v>1813</v>
      </c>
      <c r="F1121" t="s">
        <v>1785</v>
      </c>
      <c r="G1121" t="s">
        <v>1787</v>
      </c>
      <c r="H1121" t="s">
        <v>1795</v>
      </c>
    </row>
    <row r="1122" spans="1:8" x14ac:dyDescent="0.25">
      <c r="A1122" t="s">
        <v>1841</v>
      </c>
      <c r="B1122" t="s">
        <v>1834</v>
      </c>
      <c r="C1122" t="s">
        <v>1829</v>
      </c>
      <c r="D1122" t="s">
        <v>1818</v>
      </c>
      <c r="E1122" t="s">
        <v>1814</v>
      </c>
      <c r="F1122" t="s">
        <v>1787</v>
      </c>
      <c r="G1122" t="s">
        <v>1788</v>
      </c>
      <c r="H1122" t="s">
        <v>1796</v>
      </c>
    </row>
    <row r="1123" spans="1:8" x14ac:dyDescent="0.25">
      <c r="A1123" t="s">
        <v>1842</v>
      </c>
      <c r="B1123" t="s">
        <v>1835</v>
      </c>
      <c r="C1123" t="s">
        <v>1831</v>
      </c>
      <c r="D1123" t="s">
        <v>1819</v>
      </c>
      <c r="E1123" t="s">
        <v>1815</v>
      </c>
      <c r="F1123" t="s">
        <v>1788</v>
      </c>
      <c r="G1123" t="s">
        <v>1789</v>
      </c>
      <c r="H1123" t="s">
        <v>1797</v>
      </c>
    </row>
    <row r="1124" spans="1:8" x14ac:dyDescent="0.25">
      <c r="A1124" t="s">
        <v>1843</v>
      </c>
      <c r="B1124" t="s">
        <v>1837</v>
      </c>
      <c r="C1124" t="s">
        <v>1832</v>
      </c>
      <c r="D1124" t="s">
        <v>1820</v>
      </c>
      <c r="E1124" t="s">
        <v>1816</v>
      </c>
      <c r="F1124" t="s">
        <v>1789</v>
      </c>
      <c r="G1124" t="s">
        <v>1791</v>
      </c>
      <c r="H1124" t="s">
        <v>1798</v>
      </c>
    </row>
    <row r="1125" spans="1:8" x14ac:dyDescent="0.25">
      <c r="A1125" t="s">
        <v>1844</v>
      </c>
      <c r="B1125" t="s">
        <v>1838</v>
      </c>
      <c r="C1125" t="s">
        <v>1834</v>
      </c>
      <c r="D1125" t="s">
        <v>1821</v>
      </c>
      <c r="E1125" t="s">
        <v>1817</v>
      </c>
      <c r="F1125" t="s">
        <v>1791</v>
      </c>
      <c r="G1125" t="s">
        <v>1794</v>
      </c>
      <c r="H1125" t="s">
        <v>1845</v>
      </c>
    </row>
    <row r="1126" spans="1:8" x14ac:dyDescent="0.25">
      <c r="A1126" t="s">
        <v>1846</v>
      </c>
      <c r="B1126" t="s">
        <v>1839</v>
      </c>
      <c r="C1126" t="s">
        <v>1835</v>
      </c>
      <c r="D1126" t="s">
        <v>1822</v>
      </c>
      <c r="E1126" t="s">
        <v>1818</v>
      </c>
      <c r="F1126" t="s">
        <v>1794</v>
      </c>
      <c r="G1126" t="s">
        <v>1795</v>
      </c>
      <c r="H1126" t="s">
        <v>1800</v>
      </c>
    </row>
    <row r="1127" spans="1:8" x14ac:dyDescent="0.25">
      <c r="A1127" t="s">
        <v>1847</v>
      </c>
      <c r="B1127" t="s">
        <v>1840</v>
      </c>
      <c r="C1127" t="s">
        <v>1837</v>
      </c>
      <c r="D1127" t="s">
        <v>1823</v>
      </c>
      <c r="E1127" t="s">
        <v>1819</v>
      </c>
      <c r="F1127" t="s">
        <v>1795</v>
      </c>
      <c r="G1127" t="s">
        <v>1796</v>
      </c>
      <c r="H1127" t="s">
        <v>1802</v>
      </c>
    </row>
    <row r="1128" spans="1:8" x14ac:dyDescent="0.25">
      <c r="A1128" t="s">
        <v>1848</v>
      </c>
      <c r="B1128" t="s">
        <v>1841</v>
      </c>
      <c r="C1128" t="s">
        <v>1838</v>
      </c>
      <c r="D1128" t="s">
        <v>1833</v>
      </c>
      <c r="E1128" t="s">
        <v>1820</v>
      </c>
      <c r="F1128" t="s">
        <v>1796</v>
      </c>
      <c r="G1128" t="s">
        <v>1797</v>
      </c>
      <c r="H1128" t="s">
        <v>1804</v>
      </c>
    </row>
    <row r="1129" spans="1:8" x14ac:dyDescent="0.25">
      <c r="A1129" t="s">
        <v>1849</v>
      </c>
      <c r="B1129" t="s">
        <v>1842</v>
      </c>
      <c r="C1129" t="s">
        <v>1839</v>
      </c>
      <c r="D1129" t="s">
        <v>1824</v>
      </c>
      <c r="E1129" t="s">
        <v>1821</v>
      </c>
      <c r="F1129" t="s">
        <v>1797</v>
      </c>
      <c r="G1129" t="s">
        <v>1798</v>
      </c>
      <c r="H1129" t="s">
        <v>1850</v>
      </c>
    </row>
    <row r="1130" spans="1:8" x14ac:dyDescent="0.25">
      <c r="A1130" t="s">
        <v>1851</v>
      </c>
      <c r="B1130" t="s">
        <v>1843</v>
      </c>
      <c r="C1130" t="s">
        <v>1840</v>
      </c>
      <c r="D1130" t="s">
        <v>1825</v>
      </c>
      <c r="E1130" t="s">
        <v>1822</v>
      </c>
      <c r="F1130" t="s">
        <v>1798</v>
      </c>
      <c r="G1130" t="s">
        <v>1800</v>
      </c>
      <c r="H1130" t="s">
        <v>1805</v>
      </c>
    </row>
    <row r="1131" spans="1:8" x14ac:dyDescent="0.25">
      <c r="A1131" t="s">
        <v>1852</v>
      </c>
      <c r="B1131" t="s">
        <v>1844</v>
      </c>
      <c r="C1131" t="s">
        <v>1841</v>
      </c>
      <c r="D1131" t="s">
        <v>1826</v>
      </c>
      <c r="E1131" t="s">
        <v>1823</v>
      </c>
      <c r="F1131" t="s">
        <v>1800</v>
      </c>
      <c r="G1131" t="s">
        <v>1802</v>
      </c>
      <c r="H1131" t="s">
        <v>1806</v>
      </c>
    </row>
    <row r="1132" spans="1:8" x14ac:dyDescent="0.25">
      <c r="A1132" t="s">
        <v>1853</v>
      </c>
      <c r="B1132" t="s">
        <v>1846</v>
      </c>
      <c r="C1132" t="s">
        <v>1842</v>
      </c>
      <c r="D1132" t="s">
        <v>1827</v>
      </c>
      <c r="E1132" t="s">
        <v>1833</v>
      </c>
      <c r="F1132" t="s">
        <v>1802</v>
      </c>
      <c r="G1132" t="s">
        <v>1804</v>
      </c>
      <c r="H1132" t="s">
        <v>1807</v>
      </c>
    </row>
    <row r="1133" spans="1:8" x14ac:dyDescent="0.25">
      <c r="A1133" t="s">
        <v>1854</v>
      </c>
      <c r="B1133" t="s">
        <v>1847</v>
      </c>
      <c r="C1133" t="s">
        <v>1843</v>
      </c>
      <c r="D1133" t="s">
        <v>1828</v>
      </c>
      <c r="E1133" t="s">
        <v>1824</v>
      </c>
      <c r="F1133" t="s">
        <v>1804</v>
      </c>
      <c r="G1133" t="s">
        <v>1850</v>
      </c>
      <c r="H1133" t="s">
        <v>1855</v>
      </c>
    </row>
    <row r="1134" spans="1:8" x14ac:dyDescent="0.25">
      <c r="A1134" t="s">
        <v>1856</v>
      </c>
      <c r="B1134" t="s">
        <v>1848</v>
      </c>
      <c r="C1134" t="s">
        <v>1844</v>
      </c>
      <c r="D1134" t="s">
        <v>1857</v>
      </c>
      <c r="E1134" t="s">
        <v>1825</v>
      </c>
      <c r="F1134" t="s">
        <v>1850</v>
      </c>
      <c r="G1134" t="s">
        <v>1805</v>
      </c>
      <c r="H1134" t="s">
        <v>1808</v>
      </c>
    </row>
    <row r="1135" spans="1:8" x14ac:dyDescent="0.25">
      <c r="A1135" t="s">
        <v>1858</v>
      </c>
      <c r="B1135" t="s">
        <v>1849</v>
      </c>
      <c r="C1135" t="s">
        <v>1846</v>
      </c>
      <c r="D1135" t="s">
        <v>1829</v>
      </c>
      <c r="E1135" t="s">
        <v>1826</v>
      </c>
      <c r="F1135" t="s">
        <v>1805</v>
      </c>
      <c r="G1135" t="s">
        <v>1806</v>
      </c>
      <c r="H1135" t="s">
        <v>1810</v>
      </c>
    </row>
    <row r="1136" spans="1:8" x14ac:dyDescent="0.25">
      <c r="A1136" t="s">
        <v>1859</v>
      </c>
      <c r="B1136" t="s">
        <v>1851</v>
      </c>
      <c r="C1136" t="s">
        <v>1847</v>
      </c>
      <c r="D1136" t="s">
        <v>1831</v>
      </c>
      <c r="E1136" t="s">
        <v>1827</v>
      </c>
      <c r="F1136" t="s">
        <v>1806</v>
      </c>
      <c r="G1136" t="s">
        <v>1807</v>
      </c>
      <c r="H1136" t="s">
        <v>1811</v>
      </c>
    </row>
    <row r="1137" spans="1:8" x14ac:dyDescent="0.25">
      <c r="A1137" t="s">
        <v>1860</v>
      </c>
      <c r="B1137" t="s">
        <v>1852</v>
      </c>
      <c r="C1137" t="s">
        <v>1848</v>
      </c>
      <c r="D1137" t="s">
        <v>1832</v>
      </c>
      <c r="E1137" t="s">
        <v>1828</v>
      </c>
      <c r="F1137" t="s">
        <v>1807</v>
      </c>
      <c r="G1137" t="s">
        <v>1855</v>
      </c>
      <c r="H1137" t="s">
        <v>1861</v>
      </c>
    </row>
    <row r="1138" spans="1:8" x14ac:dyDescent="0.25">
      <c r="A1138" t="s">
        <v>1862</v>
      </c>
      <c r="B1138" t="s">
        <v>1853</v>
      </c>
      <c r="C1138" t="s">
        <v>1849</v>
      </c>
      <c r="D1138" t="s">
        <v>1834</v>
      </c>
      <c r="E1138" t="s">
        <v>1829</v>
      </c>
      <c r="F1138" t="s">
        <v>1855</v>
      </c>
      <c r="G1138" t="s">
        <v>1808</v>
      </c>
      <c r="H1138" t="s">
        <v>1813</v>
      </c>
    </row>
    <row r="1139" spans="1:8" x14ac:dyDescent="0.25">
      <c r="A1139" t="s">
        <v>1863</v>
      </c>
      <c r="B1139" t="s">
        <v>1854</v>
      </c>
      <c r="C1139" t="s">
        <v>1851</v>
      </c>
      <c r="D1139" t="s">
        <v>1835</v>
      </c>
      <c r="E1139" t="s">
        <v>1831</v>
      </c>
      <c r="F1139" t="s">
        <v>1808</v>
      </c>
      <c r="G1139" t="s">
        <v>1810</v>
      </c>
      <c r="H1139" t="s">
        <v>1814</v>
      </c>
    </row>
    <row r="1140" spans="1:8" x14ac:dyDescent="0.25">
      <c r="A1140" t="s">
        <v>1864</v>
      </c>
      <c r="B1140" t="s">
        <v>1856</v>
      </c>
      <c r="C1140" t="s">
        <v>1852</v>
      </c>
      <c r="D1140" t="s">
        <v>1837</v>
      </c>
      <c r="E1140" t="s">
        <v>1832</v>
      </c>
      <c r="F1140" t="s">
        <v>1810</v>
      </c>
      <c r="G1140" t="s">
        <v>1811</v>
      </c>
      <c r="H1140" t="s">
        <v>1815</v>
      </c>
    </row>
    <row r="1141" spans="1:8" x14ac:dyDescent="0.25">
      <c r="A1141" t="s">
        <v>1865</v>
      </c>
      <c r="B1141" t="s">
        <v>1858</v>
      </c>
      <c r="C1141" t="s">
        <v>1853</v>
      </c>
      <c r="D1141" t="s">
        <v>1838</v>
      </c>
      <c r="E1141" t="s">
        <v>1834</v>
      </c>
      <c r="F1141" t="s">
        <v>1811</v>
      </c>
      <c r="G1141" t="s">
        <v>1813</v>
      </c>
      <c r="H1141" t="s">
        <v>1866</v>
      </c>
    </row>
    <row r="1142" spans="1:8" x14ac:dyDescent="0.25">
      <c r="A1142" t="s">
        <v>1867</v>
      </c>
      <c r="B1142" t="s">
        <v>1859</v>
      </c>
      <c r="C1142" t="s">
        <v>1854</v>
      </c>
      <c r="D1142" t="s">
        <v>1839</v>
      </c>
      <c r="E1142" t="s">
        <v>1835</v>
      </c>
      <c r="F1142" t="s">
        <v>1813</v>
      </c>
      <c r="G1142" t="s">
        <v>1814</v>
      </c>
      <c r="H1142" t="s">
        <v>1816</v>
      </c>
    </row>
    <row r="1143" spans="1:8" x14ac:dyDescent="0.25">
      <c r="A1143" t="s">
        <v>1868</v>
      </c>
      <c r="B1143" t="s">
        <v>1860</v>
      </c>
      <c r="C1143" t="s">
        <v>1856</v>
      </c>
      <c r="D1143" t="s">
        <v>1840</v>
      </c>
      <c r="E1143" t="s">
        <v>1837</v>
      </c>
      <c r="F1143" t="s">
        <v>1814</v>
      </c>
      <c r="G1143" t="s">
        <v>1815</v>
      </c>
      <c r="H1143" t="s">
        <v>1817</v>
      </c>
    </row>
    <row r="1144" spans="1:8" x14ac:dyDescent="0.25">
      <c r="A1144" t="s">
        <v>1869</v>
      </c>
      <c r="B1144" t="s">
        <v>1862</v>
      </c>
      <c r="C1144" t="s">
        <v>1858</v>
      </c>
      <c r="D1144" t="s">
        <v>1841</v>
      </c>
      <c r="E1144" t="s">
        <v>1838</v>
      </c>
      <c r="F1144" t="s">
        <v>1815</v>
      </c>
      <c r="G1144" t="s">
        <v>1816</v>
      </c>
      <c r="H1144" t="s">
        <v>1818</v>
      </c>
    </row>
    <row r="1145" spans="1:8" x14ac:dyDescent="0.25">
      <c r="A1145" t="s">
        <v>1870</v>
      </c>
      <c r="B1145" t="s">
        <v>1863</v>
      </c>
      <c r="C1145" t="s">
        <v>1859</v>
      </c>
      <c r="D1145" t="s">
        <v>1842</v>
      </c>
      <c r="E1145" t="s">
        <v>1839</v>
      </c>
      <c r="F1145" t="s">
        <v>1816</v>
      </c>
      <c r="G1145" t="s">
        <v>1817</v>
      </c>
      <c r="H1145" t="s">
        <v>1819</v>
      </c>
    </row>
    <row r="1146" spans="1:8" x14ac:dyDescent="0.25">
      <c r="A1146" t="s">
        <v>1871</v>
      </c>
      <c r="B1146" t="s">
        <v>1864</v>
      </c>
      <c r="C1146" t="s">
        <v>1860</v>
      </c>
      <c r="D1146" t="s">
        <v>1843</v>
      </c>
      <c r="E1146" t="s">
        <v>1840</v>
      </c>
      <c r="F1146" t="s">
        <v>1817</v>
      </c>
      <c r="G1146" t="s">
        <v>1818</v>
      </c>
      <c r="H1146" t="s">
        <v>1820</v>
      </c>
    </row>
    <row r="1147" spans="1:8" x14ac:dyDescent="0.25">
      <c r="A1147" t="s">
        <v>1872</v>
      </c>
      <c r="B1147" t="s">
        <v>1873</v>
      </c>
      <c r="C1147" t="s">
        <v>1862</v>
      </c>
      <c r="D1147" t="s">
        <v>1844</v>
      </c>
      <c r="E1147" t="s">
        <v>1841</v>
      </c>
      <c r="F1147" t="s">
        <v>1818</v>
      </c>
      <c r="G1147" t="s">
        <v>1819</v>
      </c>
      <c r="H1147" t="s">
        <v>1821</v>
      </c>
    </row>
    <row r="1148" spans="1:8" x14ac:dyDescent="0.25">
      <c r="A1148" t="s">
        <v>1874</v>
      </c>
      <c r="B1148" t="s">
        <v>1865</v>
      </c>
      <c r="C1148" t="s">
        <v>1863</v>
      </c>
      <c r="D1148" t="s">
        <v>1846</v>
      </c>
      <c r="E1148" t="s">
        <v>1842</v>
      </c>
      <c r="F1148" t="s">
        <v>1819</v>
      </c>
      <c r="G1148" t="s">
        <v>1820</v>
      </c>
      <c r="H1148" t="s">
        <v>1822</v>
      </c>
    </row>
    <row r="1149" spans="1:8" x14ac:dyDescent="0.25">
      <c r="A1149" t="s">
        <v>1875</v>
      </c>
      <c r="B1149" t="s">
        <v>1867</v>
      </c>
      <c r="C1149" t="s">
        <v>1864</v>
      </c>
      <c r="D1149" t="s">
        <v>1847</v>
      </c>
      <c r="E1149" t="s">
        <v>1843</v>
      </c>
      <c r="F1149" t="s">
        <v>1820</v>
      </c>
      <c r="G1149" t="s">
        <v>1821</v>
      </c>
      <c r="H1149" t="s">
        <v>1823</v>
      </c>
    </row>
    <row r="1150" spans="1:8" x14ac:dyDescent="0.25">
      <c r="A1150" t="s">
        <v>1876</v>
      </c>
      <c r="B1150" t="s">
        <v>1868</v>
      </c>
      <c r="C1150" t="s">
        <v>1873</v>
      </c>
      <c r="D1150" t="s">
        <v>1848</v>
      </c>
      <c r="E1150" t="s">
        <v>1844</v>
      </c>
      <c r="F1150" t="s">
        <v>1821</v>
      </c>
      <c r="G1150" t="s">
        <v>1822</v>
      </c>
      <c r="H1150" t="s">
        <v>1833</v>
      </c>
    </row>
    <row r="1151" spans="1:8" x14ac:dyDescent="0.25">
      <c r="A1151" t="s">
        <v>1877</v>
      </c>
      <c r="B1151" t="s">
        <v>1869</v>
      </c>
      <c r="C1151" t="s">
        <v>1865</v>
      </c>
      <c r="D1151" t="s">
        <v>1849</v>
      </c>
      <c r="E1151" t="s">
        <v>1846</v>
      </c>
      <c r="F1151" t="s">
        <v>1822</v>
      </c>
      <c r="G1151" t="s">
        <v>1823</v>
      </c>
      <c r="H1151" t="s">
        <v>1824</v>
      </c>
    </row>
    <row r="1152" spans="1:8" x14ac:dyDescent="0.25">
      <c r="A1152" t="s">
        <v>1878</v>
      </c>
      <c r="B1152" t="s">
        <v>1870</v>
      </c>
      <c r="C1152" t="s">
        <v>1867</v>
      </c>
      <c r="D1152" t="s">
        <v>1851</v>
      </c>
      <c r="E1152" t="s">
        <v>1847</v>
      </c>
      <c r="F1152" t="s">
        <v>1823</v>
      </c>
      <c r="G1152" t="s">
        <v>1833</v>
      </c>
      <c r="H1152" t="s">
        <v>1825</v>
      </c>
    </row>
    <row r="1153" spans="1:8" x14ac:dyDescent="0.25">
      <c r="A1153" t="s">
        <v>1879</v>
      </c>
      <c r="B1153" t="s">
        <v>1871</v>
      </c>
      <c r="C1153" t="s">
        <v>1868</v>
      </c>
      <c r="D1153" t="s">
        <v>1852</v>
      </c>
      <c r="E1153" t="s">
        <v>1848</v>
      </c>
      <c r="F1153" t="s">
        <v>1833</v>
      </c>
      <c r="G1153" t="s">
        <v>1824</v>
      </c>
      <c r="H1153" t="s">
        <v>1826</v>
      </c>
    </row>
    <row r="1154" spans="1:8" x14ac:dyDescent="0.25">
      <c r="A1154" t="s">
        <v>1880</v>
      </c>
      <c r="B1154" t="s">
        <v>1872</v>
      </c>
      <c r="C1154" t="s">
        <v>1869</v>
      </c>
      <c r="D1154" t="s">
        <v>1853</v>
      </c>
      <c r="E1154" t="s">
        <v>1849</v>
      </c>
      <c r="F1154" t="s">
        <v>1824</v>
      </c>
      <c r="G1154" t="s">
        <v>1825</v>
      </c>
      <c r="H1154" t="s">
        <v>1838</v>
      </c>
    </row>
    <row r="1155" spans="1:8" x14ac:dyDescent="0.25">
      <c r="A1155" t="s">
        <v>1881</v>
      </c>
      <c r="B1155" t="s">
        <v>1874</v>
      </c>
      <c r="C1155" t="s">
        <v>1870</v>
      </c>
      <c r="D1155" t="s">
        <v>1854</v>
      </c>
      <c r="E1155" t="s">
        <v>1851</v>
      </c>
      <c r="F1155" t="s">
        <v>1882</v>
      </c>
      <c r="G1155" t="s">
        <v>1826</v>
      </c>
      <c r="H1155" t="s">
        <v>1839</v>
      </c>
    </row>
    <row r="1156" spans="1:8" x14ac:dyDescent="0.25">
      <c r="A1156" t="s">
        <v>1883</v>
      </c>
      <c r="B1156" t="s">
        <v>1875</v>
      </c>
      <c r="C1156" t="s">
        <v>1871</v>
      </c>
      <c r="D1156" t="s">
        <v>1856</v>
      </c>
      <c r="E1156" t="s">
        <v>1852</v>
      </c>
      <c r="F1156" t="s">
        <v>1825</v>
      </c>
      <c r="G1156" t="s">
        <v>1838</v>
      </c>
      <c r="H1156" t="s">
        <v>1840</v>
      </c>
    </row>
    <row r="1157" spans="1:8" x14ac:dyDescent="0.25">
      <c r="A1157" t="s">
        <v>1884</v>
      </c>
      <c r="B1157" t="s">
        <v>1876</v>
      </c>
      <c r="C1157" t="s">
        <v>1872</v>
      </c>
      <c r="D1157" t="s">
        <v>1858</v>
      </c>
      <c r="E1157" t="s">
        <v>1853</v>
      </c>
      <c r="F1157" t="s">
        <v>1826</v>
      </c>
      <c r="G1157" t="s">
        <v>1839</v>
      </c>
      <c r="H1157" t="s">
        <v>1841</v>
      </c>
    </row>
    <row r="1158" spans="1:8" x14ac:dyDescent="0.25">
      <c r="A1158" t="s">
        <v>1885</v>
      </c>
      <c r="B1158" t="s">
        <v>1877</v>
      </c>
      <c r="C1158" t="s">
        <v>1874</v>
      </c>
      <c r="D1158" t="s">
        <v>1859</v>
      </c>
      <c r="E1158" t="s">
        <v>1854</v>
      </c>
      <c r="F1158" t="s">
        <v>1829</v>
      </c>
      <c r="G1158" t="s">
        <v>1840</v>
      </c>
      <c r="H1158" t="s">
        <v>1842</v>
      </c>
    </row>
    <row r="1159" spans="1:8" x14ac:dyDescent="0.25">
      <c r="A1159" t="s">
        <v>1886</v>
      </c>
      <c r="B1159" t="s">
        <v>1878</v>
      </c>
      <c r="C1159" t="s">
        <v>1875</v>
      </c>
      <c r="D1159" t="s">
        <v>1860</v>
      </c>
      <c r="E1159" t="s">
        <v>1856</v>
      </c>
      <c r="F1159" t="s">
        <v>1831</v>
      </c>
      <c r="G1159" t="s">
        <v>1841</v>
      </c>
      <c r="H1159" t="s">
        <v>1843</v>
      </c>
    </row>
    <row r="1160" spans="1:8" x14ac:dyDescent="0.25">
      <c r="A1160" t="s">
        <v>1887</v>
      </c>
      <c r="B1160" t="s">
        <v>1879</v>
      </c>
      <c r="C1160" t="s">
        <v>1876</v>
      </c>
      <c r="D1160" t="s">
        <v>1862</v>
      </c>
      <c r="E1160" t="s">
        <v>1858</v>
      </c>
      <c r="F1160" t="s">
        <v>1832</v>
      </c>
      <c r="G1160" t="s">
        <v>1842</v>
      </c>
      <c r="H1160" t="s">
        <v>1844</v>
      </c>
    </row>
    <row r="1161" spans="1:8" x14ac:dyDescent="0.25">
      <c r="A1161" t="s">
        <v>1888</v>
      </c>
      <c r="B1161" t="s">
        <v>1880</v>
      </c>
      <c r="C1161" t="s">
        <v>1877</v>
      </c>
      <c r="D1161" t="s">
        <v>1863</v>
      </c>
      <c r="E1161" t="s">
        <v>1859</v>
      </c>
      <c r="F1161" t="s">
        <v>1834</v>
      </c>
      <c r="G1161" t="s">
        <v>1843</v>
      </c>
      <c r="H1161" t="s">
        <v>1846</v>
      </c>
    </row>
    <row r="1162" spans="1:8" x14ac:dyDescent="0.25">
      <c r="A1162" t="s">
        <v>1889</v>
      </c>
      <c r="B1162" t="s">
        <v>1881</v>
      </c>
      <c r="C1162" t="s">
        <v>1878</v>
      </c>
      <c r="D1162" t="s">
        <v>1864</v>
      </c>
      <c r="E1162" t="s">
        <v>1860</v>
      </c>
      <c r="F1162" t="s">
        <v>1835</v>
      </c>
      <c r="G1162" t="s">
        <v>1844</v>
      </c>
      <c r="H1162" t="s">
        <v>1847</v>
      </c>
    </row>
    <row r="1163" spans="1:8" x14ac:dyDescent="0.25">
      <c r="A1163" t="s">
        <v>1890</v>
      </c>
      <c r="B1163" t="s">
        <v>1883</v>
      </c>
      <c r="C1163" t="s">
        <v>1879</v>
      </c>
      <c r="D1163" t="s">
        <v>1873</v>
      </c>
      <c r="E1163" t="s">
        <v>1862</v>
      </c>
      <c r="F1163" t="s">
        <v>1837</v>
      </c>
      <c r="G1163" t="s">
        <v>1846</v>
      </c>
      <c r="H1163" t="s">
        <v>1848</v>
      </c>
    </row>
    <row r="1164" spans="1:8" x14ac:dyDescent="0.25">
      <c r="A1164" t="s">
        <v>1891</v>
      </c>
      <c r="B1164" t="s">
        <v>1884</v>
      </c>
      <c r="C1164" t="s">
        <v>1880</v>
      </c>
      <c r="D1164" t="s">
        <v>1865</v>
      </c>
      <c r="E1164" t="s">
        <v>1863</v>
      </c>
      <c r="F1164" t="s">
        <v>1838</v>
      </c>
      <c r="G1164" t="s">
        <v>1847</v>
      </c>
      <c r="H1164" t="s">
        <v>1849</v>
      </c>
    </row>
    <row r="1165" spans="1:8" x14ac:dyDescent="0.25">
      <c r="A1165" t="s">
        <v>1892</v>
      </c>
      <c r="B1165" t="s">
        <v>1885</v>
      </c>
      <c r="C1165" t="s">
        <v>1881</v>
      </c>
      <c r="D1165" t="s">
        <v>1867</v>
      </c>
      <c r="E1165" t="s">
        <v>1864</v>
      </c>
      <c r="F1165" t="s">
        <v>1839</v>
      </c>
      <c r="G1165" t="s">
        <v>1848</v>
      </c>
      <c r="H1165" t="s">
        <v>1851</v>
      </c>
    </row>
    <row r="1166" spans="1:8" x14ac:dyDescent="0.25">
      <c r="A1166" t="s">
        <v>1893</v>
      </c>
      <c r="B1166" t="s">
        <v>1886</v>
      </c>
      <c r="C1166" t="s">
        <v>1883</v>
      </c>
      <c r="D1166" t="s">
        <v>1868</v>
      </c>
      <c r="E1166" t="s">
        <v>1873</v>
      </c>
      <c r="F1166" t="s">
        <v>1840</v>
      </c>
      <c r="G1166" t="s">
        <v>1849</v>
      </c>
      <c r="H1166" t="s">
        <v>1852</v>
      </c>
    </row>
    <row r="1167" spans="1:8" x14ac:dyDescent="0.25">
      <c r="A1167" t="s">
        <v>1894</v>
      </c>
      <c r="B1167" t="s">
        <v>1887</v>
      </c>
      <c r="C1167" t="s">
        <v>1884</v>
      </c>
      <c r="D1167" t="s">
        <v>1895</v>
      </c>
      <c r="E1167" t="s">
        <v>1865</v>
      </c>
      <c r="F1167" t="s">
        <v>1841</v>
      </c>
      <c r="G1167" t="s">
        <v>1851</v>
      </c>
      <c r="H1167" t="s">
        <v>1853</v>
      </c>
    </row>
    <row r="1168" spans="1:8" x14ac:dyDescent="0.25">
      <c r="A1168" t="s">
        <v>1896</v>
      </c>
      <c r="B1168" t="s">
        <v>1888</v>
      </c>
      <c r="C1168" t="s">
        <v>1885</v>
      </c>
      <c r="D1168" t="s">
        <v>1869</v>
      </c>
      <c r="E1168" t="s">
        <v>1867</v>
      </c>
      <c r="F1168" t="s">
        <v>1842</v>
      </c>
      <c r="G1168" t="s">
        <v>1852</v>
      </c>
      <c r="H1168" t="s">
        <v>1854</v>
      </c>
    </row>
    <row r="1169" spans="1:8" x14ac:dyDescent="0.25">
      <c r="A1169" t="s">
        <v>1897</v>
      </c>
      <c r="B1169" t="s">
        <v>1889</v>
      </c>
      <c r="C1169" t="s">
        <v>1886</v>
      </c>
      <c r="D1169" t="s">
        <v>1870</v>
      </c>
      <c r="E1169" t="s">
        <v>1868</v>
      </c>
      <c r="F1169" t="s">
        <v>1843</v>
      </c>
      <c r="G1169" t="s">
        <v>1853</v>
      </c>
      <c r="H1169" t="s">
        <v>1856</v>
      </c>
    </row>
    <row r="1170" spans="1:8" x14ac:dyDescent="0.25">
      <c r="A1170" t="s">
        <v>1898</v>
      </c>
      <c r="B1170" t="s">
        <v>1890</v>
      </c>
      <c r="C1170" t="s">
        <v>1887</v>
      </c>
      <c r="D1170" t="s">
        <v>1871</v>
      </c>
      <c r="E1170" t="s">
        <v>1869</v>
      </c>
      <c r="F1170" t="s">
        <v>1844</v>
      </c>
      <c r="G1170" t="s">
        <v>1854</v>
      </c>
      <c r="H1170" t="s">
        <v>1858</v>
      </c>
    </row>
    <row r="1171" spans="1:8" x14ac:dyDescent="0.25">
      <c r="A1171" t="s">
        <v>1899</v>
      </c>
      <c r="B1171" t="s">
        <v>1891</v>
      </c>
      <c r="C1171" t="s">
        <v>1888</v>
      </c>
      <c r="D1171" t="s">
        <v>1872</v>
      </c>
      <c r="E1171" t="s">
        <v>1870</v>
      </c>
      <c r="F1171" t="s">
        <v>1846</v>
      </c>
      <c r="G1171" t="s">
        <v>1856</v>
      </c>
      <c r="H1171" t="s">
        <v>1859</v>
      </c>
    </row>
    <row r="1172" spans="1:8" x14ac:dyDescent="0.25">
      <c r="A1172" t="s">
        <v>1900</v>
      </c>
      <c r="B1172" t="s">
        <v>1892</v>
      </c>
      <c r="C1172" t="s">
        <v>1889</v>
      </c>
      <c r="D1172" t="s">
        <v>1874</v>
      </c>
      <c r="E1172" t="s">
        <v>1871</v>
      </c>
      <c r="F1172" t="s">
        <v>1847</v>
      </c>
      <c r="G1172" t="s">
        <v>1858</v>
      </c>
      <c r="H1172" t="s">
        <v>1860</v>
      </c>
    </row>
    <row r="1173" spans="1:8" x14ac:dyDescent="0.25">
      <c r="A1173" t="s">
        <v>1901</v>
      </c>
      <c r="B1173" t="s">
        <v>1893</v>
      </c>
      <c r="C1173" t="s">
        <v>1890</v>
      </c>
      <c r="D1173" t="s">
        <v>1875</v>
      </c>
      <c r="E1173" t="s">
        <v>1872</v>
      </c>
      <c r="F1173" t="s">
        <v>1848</v>
      </c>
      <c r="G1173" t="s">
        <v>1859</v>
      </c>
      <c r="H1173" t="s">
        <v>1862</v>
      </c>
    </row>
    <row r="1174" spans="1:8" x14ac:dyDescent="0.25">
      <c r="A1174" t="s">
        <v>1902</v>
      </c>
      <c r="B1174" t="s">
        <v>1894</v>
      </c>
      <c r="C1174" t="s">
        <v>1891</v>
      </c>
      <c r="D1174" t="s">
        <v>1876</v>
      </c>
      <c r="E1174" t="s">
        <v>1874</v>
      </c>
      <c r="F1174" t="s">
        <v>1849</v>
      </c>
      <c r="G1174" t="s">
        <v>1860</v>
      </c>
      <c r="H1174" t="s">
        <v>1863</v>
      </c>
    </row>
    <row r="1175" spans="1:8" x14ac:dyDescent="0.25">
      <c r="A1175" t="s">
        <v>1903</v>
      </c>
      <c r="B1175" t="s">
        <v>1896</v>
      </c>
      <c r="C1175" t="s">
        <v>1892</v>
      </c>
      <c r="D1175" t="s">
        <v>1877</v>
      </c>
      <c r="E1175" t="s">
        <v>1875</v>
      </c>
      <c r="F1175" t="s">
        <v>1851</v>
      </c>
      <c r="G1175" t="s">
        <v>1862</v>
      </c>
      <c r="H1175" t="s">
        <v>1864</v>
      </c>
    </row>
    <row r="1176" spans="1:8" x14ac:dyDescent="0.25">
      <c r="A1176" t="s">
        <v>1904</v>
      </c>
      <c r="B1176" t="s">
        <v>1897</v>
      </c>
      <c r="C1176" t="s">
        <v>1893</v>
      </c>
      <c r="D1176" t="s">
        <v>1878</v>
      </c>
      <c r="E1176" t="s">
        <v>1876</v>
      </c>
      <c r="F1176" t="s">
        <v>1852</v>
      </c>
      <c r="G1176" t="s">
        <v>1863</v>
      </c>
      <c r="H1176" t="s">
        <v>1873</v>
      </c>
    </row>
    <row r="1177" spans="1:8" x14ac:dyDescent="0.25">
      <c r="A1177" t="s">
        <v>1905</v>
      </c>
      <c r="B1177" t="s">
        <v>1898</v>
      </c>
      <c r="C1177" t="s">
        <v>1894</v>
      </c>
      <c r="D1177" t="s">
        <v>1879</v>
      </c>
      <c r="E1177" t="s">
        <v>1877</v>
      </c>
      <c r="F1177" t="s">
        <v>1853</v>
      </c>
      <c r="G1177" t="s">
        <v>1864</v>
      </c>
      <c r="H1177" t="s">
        <v>1865</v>
      </c>
    </row>
    <row r="1178" spans="1:8" x14ac:dyDescent="0.25">
      <c r="A1178" t="s">
        <v>1906</v>
      </c>
      <c r="B1178" t="s">
        <v>1899</v>
      </c>
      <c r="C1178" t="s">
        <v>1896</v>
      </c>
      <c r="D1178" t="s">
        <v>1880</v>
      </c>
      <c r="E1178" t="s">
        <v>1878</v>
      </c>
      <c r="F1178" t="s">
        <v>1854</v>
      </c>
      <c r="G1178" t="s">
        <v>1865</v>
      </c>
      <c r="H1178" t="s">
        <v>1867</v>
      </c>
    </row>
    <row r="1179" spans="1:8" x14ac:dyDescent="0.25">
      <c r="A1179" t="s">
        <v>1907</v>
      </c>
      <c r="B1179" t="s">
        <v>1900</v>
      </c>
      <c r="C1179" t="s">
        <v>1897</v>
      </c>
      <c r="D1179" t="s">
        <v>1881</v>
      </c>
      <c r="E1179" t="s">
        <v>1879</v>
      </c>
      <c r="F1179" t="s">
        <v>1856</v>
      </c>
      <c r="G1179" t="s">
        <v>1867</v>
      </c>
      <c r="H1179" t="s">
        <v>1868</v>
      </c>
    </row>
    <row r="1180" spans="1:8" x14ac:dyDescent="0.25">
      <c r="A1180" t="s">
        <v>1908</v>
      </c>
      <c r="B1180" t="s">
        <v>1901</v>
      </c>
      <c r="C1180" t="s">
        <v>1909</v>
      </c>
      <c r="D1180" t="s">
        <v>1883</v>
      </c>
      <c r="E1180" t="s">
        <v>1880</v>
      </c>
      <c r="F1180" t="s">
        <v>1858</v>
      </c>
      <c r="G1180" t="s">
        <v>1868</v>
      </c>
      <c r="H1180" t="s">
        <v>1910</v>
      </c>
    </row>
    <row r="1181" spans="1:8" x14ac:dyDescent="0.25">
      <c r="A1181" t="s">
        <v>1911</v>
      </c>
      <c r="B1181" t="s">
        <v>1902</v>
      </c>
      <c r="C1181" t="s">
        <v>1901</v>
      </c>
      <c r="D1181" t="s">
        <v>1884</v>
      </c>
      <c r="E1181" t="s">
        <v>1881</v>
      </c>
      <c r="F1181" t="s">
        <v>1859</v>
      </c>
      <c r="G1181" t="s">
        <v>1869</v>
      </c>
      <c r="H1181" t="s">
        <v>1869</v>
      </c>
    </row>
    <row r="1182" spans="1:8" x14ac:dyDescent="0.25">
      <c r="A1182" t="s">
        <v>1912</v>
      </c>
      <c r="B1182" t="s">
        <v>1903</v>
      </c>
      <c r="C1182" t="s">
        <v>1902</v>
      </c>
      <c r="D1182" t="s">
        <v>1885</v>
      </c>
      <c r="E1182" t="s">
        <v>1883</v>
      </c>
      <c r="F1182" t="s">
        <v>1860</v>
      </c>
      <c r="G1182" t="s">
        <v>1870</v>
      </c>
      <c r="H1182" t="s">
        <v>1870</v>
      </c>
    </row>
    <row r="1183" spans="1:8" x14ac:dyDescent="0.25">
      <c r="A1183" t="s">
        <v>1913</v>
      </c>
      <c r="B1183" t="s">
        <v>1904</v>
      </c>
      <c r="C1183" t="s">
        <v>1903</v>
      </c>
      <c r="D1183" t="s">
        <v>1886</v>
      </c>
      <c r="E1183" t="s">
        <v>1884</v>
      </c>
      <c r="F1183" t="s">
        <v>1862</v>
      </c>
      <c r="G1183" t="s">
        <v>1871</v>
      </c>
      <c r="H1183" t="s">
        <v>1871</v>
      </c>
    </row>
    <row r="1184" spans="1:8" x14ac:dyDescent="0.25">
      <c r="A1184" t="s">
        <v>1914</v>
      </c>
      <c r="B1184" t="s">
        <v>1905</v>
      </c>
      <c r="C1184" t="s">
        <v>1904</v>
      </c>
      <c r="D1184" t="s">
        <v>1887</v>
      </c>
      <c r="E1184" t="s">
        <v>1885</v>
      </c>
      <c r="F1184" t="s">
        <v>1863</v>
      </c>
      <c r="G1184" t="s">
        <v>1872</v>
      </c>
      <c r="H1184" t="s">
        <v>1872</v>
      </c>
    </row>
    <row r="1185" spans="1:8" x14ac:dyDescent="0.25">
      <c r="A1185" t="s">
        <v>1915</v>
      </c>
      <c r="B1185" t="s">
        <v>1906</v>
      </c>
      <c r="C1185" t="s">
        <v>1905</v>
      </c>
      <c r="D1185" t="s">
        <v>1888</v>
      </c>
      <c r="E1185" t="s">
        <v>1886</v>
      </c>
      <c r="F1185" t="s">
        <v>1864</v>
      </c>
      <c r="G1185" t="s">
        <v>1874</v>
      </c>
      <c r="H1185" t="s">
        <v>1874</v>
      </c>
    </row>
    <row r="1186" spans="1:8" x14ac:dyDescent="0.25">
      <c r="A1186" t="s">
        <v>1916</v>
      </c>
      <c r="B1186" t="s">
        <v>1907</v>
      </c>
      <c r="C1186" t="s">
        <v>1906</v>
      </c>
      <c r="D1186" t="s">
        <v>1889</v>
      </c>
      <c r="E1186" t="s">
        <v>1887</v>
      </c>
      <c r="F1186" t="s">
        <v>1865</v>
      </c>
      <c r="G1186" t="s">
        <v>1875</v>
      </c>
      <c r="H1186" t="s">
        <v>1875</v>
      </c>
    </row>
    <row r="1187" spans="1:8" x14ac:dyDescent="0.25">
      <c r="A1187" t="s">
        <v>1917</v>
      </c>
      <c r="B1187" t="s">
        <v>1908</v>
      </c>
      <c r="C1187" t="s">
        <v>1907</v>
      </c>
      <c r="D1187" t="s">
        <v>1890</v>
      </c>
      <c r="E1187" t="s">
        <v>1888</v>
      </c>
      <c r="F1187" t="s">
        <v>1867</v>
      </c>
      <c r="G1187" t="s">
        <v>1876</v>
      </c>
      <c r="H1187" t="s">
        <v>1876</v>
      </c>
    </row>
    <row r="1188" spans="1:8" x14ac:dyDescent="0.25">
      <c r="A1188" t="s">
        <v>1918</v>
      </c>
      <c r="B1188" t="s">
        <v>1911</v>
      </c>
      <c r="C1188" t="s">
        <v>1908</v>
      </c>
      <c r="D1188" t="s">
        <v>1891</v>
      </c>
      <c r="E1188" t="s">
        <v>1889</v>
      </c>
      <c r="F1188" t="s">
        <v>1869</v>
      </c>
      <c r="G1188" t="s">
        <v>1877</v>
      </c>
      <c r="H1188" t="s">
        <v>1877</v>
      </c>
    </row>
    <row r="1189" spans="1:8" x14ac:dyDescent="0.25">
      <c r="A1189" t="s">
        <v>1919</v>
      </c>
      <c r="B1189" t="s">
        <v>1912</v>
      </c>
      <c r="C1189" t="s">
        <v>1911</v>
      </c>
      <c r="D1189" t="s">
        <v>1892</v>
      </c>
      <c r="E1189" t="s">
        <v>1890</v>
      </c>
      <c r="F1189" t="s">
        <v>1870</v>
      </c>
      <c r="G1189" t="s">
        <v>1878</v>
      </c>
      <c r="H1189" t="s">
        <v>1878</v>
      </c>
    </row>
    <row r="1190" spans="1:8" x14ac:dyDescent="0.25">
      <c r="A1190" t="s">
        <v>1920</v>
      </c>
      <c r="B1190" t="s">
        <v>1913</v>
      </c>
      <c r="C1190" t="s">
        <v>1912</v>
      </c>
      <c r="D1190" t="s">
        <v>1893</v>
      </c>
      <c r="E1190" t="s">
        <v>1891</v>
      </c>
      <c r="F1190" t="s">
        <v>1871</v>
      </c>
      <c r="G1190" t="s">
        <v>1879</v>
      </c>
      <c r="H1190" t="s">
        <v>1879</v>
      </c>
    </row>
    <row r="1191" spans="1:8" x14ac:dyDescent="0.25">
      <c r="A1191" t="s">
        <v>1921</v>
      </c>
      <c r="B1191" t="s">
        <v>1914</v>
      </c>
      <c r="C1191" t="s">
        <v>1913</v>
      </c>
      <c r="D1191" t="s">
        <v>1894</v>
      </c>
      <c r="E1191" t="s">
        <v>1892</v>
      </c>
      <c r="F1191" t="s">
        <v>1872</v>
      </c>
      <c r="G1191" t="s">
        <v>1880</v>
      </c>
      <c r="H1191" t="s">
        <v>1880</v>
      </c>
    </row>
    <row r="1192" spans="1:8" x14ac:dyDescent="0.25">
      <c r="A1192" t="s">
        <v>1922</v>
      </c>
      <c r="B1192" t="s">
        <v>1915</v>
      </c>
      <c r="C1192" t="s">
        <v>1914</v>
      </c>
      <c r="D1192" t="s">
        <v>1896</v>
      </c>
      <c r="E1192" t="s">
        <v>1893</v>
      </c>
      <c r="F1192" t="s">
        <v>1874</v>
      </c>
      <c r="G1192" t="s">
        <v>1881</v>
      </c>
      <c r="H1192" t="s">
        <v>1881</v>
      </c>
    </row>
    <row r="1193" spans="1:8" x14ac:dyDescent="0.25">
      <c r="A1193" t="s">
        <v>1923</v>
      </c>
      <c r="B1193" t="s">
        <v>1916</v>
      </c>
      <c r="C1193" t="s">
        <v>1916</v>
      </c>
      <c r="D1193" t="s">
        <v>1897</v>
      </c>
      <c r="E1193" t="s">
        <v>1894</v>
      </c>
      <c r="F1193" t="s">
        <v>1875</v>
      </c>
      <c r="G1193" t="s">
        <v>1883</v>
      </c>
      <c r="H1193" t="s">
        <v>1883</v>
      </c>
    </row>
    <row r="1194" spans="1:8" x14ac:dyDescent="0.25">
      <c r="A1194" t="s">
        <v>1924</v>
      </c>
      <c r="B1194" t="s">
        <v>1917</v>
      </c>
      <c r="C1194" t="s">
        <v>1917</v>
      </c>
      <c r="D1194" t="s">
        <v>1898</v>
      </c>
      <c r="E1194" t="s">
        <v>1896</v>
      </c>
      <c r="F1194" t="s">
        <v>1876</v>
      </c>
      <c r="G1194" t="s">
        <v>1884</v>
      </c>
      <c r="H1194" t="s">
        <v>1884</v>
      </c>
    </row>
    <row r="1195" spans="1:8" x14ac:dyDescent="0.25">
      <c r="A1195" t="s">
        <v>1925</v>
      </c>
      <c r="B1195" t="s">
        <v>1918</v>
      </c>
      <c r="C1195" t="s">
        <v>1918</v>
      </c>
      <c r="D1195" t="s">
        <v>1909</v>
      </c>
      <c r="E1195" t="s">
        <v>1897</v>
      </c>
      <c r="F1195" t="s">
        <v>1877</v>
      </c>
      <c r="G1195" t="s">
        <v>1885</v>
      </c>
      <c r="H1195" t="s">
        <v>1885</v>
      </c>
    </row>
    <row r="1196" spans="1:8" x14ac:dyDescent="0.25">
      <c r="A1196" t="s">
        <v>1926</v>
      </c>
      <c r="B1196" t="s">
        <v>1921</v>
      </c>
      <c r="C1196" t="s">
        <v>1921</v>
      </c>
      <c r="D1196" t="s">
        <v>1899</v>
      </c>
      <c r="E1196" t="s">
        <v>1909</v>
      </c>
      <c r="F1196" t="s">
        <v>1878</v>
      </c>
      <c r="G1196" t="s">
        <v>1886</v>
      </c>
      <c r="H1196" t="s">
        <v>1886</v>
      </c>
    </row>
    <row r="1197" spans="1:8" x14ac:dyDescent="0.25">
      <c r="A1197" t="s">
        <v>1927</v>
      </c>
      <c r="B1197" t="s">
        <v>1922</v>
      </c>
      <c r="C1197" t="s">
        <v>1925</v>
      </c>
      <c r="D1197" t="s">
        <v>1900</v>
      </c>
      <c r="E1197" t="s">
        <v>1899</v>
      </c>
      <c r="F1197" t="s">
        <v>1879</v>
      </c>
      <c r="G1197" t="s">
        <v>1887</v>
      </c>
      <c r="H1197" t="s">
        <v>1887</v>
      </c>
    </row>
    <row r="1198" spans="1:8" x14ac:dyDescent="0.25">
      <c r="A1198" t="s">
        <v>1928</v>
      </c>
      <c r="B1198" t="s">
        <v>1925</v>
      </c>
      <c r="C1198" t="s">
        <v>1926</v>
      </c>
      <c r="D1198" t="s">
        <v>1929</v>
      </c>
      <c r="E1198" t="s">
        <v>1901</v>
      </c>
      <c r="F1198" t="s">
        <v>1880</v>
      </c>
      <c r="G1198" t="s">
        <v>1888</v>
      </c>
      <c r="H1198" t="s">
        <v>1888</v>
      </c>
    </row>
    <row r="1199" spans="1:8" x14ac:dyDescent="0.25">
      <c r="A1199" t="s">
        <v>1930</v>
      </c>
      <c r="B1199" t="s">
        <v>1927</v>
      </c>
      <c r="C1199" t="s">
        <v>1927</v>
      </c>
      <c r="D1199" t="s">
        <v>1901</v>
      </c>
      <c r="E1199" t="s">
        <v>1902</v>
      </c>
      <c r="F1199" t="s">
        <v>1881</v>
      </c>
      <c r="G1199" t="s">
        <v>1889</v>
      </c>
      <c r="H1199" t="s">
        <v>1889</v>
      </c>
    </row>
    <row r="1200" spans="1:8" x14ac:dyDescent="0.25">
      <c r="A1200" t="s">
        <v>1931</v>
      </c>
      <c r="B1200" t="s">
        <v>1928</v>
      </c>
      <c r="C1200" t="s">
        <v>1928</v>
      </c>
      <c r="D1200" t="s">
        <v>1902</v>
      </c>
      <c r="E1200" t="s">
        <v>1903</v>
      </c>
      <c r="F1200" t="s">
        <v>1883</v>
      </c>
      <c r="G1200" t="s">
        <v>1890</v>
      </c>
      <c r="H1200" t="s">
        <v>1890</v>
      </c>
    </row>
    <row r="1201" spans="1:8" x14ac:dyDescent="0.25">
      <c r="A1201" t="s">
        <v>1932</v>
      </c>
      <c r="B1201" t="s">
        <v>1930</v>
      </c>
      <c r="C1201" t="s">
        <v>1931</v>
      </c>
      <c r="D1201" t="s">
        <v>1903</v>
      </c>
      <c r="E1201" t="s">
        <v>1904</v>
      </c>
      <c r="F1201" t="s">
        <v>1884</v>
      </c>
      <c r="G1201" t="s">
        <v>1891</v>
      </c>
      <c r="H1201" t="s">
        <v>1891</v>
      </c>
    </row>
    <row r="1202" spans="1:8" x14ac:dyDescent="0.25">
      <c r="A1202" t="s">
        <v>1933</v>
      </c>
      <c r="B1202" t="s">
        <v>1931</v>
      </c>
      <c r="C1202" t="s">
        <v>1932</v>
      </c>
      <c r="D1202" t="s">
        <v>1904</v>
      </c>
      <c r="E1202" t="s">
        <v>1905</v>
      </c>
      <c r="F1202" t="s">
        <v>1885</v>
      </c>
      <c r="G1202" t="s">
        <v>1892</v>
      </c>
      <c r="H1202" t="s">
        <v>1892</v>
      </c>
    </row>
    <row r="1203" spans="1:8" x14ac:dyDescent="0.25">
      <c r="A1203" t="s">
        <v>1934</v>
      </c>
      <c r="B1203" t="s">
        <v>1932</v>
      </c>
      <c r="C1203" t="s">
        <v>1933</v>
      </c>
      <c r="D1203" t="s">
        <v>1905</v>
      </c>
      <c r="E1203" t="s">
        <v>1906</v>
      </c>
      <c r="F1203" t="s">
        <v>1886</v>
      </c>
      <c r="G1203" t="s">
        <v>1935</v>
      </c>
      <c r="H1203" t="s">
        <v>1935</v>
      </c>
    </row>
    <row r="1204" spans="1:8" x14ac:dyDescent="0.25">
      <c r="A1204" t="s">
        <v>1936</v>
      </c>
      <c r="B1204" t="s">
        <v>1933</v>
      </c>
      <c r="C1204" t="s">
        <v>1934</v>
      </c>
      <c r="D1204" t="s">
        <v>1906</v>
      </c>
      <c r="E1204" t="s">
        <v>1907</v>
      </c>
      <c r="F1204" t="s">
        <v>1887</v>
      </c>
      <c r="G1204" t="s">
        <v>1893</v>
      </c>
      <c r="H1204" t="s">
        <v>1893</v>
      </c>
    </row>
    <row r="1205" spans="1:8" x14ac:dyDescent="0.25">
      <c r="A1205" t="s">
        <v>1937</v>
      </c>
      <c r="B1205" t="s">
        <v>1934</v>
      </c>
      <c r="C1205" t="s">
        <v>1936</v>
      </c>
      <c r="D1205" t="s">
        <v>1907</v>
      </c>
      <c r="E1205" t="s">
        <v>1908</v>
      </c>
      <c r="F1205" t="s">
        <v>1888</v>
      </c>
      <c r="G1205" t="s">
        <v>1894</v>
      </c>
      <c r="H1205" t="s">
        <v>1894</v>
      </c>
    </row>
    <row r="1206" spans="1:8" x14ac:dyDescent="0.25">
      <c r="A1206" t="s">
        <v>1938</v>
      </c>
      <c r="B1206" t="s">
        <v>1936</v>
      </c>
      <c r="C1206" t="s">
        <v>1937</v>
      </c>
      <c r="D1206" t="s">
        <v>1908</v>
      </c>
      <c r="E1206" t="s">
        <v>1912</v>
      </c>
      <c r="F1206" t="s">
        <v>1889</v>
      </c>
      <c r="G1206" t="s">
        <v>1896</v>
      </c>
      <c r="H1206" t="s">
        <v>1896</v>
      </c>
    </row>
    <row r="1207" spans="1:8" x14ac:dyDescent="0.25">
      <c r="A1207" t="s">
        <v>1939</v>
      </c>
      <c r="B1207" t="s">
        <v>1937</v>
      </c>
      <c r="C1207" t="s">
        <v>1938</v>
      </c>
      <c r="D1207" t="s">
        <v>1912</v>
      </c>
      <c r="E1207" t="s">
        <v>1913</v>
      </c>
      <c r="F1207" t="s">
        <v>1890</v>
      </c>
      <c r="G1207" t="s">
        <v>1897</v>
      </c>
      <c r="H1207" t="s">
        <v>1897</v>
      </c>
    </row>
    <row r="1208" spans="1:8" x14ac:dyDescent="0.25">
      <c r="A1208" t="s">
        <v>1940</v>
      </c>
      <c r="B1208" t="s">
        <v>1938</v>
      </c>
      <c r="C1208" t="s">
        <v>1939</v>
      </c>
      <c r="D1208" t="s">
        <v>1913</v>
      </c>
      <c r="E1208" t="s">
        <v>1914</v>
      </c>
      <c r="F1208" t="s">
        <v>1891</v>
      </c>
      <c r="G1208" t="s">
        <v>1898</v>
      </c>
      <c r="H1208" t="s">
        <v>1898</v>
      </c>
    </row>
    <row r="1209" spans="1:8" x14ac:dyDescent="0.25">
      <c r="A1209" t="s">
        <v>1941</v>
      </c>
      <c r="B1209" t="s">
        <v>1939</v>
      </c>
      <c r="C1209" t="s">
        <v>1940</v>
      </c>
      <c r="D1209" t="s">
        <v>1914</v>
      </c>
      <c r="E1209" t="s">
        <v>1916</v>
      </c>
      <c r="F1209" t="s">
        <v>1892</v>
      </c>
      <c r="G1209" t="s">
        <v>1942</v>
      </c>
      <c r="H1209" t="s">
        <v>1942</v>
      </c>
    </row>
    <row r="1210" spans="1:8" x14ac:dyDescent="0.25">
      <c r="A1210" t="s">
        <v>1943</v>
      </c>
      <c r="B1210" t="s">
        <v>1940</v>
      </c>
      <c r="C1210" t="s">
        <v>1941</v>
      </c>
      <c r="D1210" t="s">
        <v>1916</v>
      </c>
      <c r="E1210" t="s">
        <v>1917</v>
      </c>
      <c r="F1210" t="s">
        <v>1893</v>
      </c>
      <c r="G1210" t="s">
        <v>1909</v>
      </c>
      <c r="H1210" t="s">
        <v>1909</v>
      </c>
    </row>
    <row r="1211" spans="1:8" x14ac:dyDescent="0.25">
      <c r="A1211" t="s">
        <v>1944</v>
      </c>
      <c r="B1211" t="s">
        <v>1941</v>
      </c>
      <c r="C1211" t="s">
        <v>1943</v>
      </c>
      <c r="D1211" t="s">
        <v>1917</v>
      </c>
      <c r="E1211" t="s">
        <v>1918</v>
      </c>
      <c r="F1211" t="s">
        <v>1894</v>
      </c>
      <c r="G1211" t="s">
        <v>1901</v>
      </c>
      <c r="H1211" t="s">
        <v>1899</v>
      </c>
    </row>
    <row r="1212" spans="1:8" x14ac:dyDescent="0.25">
      <c r="A1212" t="s">
        <v>1945</v>
      </c>
      <c r="B1212" t="s">
        <v>1943</v>
      </c>
      <c r="C1212" t="s">
        <v>1944</v>
      </c>
      <c r="D1212" t="s">
        <v>1918</v>
      </c>
      <c r="E1212" t="s">
        <v>1920</v>
      </c>
      <c r="F1212" t="s">
        <v>1896</v>
      </c>
      <c r="G1212" t="s">
        <v>1902</v>
      </c>
      <c r="H1212" t="s">
        <v>1901</v>
      </c>
    </row>
    <row r="1213" spans="1:8" x14ac:dyDescent="0.25">
      <c r="A1213" t="s">
        <v>1946</v>
      </c>
      <c r="B1213" t="s">
        <v>1944</v>
      </c>
      <c r="C1213" t="s">
        <v>1945</v>
      </c>
      <c r="D1213" t="s">
        <v>1947</v>
      </c>
      <c r="E1213" t="s">
        <v>1921</v>
      </c>
      <c r="F1213" t="s">
        <v>1897</v>
      </c>
      <c r="G1213" t="s">
        <v>1903</v>
      </c>
      <c r="H1213" t="s">
        <v>1902</v>
      </c>
    </row>
    <row r="1214" spans="1:8" x14ac:dyDescent="0.25">
      <c r="A1214" t="s">
        <v>1948</v>
      </c>
      <c r="B1214" t="s">
        <v>1945</v>
      </c>
      <c r="C1214" t="s">
        <v>1946</v>
      </c>
      <c r="D1214" t="s">
        <v>1920</v>
      </c>
      <c r="E1214" t="s">
        <v>1922</v>
      </c>
      <c r="F1214" t="s">
        <v>1898</v>
      </c>
      <c r="G1214" t="s">
        <v>1904</v>
      </c>
      <c r="H1214" t="s">
        <v>1903</v>
      </c>
    </row>
    <row r="1215" spans="1:8" x14ac:dyDescent="0.25">
      <c r="A1215" t="s">
        <v>1949</v>
      </c>
      <c r="B1215" t="s">
        <v>1946</v>
      </c>
      <c r="C1215" t="s">
        <v>1948</v>
      </c>
      <c r="D1215" t="s">
        <v>1921</v>
      </c>
      <c r="E1215" t="s">
        <v>1950</v>
      </c>
      <c r="F1215" t="s">
        <v>1909</v>
      </c>
      <c r="G1215" t="s">
        <v>1905</v>
      </c>
      <c r="H1215" t="s">
        <v>1904</v>
      </c>
    </row>
    <row r="1216" spans="1:8" x14ac:dyDescent="0.25">
      <c r="A1216" t="s">
        <v>1951</v>
      </c>
      <c r="B1216" t="s">
        <v>1948</v>
      </c>
      <c r="C1216" t="s">
        <v>1949</v>
      </c>
      <c r="D1216" t="s">
        <v>1922</v>
      </c>
      <c r="E1216" t="s">
        <v>1925</v>
      </c>
      <c r="F1216" t="s">
        <v>1901</v>
      </c>
      <c r="G1216" t="s">
        <v>1906</v>
      </c>
      <c r="H1216" t="s">
        <v>1905</v>
      </c>
    </row>
    <row r="1217" spans="1:8" x14ac:dyDescent="0.25">
      <c r="A1217" t="s">
        <v>1952</v>
      </c>
      <c r="B1217" t="s">
        <v>1949</v>
      </c>
      <c r="C1217" t="s">
        <v>1951</v>
      </c>
      <c r="D1217" t="s">
        <v>1950</v>
      </c>
      <c r="E1217" t="s">
        <v>1926</v>
      </c>
      <c r="F1217" t="s">
        <v>1902</v>
      </c>
      <c r="G1217" t="s">
        <v>1907</v>
      </c>
      <c r="H1217" t="s">
        <v>1906</v>
      </c>
    </row>
    <row r="1218" spans="1:8" x14ac:dyDescent="0.25">
      <c r="A1218" t="s">
        <v>1953</v>
      </c>
      <c r="B1218" t="s">
        <v>1951</v>
      </c>
      <c r="C1218" t="s">
        <v>1952</v>
      </c>
      <c r="D1218" t="s">
        <v>1925</v>
      </c>
      <c r="E1218" t="s">
        <v>1931</v>
      </c>
      <c r="F1218" t="s">
        <v>1903</v>
      </c>
      <c r="G1218" t="s">
        <v>1908</v>
      </c>
      <c r="H1218" t="s">
        <v>1907</v>
      </c>
    </row>
    <row r="1219" spans="1:8" x14ac:dyDescent="0.25">
      <c r="A1219" t="s">
        <v>1954</v>
      </c>
      <c r="B1219" t="s">
        <v>1952</v>
      </c>
      <c r="C1219" t="s">
        <v>1953</v>
      </c>
      <c r="D1219" t="s">
        <v>1928</v>
      </c>
      <c r="E1219" t="s">
        <v>1932</v>
      </c>
      <c r="F1219" t="s">
        <v>1904</v>
      </c>
      <c r="G1219" t="s">
        <v>1911</v>
      </c>
      <c r="H1219" t="s">
        <v>1908</v>
      </c>
    </row>
    <row r="1220" spans="1:8" x14ac:dyDescent="0.25">
      <c r="A1220" t="s">
        <v>1955</v>
      </c>
      <c r="B1220" t="s">
        <v>1953</v>
      </c>
      <c r="C1220" t="s">
        <v>1954</v>
      </c>
      <c r="D1220" t="s">
        <v>1931</v>
      </c>
      <c r="E1220" t="s">
        <v>1933</v>
      </c>
      <c r="F1220" t="s">
        <v>1905</v>
      </c>
      <c r="G1220" t="s">
        <v>1956</v>
      </c>
      <c r="H1220" t="s">
        <v>1911</v>
      </c>
    </row>
    <row r="1221" spans="1:8" x14ac:dyDescent="0.25">
      <c r="A1221" t="s">
        <v>1957</v>
      </c>
      <c r="B1221" t="s">
        <v>1954</v>
      </c>
      <c r="C1221" t="s">
        <v>1955</v>
      </c>
      <c r="D1221" t="s">
        <v>1932</v>
      </c>
      <c r="E1221" t="s">
        <v>1934</v>
      </c>
      <c r="F1221" t="s">
        <v>1906</v>
      </c>
      <c r="G1221" t="s">
        <v>1912</v>
      </c>
      <c r="H1221" t="s">
        <v>1912</v>
      </c>
    </row>
    <row r="1222" spans="1:8" x14ac:dyDescent="0.25">
      <c r="A1222" t="s">
        <v>1958</v>
      </c>
      <c r="B1222" t="s">
        <v>1955</v>
      </c>
      <c r="C1222" t="s">
        <v>1957</v>
      </c>
      <c r="D1222" t="s">
        <v>1933</v>
      </c>
      <c r="E1222" t="s">
        <v>1936</v>
      </c>
      <c r="F1222" t="s">
        <v>1959</v>
      </c>
      <c r="G1222" t="s">
        <v>1913</v>
      </c>
      <c r="H1222" t="s">
        <v>1913</v>
      </c>
    </row>
    <row r="1223" spans="1:8" x14ac:dyDescent="0.25">
      <c r="A1223" t="s">
        <v>1960</v>
      </c>
      <c r="B1223" t="s">
        <v>1957</v>
      </c>
      <c r="C1223" t="s">
        <v>1958</v>
      </c>
      <c r="D1223" t="s">
        <v>1934</v>
      </c>
      <c r="E1223" t="s">
        <v>1937</v>
      </c>
      <c r="F1223" t="s">
        <v>1907</v>
      </c>
      <c r="G1223" t="s">
        <v>1914</v>
      </c>
      <c r="H1223" t="s">
        <v>1914</v>
      </c>
    </row>
    <row r="1224" spans="1:8" x14ac:dyDescent="0.25">
      <c r="A1224" t="s">
        <v>1961</v>
      </c>
      <c r="B1224" t="s">
        <v>1958</v>
      </c>
      <c r="C1224" t="s">
        <v>1960</v>
      </c>
      <c r="D1224" t="s">
        <v>1936</v>
      </c>
      <c r="E1224" t="s">
        <v>1938</v>
      </c>
      <c r="F1224" t="s">
        <v>1908</v>
      </c>
      <c r="G1224" t="s">
        <v>1916</v>
      </c>
      <c r="H1224" t="s">
        <v>1915</v>
      </c>
    </row>
    <row r="1225" spans="1:8" x14ac:dyDescent="0.25">
      <c r="A1225" t="s">
        <v>1962</v>
      </c>
      <c r="B1225" t="s">
        <v>1960</v>
      </c>
      <c r="C1225" t="s">
        <v>1961</v>
      </c>
      <c r="D1225" t="s">
        <v>1937</v>
      </c>
      <c r="E1225" t="s">
        <v>1939</v>
      </c>
      <c r="F1225" t="s">
        <v>1911</v>
      </c>
      <c r="G1225" t="s">
        <v>1917</v>
      </c>
      <c r="H1225" t="s">
        <v>1916</v>
      </c>
    </row>
    <row r="1226" spans="1:8" x14ac:dyDescent="0.25">
      <c r="A1226" t="s">
        <v>1963</v>
      </c>
      <c r="B1226" t="s">
        <v>1961</v>
      </c>
      <c r="C1226" t="s">
        <v>1962</v>
      </c>
      <c r="D1226" t="s">
        <v>1938</v>
      </c>
      <c r="E1226" t="s">
        <v>1940</v>
      </c>
      <c r="F1226" t="s">
        <v>1956</v>
      </c>
      <c r="G1226" t="s">
        <v>1918</v>
      </c>
      <c r="H1226" t="s">
        <v>1917</v>
      </c>
    </row>
    <row r="1227" spans="1:8" x14ac:dyDescent="0.25">
      <c r="A1227" t="s">
        <v>1964</v>
      </c>
      <c r="B1227" t="s">
        <v>1962</v>
      </c>
      <c r="C1227" t="s">
        <v>1963</v>
      </c>
      <c r="D1227" t="s">
        <v>1939</v>
      </c>
      <c r="E1227" t="s">
        <v>1941</v>
      </c>
      <c r="F1227" t="s">
        <v>1912</v>
      </c>
      <c r="G1227" t="s">
        <v>1922</v>
      </c>
      <c r="H1227" t="s">
        <v>1918</v>
      </c>
    </row>
    <row r="1228" spans="1:8" x14ac:dyDescent="0.25">
      <c r="A1228" t="s">
        <v>1965</v>
      </c>
      <c r="B1228" t="s">
        <v>1963</v>
      </c>
      <c r="C1228" t="s">
        <v>1964</v>
      </c>
      <c r="D1228" t="s">
        <v>1940</v>
      </c>
      <c r="E1228" t="s">
        <v>1943</v>
      </c>
      <c r="F1228" t="s">
        <v>1913</v>
      </c>
      <c r="G1228" t="s">
        <v>1950</v>
      </c>
      <c r="H1228" t="s">
        <v>1920</v>
      </c>
    </row>
    <row r="1229" spans="1:8" x14ac:dyDescent="0.25">
      <c r="A1229" t="s">
        <v>1966</v>
      </c>
      <c r="B1229" t="s">
        <v>1964</v>
      </c>
      <c r="C1229" t="s">
        <v>1965</v>
      </c>
      <c r="D1229" t="s">
        <v>1941</v>
      </c>
      <c r="E1229" t="s">
        <v>1944</v>
      </c>
      <c r="F1229" t="s">
        <v>1914</v>
      </c>
      <c r="G1229" t="s">
        <v>1925</v>
      </c>
      <c r="H1229" t="s">
        <v>1922</v>
      </c>
    </row>
    <row r="1230" spans="1:8" x14ac:dyDescent="0.25">
      <c r="A1230" t="s">
        <v>1967</v>
      </c>
      <c r="B1230" t="s">
        <v>1965</v>
      </c>
      <c r="C1230" t="s">
        <v>1966</v>
      </c>
      <c r="D1230" t="s">
        <v>1943</v>
      </c>
      <c r="E1230" t="s">
        <v>1945</v>
      </c>
      <c r="F1230" t="s">
        <v>1916</v>
      </c>
      <c r="G1230" t="s">
        <v>1928</v>
      </c>
      <c r="H1230" t="s">
        <v>1950</v>
      </c>
    </row>
    <row r="1231" spans="1:8" x14ac:dyDescent="0.25">
      <c r="A1231" t="s">
        <v>1968</v>
      </c>
      <c r="B1231" t="s">
        <v>1966</v>
      </c>
      <c r="C1231" t="s">
        <v>1967</v>
      </c>
      <c r="D1231" t="s">
        <v>1944</v>
      </c>
      <c r="E1231" t="s">
        <v>1946</v>
      </c>
      <c r="F1231" t="s">
        <v>1917</v>
      </c>
      <c r="G1231" t="s">
        <v>1931</v>
      </c>
      <c r="H1231" t="s">
        <v>1925</v>
      </c>
    </row>
    <row r="1232" spans="1:8" x14ac:dyDescent="0.25">
      <c r="A1232" t="s">
        <v>1969</v>
      </c>
      <c r="B1232" t="s">
        <v>1967</v>
      </c>
      <c r="C1232" t="s">
        <v>1969</v>
      </c>
      <c r="D1232" t="s">
        <v>1945</v>
      </c>
      <c r="E1232" t="s">
        <v>1948</v>
      </c>
      <c r="F1232" t="s">
        <v>1918</v>
      </c>
      <c r="G1232" t="s">
        <v>1932</v>
      </c>
      <c r="H1232" t="s">
        <v>1931</v>
      </c>
    </row>
    <row r="1233" spans="1:8" x14ac:dyDescent="0.25">
      <c r="A1233" t="s">
        <v>1970</v>
      </c>
      <c r="B1233" t="s">
        <v>1968</v>
      </c>
      <c r="C1233" t="s">
        <v>1970</v>
      </c>
      <c r="D1233" t="s">
        <v>1946</v>
      </c>
      <c r="E1233" t="s">
        <v>1949</v>
      </c>
      <c r="F1233" t="s">
        <v>1921</v>
      </c>
      <c r="G1233" t="s">
        <v>1933</v>
      </c>
      <c r="H1233" t="s">
        <v>1932</v>
      </c>
    </row>
    <row r="1234" spans="1:8" x14ac:dyDescent="0.25">
      <c r="A1234" t="s">
        <v>1971</v>
      </c>
      <c r="B1234" t="s">
        <v>1969</v>
      </c>
      <c r="C1234" t="s">
        <v>1971</v>
      </c>
      <c r="D1234" t="s">
        <v>1948</v>
      </c>
      <c r="E1234" t="s">
        <v>1951</v>
      </c>
      <c r="F1234" t="s">
        <v>1922</v>
      </c>
      <c r="G1234" t="s">
        <v>1934</v>
      </c>
      <c r="H1234" t="s">
        <v>1933</v>
      </c>
    </row>
    <row r="1235" spans="1:8" x14ac:dyDescent="0.25">
      <c r="A1235" t="s">
        <v>1972</v>
      </c>
      <c r="B1235" t="s">
        <v>1970</v>
      </c>
      <c r="C1235" t="s">
        <v>1972</v>
      </c>
      <c r="D1235" t="s">
        <v>1949</v>
      </c>
      <c r="E1235" t="s">
        <v>1952</v>
      </c>
      <c r="F1235" t="s">
        <v>1950</v>
      </c>
      <c r="G1235" t="s">
        <v>1936</v>
      </c>
      <c r="H1235" t="s">
        <v>1934</v>
      </c>
    </row>
    <row r="1236" spans="1:8" x14ac:dyDescent="0.25">
      <c r="A1236" t="s">
        <v>1973</v>
      </c>
      <c r="B1236" t="s">
        <v>1971</v>
      </c>
      <c r="C1236" t="s">
        <v>1973</v>
      </c>
      <c r="D1236" t="s">
        <v>1951</v>
      </c>
      <c r="E1236" t="s">
        <v>1954</v>
      </c>
      <c r="F1236" t="s">
        <v>1925</v>
      </c>
      <c r="G1236" t="s">
        <v>1937</v>
      </c>
      <c r="H1236" t="s">
        <v>1936</v>
      </c>
    </row>
    <row r="1237" spans="1:8" x14ac:dyDescent="0.25">
      <c r="A1237" t="s">
        <v>1974</v>
      </c>
      <c r="B1237" t="s">
        <v>1972</v>
      </c>
      <c r="C1237" t="s">
        <v>1974</v>
      </c>
      <c r="D1237" t="s">
        <v>1952</v>
      </c>
      <c r="E1237" t="s">
        <v>1955</v>
      </c>
      <c r="F1237" t="s">
        <v>1928</v>
      </c>
      <c r="G1237" t="s">
        <v>1938</v>
      </c>
      <c r="H1237" t="s">
        <v>1937</v>
      </c>
    </row>
    <row r="1238" spans="1:8" x14ac:dyDescent="0.25">
      <c r="A1238" t="s">
        <v>1975</v>
      </c>
      <c r="B1238" t="s">
        <v>1973</v>
      </c>
      <c r="C1238" t="s">
        <v>1976</v>
      </c>
      <c r="D1238" t="s">
        <v>1953</v>
      </c>
      <c r="E1238" t="s">
        <v>1957</v>
      </c>
      <c r="F1238" t="s">
        <v>1931</v>
      </c>
      <c r="G1238" t="s">
        <v>1939</v>
      </c>
      <c r="H1238" t="s">
        <v>1938</v>
      </c>
    </row>
    <row r="1239" spans="1:8" x14ac:dyDescent="0.25">
      <c r="A1239" t="s">
        <v>1977</v>
      </c>
      <c r="B1239" t="s">
        <v>1974</v>
      </c>
      <c r="C1239" t="s">
        <v>1975</v>
      </c>
      <c r="D1239" t="s">
        <v>1954</v>
      </c>
      <c r="E1239" t="s">
        <v>1958</v>
      </c>
      <c r="F1239" t="s">
        <v>1932</v>
      </c>
      <c r="G1239" t="s">
        <v>1940</v>
      </c>
      <c r="H1239" t="s">
        <v>1939</v>
      </c>
    </row>
    <row r="1240" spans="1:8" x14ac:dyDescent="0.25">
      <c r="A1240" t="s">
        <v>1978</v>
      </c>
      <c r="B1240" t="s">
        <v>1976</v>
      </c>
      <c r="C1240" t="s">
        <v>1977</v>
      </c>
      <c r="D1240" t="s">
        <v>1955</v>
      </c>
      <c r="E1240" t="s">
        <v>1960</v>
      </c>
      <c r="F1240" t="s">
        <v>1933</v>
      </c>
      <c r="G1240" t="s">
        <v>1941</v>
      </c>
      <c r="H1240" t="s">
        <v>1940</v>
      </c>
    </row>
    <row r="1241" spans="1:8" x14ac:dyDescent="0.25">
      <c r="A1241" t="s">
        <v>1979</v>
      </c>
      <c r="B1241" t="s">
        <v>1975</v>
      </c>
      <c r="C1241" t="s">
        <v>1978</v>
      </c>
      <c r="D1241" t="s">
        <v>1957</v>
      </c>
      <c r="E1241" t="s">
        <v>1961</v>
      </c>
      <c r="F1241" t="s">
        <v>1934</v>
      </c>
      <c r="G1241" t="s">
        <v>1943</v>
      </c>
      <c r="H1241" t="s">
        <v>1941</v>
      </c>
    </row>
    <row r="1242" spans="1:8" x14ac:dyDescent="0.25">
      <c r="A1242" t="s">
        <v>1980</v>
      </c>
      <c r="B1242" t="s">
        <v>1977</v>
      </c>
      <c r="C1242" t="s">
        <v>1979</v>
      </c>
      <c r="D1242" t="s">
        <v>1958</v>
      </c>
      <c r="E1242" t="s">
        <v>1962</v>
      </c>
      <c r="F1242" t="s">
        <v>1936</v>
      </c>
      <c r="G1242" t="s">
        <v>1944</v>
      </c>
      <c r="H1242" t="s">
        <v>1943</v>
      </c>
    </row>
    <row r="1243" spans="1:8" x14ac:dyDescent="0.25">
      <c r="A1243" t="s">
        <v>1981</v>
      </c>
      <c r="B1243" t="s">
        <v>1978</v>
      </c>
      <c r="C1243" t="s">
        <v>1980</v>
      </c>
      <c r="D1243" t="s">
        <v>1960</v>
      </c>
      <c r="E1243" t="s">
        <v>1963</v>
      </c>
      <c r="F1243" t="s">
        <v>1937</v>
      </c>
      <c r="G1243" t="s">
        <v>1945</v>
      </c>
      <c r="H1243" t="s">
        <v>1944</v>
      </c>
    </row>
    <row r="1244" spans="1:8" x14ac:dyDescent="0.25">
      <c r="A1244" t="s">
        <v>1982</v>
      </c>
      <c r="B1244" t="s">
        <v>1979</v>
      </c>
      <c r="C1244" t="s">
        <v>1983</v>
      </c>
      <c r="D1244" t="s">
        <v>1961</v>
      </c>
      <c r="E1244" t="s">
        <v>1964</v>
      </c>
      <c r="F1244" t="s">
        <v>1938</v>
      </c>
      <c r="G1244" t="s">
        <v>1946</v>
      </c>
      <c r="H1244" t="s">
        <v>1945</v>
      </c>
    </row>
    <row r="1245" spans="1:8" x14ac:dyDescent="0.25">
      <c r="A1245" t="s">
        <v>1984</v>
      </c>
      <c r="B1245" t="s">
        <v>1980</v>
      </c>
      <c r="C1245" t="s">
        <v>1985</v>
      </c>
      <c r="D1245" t="s">
        <v>1962</v>
      </c>
      <c r="E1245" t="s">
        <v>1965</v>
      </c>
      <c r="F1245" t="s">
        <v>1939</v>
      </c>
      <c r="G1245" t="s">
        <v>1948</v>
      </c>
      <c r="H1245" t="s">
        <v>1946</v>
      </c>
    </row>
    <row r="1246" spans="1:8" x14ac:dyDescent="0.25">
      <c r="A1246" t="s">
        <v>1986</v>
      </c>
      <c r="B1246" t="s">
        <v>1987</v>
      </c>
      <c r="C1246" t="s">
        <v>1982</v>
      </c>
      <c r="D1246" t="s">
        <v>1963</v>
      </c>
      <c r="E1246" t="s">
        <v>1966</v>
      </c>
      <c r="F1246" t="s">
        <v>1940</v>
      </c>
      <c r="G1246" t="s">
        <v>1949</v>
      </c>
      <c r="H1246" t="s">
        <v>1948</v>
      </c>
    </row>
    <row r="1247" spans="1:8" x14ac:dyDescent="0.25">
      <c r="A1247" t="s">
        <v>1988</v>
      </c>
      <c r="B1247" t="s">
        <v>1982</v>
      </c>
      <c r="C1247" t="s">
        <v>1984</v>
      </c>
      <c r="D1247" t="s">
        <v>1964</v>
      </c>
      <c r="E1247" t="s">
        <v>1967</v>
      </c>
      <c r="F1247" t="s">
        <v>1941</v>
      </c>
      <c r="G1247" t="s">
        <v>1951</v>
      </c>
      <c r="H1247" t="s">
        <v>1949</v>
      </c>
    </row>
    <row r="1248" spans="1:8" x14ac:dyDescent="0.25">
      <c r="A1248" t="s">
        <v>1989</v>
      </c>
      <c r="B1248" t="s">
        <v>1984</v>
      </c>
      <c r="C1248" t="s">
        <v>1986</v>
      </c>
      <c r="D1248" t="s">
        <v>1965</v>
      </c>
      <c r="E1248" t="s">
        <v>1969</v>
      </c>
      <c r="F1248" t="s">
        <v>1943</v>
      </c>
      <c r="G1248" t="s">
        <v>1952</v>
      </c>
      <c r="H1248" t="s">
        <v>1951</v>
      </c>
    </row>
    <row r="1249" spans="1:8" x14ac:dyDescent="0.25">
      <c r="A1249" t="s">
        <v>1990</v>
      </c>
      <c r="B1249" t="s">
        <v>1986</v>
      </c>
      <c r="C1249" t="s">
        <v>1988</v>
      </c>
      <c r="D1249" t="s">
        <v>1966</v>
      </c>
      <c r="E1249" t="s">
        <v>1970</v>
      </c>
      <c r="F1249" t="s">
        <v>1944</v>
      </c>
      <c r="G1249" t="s">
        <v>1954</v>
      </c>
      <c r="H1249" t="s">
        <v>1952</v>
      </c>
    </row>
    <row r="1250" spans="1:8" x14ac:dyDescent="0.25">
      <c r="A1250" t="s">
        <v>1991</v>
      </c>
      <c r="B1250" t="s">
        <v>1988</v>
      </c>
      <c r="C1250" t="s">
        <v>1990</v>
      </c>
      <c r="D1250" t="s">
        <v>1967</v>
      </c>
      <c r="E1250" t="s">
        <v>1971</v>
      </c>
      <c r="F1250" t="s">
        <v>1945</v>
      </c>
      <c r="G1250" t="s">
        <v>1955</v>
      </c>
      <c r="H1250" t="s">
        <v>1954</v>
      </c>
    </row>
    <row r="1251" spans="1:8" x14ac:dyDescent="0.25">
      <c r="A1251" t="s">
        <v>1992</v>
      </c>
      <c r="B1251" t="s">
        <v>1989</v>
      </c>
      <c r="C1251" t="s">
        <v>1991</v>
      </c>
      <c r="D1251" t="s">
        <v>1969</v>
      </c>
      <c r="E1251" t="s">
        <v>1972</v>
      </c>
      <c r="F1251" t="s">
        <v>1946</v>
      </c>
      <c r="G1251" t="s">
        <v>1957</v>
      </c>
      <c r="H1251" t="s">
        <v>1955</v>
      </c>
    </row>
    <row r="1252" spans="1:8" x14ac:dyDescent="0.25">
      <c r="A1252" t="s">
        <v>1993</v>
      </c>
      <c r="B1252" t="s">
        <v>1990</v>
      </c>
      <c r="C1252" t="s">
        <v>1992</v>
      </c>
      <c r="D1252" t="s">
        <v>1970</v>
      </c>
      <c r="E1252" t="s">
        <v>1973</v>
      </c>
      <c r="F1252" t="s">
        <v>1948</v>
      </c>
      <c r="G1252" t="s">
        <v>1958</v>
      </c>
      <c r="H1252" t="s">
        <v>1957</v>
      </c>
    </row>
    <row r="1253" spans="1:8" x14ac:dyDescent="0.25">
      <c r="A1253" t="s">
        <v>1994</v>
      </c>
      <c r="B1253" t="s">
        <v>1991</v>
      </c>
      <c r="C1253" t="s">
        <v>1993</v>
      </c>
      <c r="D1253" t="s">
        <v>1971</v>
      </c>
      <c r="E1253" t="s">
        <v>1974</v>
      </c>
      <c r="F1253" t="s">
        <v>1949</v>
      </c>
      <c r="G1253" t="s">
        <v>1960</v>
      </c>
      <c r="H1253" t="s">
        <v>1958</v>
      </c>
    </row>
    <row r="1254" spans="1:8" x14ac:dyDescent="0.25">
      <c r="A1254" t="s">
        <v>1995</v>
      </c>
      <c r="B1254" t="s">
        <v>1992</v>
      </c>
      <c r="C1254" t="s">
        <v>1995</v>
      </c>
      <c r="D1254" t="s">
        <v>1972</v>
      </c>
      <c r="E1254" t="s">
        <v>1976</v>
      </c>
      <c r="F1254" t="s">
        <v>1951</v>
      </c>
      <c r="G1254" t="s">
        <v>1961</v>
      </c>
      <c r="H1254" t="s">
        <v>1960</v>
      </c>
    </row>
    <row r="1255" spans="1:8" x14ac:dyDescent="0.25">
      <c r="A1255" t="s">
        <v>1996</v>
      </c>
      <c r="B1255" t="s">
        <v>1993</v>
      </c>
      <c r="C1255" t="s">
        <v>1996</v>
      </c>
      <c r="D1255" t="s">
        <v>1973</v>
      </c>
      <c r="E1255" t="s">
        <v>1975</v>
      </c>
      <c r="F1255" t="s">
        <v>1952</v>
      </c>
      <c r="G1255" t="s">
        <v>1962</v>
      </c>
      <c r="H1255" t="s">
        <v>1961</v>
      </c>
    </row>
    <row r="1256" spans="1:8" x14ac:dyDescent="0.25">
      <c r="A1256" t="s">
        <v>1997</v>
      </c>
      <c r="B1256" t="s">
        <v>1994</v>
      </c>
      <c r="C1256" t="s">
        <v>1998</v>
      </c>
      <c r="D1256" t="s">
        <v>1974</v>
      </c>
      <c r="E1256" t="s">
        <v>1977</v>
      </c>
      <c r="F1256" t="s">
        <v>1954</v>
      </c>
      <c r="G1256" t="s">
        <v>1963</v>
      </c>
      <c r="H1256" t="s">
        <v>1962</v>
      </c>
    </row>
    <row r="1257" spans="1:8" x14ac:dyDescent="0.25">
      <c r="A1257" t="s">
        <v>1999</v>
      </c>
      <c r="B1257" t="s">
        <v>2000</v>
      </c>
      <c r="C1257" t="s">
        <v>2001</v>
      </c>
      <c r="D1257" t="s">
        <v>1976</v>
      </c>
      <c r="E1257" t="s">
        <v>1978</v>
      </c>
      <c r="F1257" t="s">
        <v>1955</v>
      </c>
      <c r="G1257" t="s">
        <v>1964</v>
      </c>
      <c r="H1257" t="s">
        <v>1963</v>
      </c>
    </row>
    <row r="1258" spans="1:8" x14ac:dyDescent="0.25">
      <c r="A1258" t="s">
        <v>2002</v>
      </c>
      <c r="B1258" t="s">
        <v>1995</v>
      </c>
      <c r="C1258" t="s">
        <v>2003</v>
      </c>
      <c r="D1258" t="s">
        <v>1975</v>
      </c>
      <c r="E1258" t="s">
        <v>1979</v>
      </c>
      <c r="F1258" t="s">
        <v>1957</v>
      </c>
      <c r="G1258" t="s">
        <v>1965</v>
      </c>
      <c r="H1258" t="s">
        <v>1964</v>
      </c>
    </row>
    <row r="1259" spans="1:8" x14ac:dyDescent="0.25">
      <c r="A1259" t="s">
        <v>2004</v>
      </c>
      <c r="B1259" t="s">
        <v>1996</v>
      </c>
      <c r="C1259" t="s">
        <v>1997</v>
      </c>
      <c r="D1259" t="s">
        <v>1977</v>
      </c>
      <c r="E1259" t="s">
        <v>1980</v>
      </c>
      <c r="F1259" t="s">
        <v>1958</v>
      </c>
      <c r="G1259" t="s">
        <v>1966</v>
      </c>
      <c r="H1259" t="s">
        <v>1965</v>
      </c>
    </row>
    <row r="1260" spans="1:8" x14ac:dyDescent="0.25">
      <c r="A1260" t="s">
        <v>2005</v>
      </c>
      <c r="B1260" t="s">
        <v>1997</v>
      </c>
      <c r="C1260" t="s">
        <v>1999</v>
      </c>
      <c r="D1260" t="s">
        <v>1978</v>
      </c>
      <c r="E1260" t="s">
        <v>1985</v>
      </c>
      <c r="F1260" t="s">
        <v>1960</v>
      </c>
      <c r="G1260" t="s">
        <v>1967</v>
      </c>
      <c r="H1260" t="s">
        <v>1966</v>
      </c>
    </row>
    <row r="1261" spans="1:8" x14ac:dyDescent="0.25">
      <c r="A1261" t="s">
        <v>2006</v>
      </c>
      <c r="B1261" t="s">
        <v>1999</v>
      </c>
      <c r="C1261" t="s">
        <v>2002</v>
      </c>
      <c r="D1261" t="s">
        <v>1979</v>
      </c>
      <c r="E1261" t="s">
        <v>1987</v>
      </c>
      <c r="F1261" t="s">
        <v>1961</v>
      </c>
      <c r="G1261" t="s">
        <v>1968</v>
      </c>
      <c r="H1261" t="s">
        <v>1967</v>
      </c>
    </row>
    <row r="1262" spans="1:8" x14ac:dyDescent="0.25">
      <c r="A1262" t="s">
        <v>2007</v>
      </c>
      <c r="B1262" t="s">
        <v>2002</v>
      </c>
      <c r="C1262" t="s">
        <v>2005</v>
      </c>
      <c r="D1262" t="s">
        <v>1980</v>
      </c>
      <c r="E1262" t="s">
        <v>1982</v>
      </c>
      <c r="F1262" t="s">
        <v>2008</v>
      </c>
      <c r="G1262" t="s">
        <v>1969</v>
      </c>
      <c r="H1262" t="s">
        <v>1968</v>
      </c>
    </row>
    <row r="1263" spans="1:8" x14ac:dyDescent="0.25">
      <c r="A1263" t="s">
        <v>2009</v>
      </c>
      <c r="B1263" t="s">
        <v>2004</v>
      </c>
      <c r="C1263" t="s">
        <v>2006</v>
      </c>
      <c r="D1263" t="s">
        <v>1985</v>
      </c>
      <c r="E1263" t="s">
        <v>2010</v>
      </c>
      <c r="F1263" t="s">
        <v>2011</v>
      </c>
      <c r="G1263" t="s">
        <v>1970</v>
      </c>
      <c r="H1263" t="s">
        <v>1969</v>
      </c>
    </row>
    <row r="1264" spans="1:8" x14ac:dyDescent="0.25">
      <c r="A1264" t="s">
        <v>2012</v>
      </c>
      <c r="B1264" t="s">
        <v>2005</v>
      </c>
      <c r="C1264" t="s">
        <v>2007</v>
      </c>
      <c r="D1264" t="s">
        <v>1981</v>
      </c>
      <c r="E1264" t="s">
        <v>2013</v>
      </c>
      <c r="F1264" t="s">
        <v>1962</v>
      </c>
      <c r="G1264" t="s">
        <v>1971</v>
      </c>
      <c r="H1264" t="s">
        <v>1970</v>
      </c>
    </row>
    <row r="1265" spans="1:8" x14ac:dyDescent="0.25">
      <c r="A1265" t="s">
        <v>2014</v>
      </c>
      <c r="B1265" t="s">
        <v>2006</v>
      </c>
      <c r="C1265" t="s">
        <v>2009</v>
      </c>
      <c r="D1265" t="s">
        <v>1982</v>
      </c>
      <c r="E1265" t="s">
        <v>1988</v>
      </c>
      <c r="F1265" t="s">
        <v>1963</v>
      </c>
      <c r="G1265" t="s">
        <v>1972</v>
      </c>
      <c r="H1265" t="s">
        <v>1971</v>
      </c>
    </row>
    <row r="1266" spans="1:8" x14ac:dyDescent="0.25">
      <c r="A1266" t="s">
        <v>2015</v>
      </c>
      <c r="B1266" t="s">
        <v>2007</v>
      </c>
      <c r="C1266" t="s">
        <v>2012</v>
      </c>
      <c r="D1266" t="s">
        <v>1986</v>
      </c>
      <c r="E1266" t="s">
        <v>1989</v>
      </c>
      <c r="F1266" t="s">
        <v>1964</v>
      </c>
      <c r="G1266" t="s">
        <v>1973</v>
      </c>
      <c r="H1266" t="s">
        <v>1972</v>
      </c>
    </row>
    <row r="1267" spans="1:8" x14ac:dyDescent="0.25">
      <c r="A1267" t="s">
        <v>2016</v>
      </c>
      <c r="B1267" t="s">
        <v>2009</v>
      </c>
      <c r="C1267" t="s">
        <v>2014</v>
      </c>
      <c r="D1267" t="s">
        <v>1988</v>
      </c>
      <c r="E1267" t="s">
        <v>1990</v>
      </c>
      <c r="F1267" t="s">
        <v>1965</v>
      </c>
      <c r="G1267" t="s">
        <v>1974</v>
      </c>
      <c r="H1267" t="s">
        <v>1973</v>
      </c>
    </row>
    <row r="1268" spans="1:8" x14ac:dyDescent="0.25">
      <c r="A1268" t="s">
        <v>2017</v>
      </c>
      <c r="B1268" t="s">
        <v>2012</v>
      </c>
      <c r="C1268" t="s">
        <v>2015</v>
      </c>
      <c r="D1268" t="s">
        <v>1989</v>
      </c>
      <c r="E1268" t="s">
        <v>1992</v>
      </c>
      <c r="F1268" t="s">
        <v>1966</v>
      </c>
      <c r="G1268" t="s">
        <v>1976</v>
      </c>
      <c r="H1268" t="s">
        <v>1974</v>
      </c>
    </row>
    <row r="1269" spans="1:8" x14ac:dyDescent="0.25">
      <c r="A1269" t="s">
        <v>2018</v>
      </c>
      <c r="B1269" t="s">
        <v>2014</v>
      </c>
      <c r="C1269" t="s">
        <v>2016</v>
      </c>
      <c r="D1269" t="s">
        <v>1992</v>
      </c>
      <c r="E1269" t="s">
        <v>1993</v>
      </c>
      <c r="F1269" t="s">
        <v>1967</v>
      </c>
      <c r="G1269" t="s">
        <v>1975</v>
      </c>
      <c r="H1269" t="s">
        <v>1976</v>
      </c>
    </row>
    <row r="1270" spans="1:8" x14ac:dyDescent="0.25">
      <c r="A1270" t="s">
        <v>2019</v>
      </c>
      <c r="B1270" t="s">
        <v>2016</v>
      </c>
      <c r="C1270" t="s">
        <v>2017</v>
      </c>
      <c r="D1270" t="s">
        <v>1993</v>
      </c>
      <c r="E1270" t="s">
        <v>1995</v>
      </c>
      <c r="F1270" t="s">
        <v>1968</v>
      </c>
      <c r="G1270" t="s">
        <v>1977</v>
      </c>
      <c r="H1270" t="s">
        <v>1975</v>
      </c>
    </row>
    <row r="1271" spans="1:8" x14ac:dyDescent="0.25">
      <c r="A1271" t="s">
        <v>2020</v>
      </c>
      <c r="B1271" t="s">
        <v>2017</v>
      </c>
      <c r="C1271" t="s">
        <v>2018</v>
      </c>
      <c r="D1271" t="s">
        <v>1995</v>
      </c>
      <c r="E1271" t="s">
        <v>1996</v>
      </c>
      <c r="F1271" t="s">
        <v>1969</v>
      </c>
      <c r="G1271" t="s">
        <v>1978</v>
      </c>
      <c r="H1271" t="s">
        <v>1977</v>
      </c>
    </row>
    <row r="1272" spans="1:8" x14ac:dyDescent="0.25">
      <c r="A1272" t="s">
        <v>2021</v>
      </c>
      <c r="B1272" t="s">
        <v>2018</v>
      </c>
      <c r="C1272" t="s">
        <v>2019</v>
      </c>
      <c r="D1272" t="s">
        <v>1996</v>
      </c>
      <c r="E1272" t="s">
        <v>1997</v>
      </c>
      <c r="F1272" t="s">
        <v>1970</v>
      </c>
      <c r="G1272" t="s">
        <v>1979</v>
      </c>
      <c r="H1272" t="s">
        <v>1978</v>
      </c>
    </row>
    <row r="1273" spans="1:8" x14ac:dyDescent="0.25">
      <c r="A1273" t="s">
        <v>2022</v>
      </c>
      <c r="B1273" t="s">
        <v>2019</v>
      </c>
      <c r="C1273" t="s">
        <v>2020</v>
      </c>
      <c r="D1273" t="s">
        <v>1997</v>
      </c>
      <c r="E1273" t="s">
        <v>1999</v>
      </c>
      <c r="F1273" t="s">
        <v>1971</v>
      </c>
      <c r="G1273" t="s">
        <v>1980</v>
      </c>
      <c r="H1273" t="s">
        <v>1979</v>
      </c>
    </row>
    <row r="1274" spans="1:8" x14ac:dyDescent="0.25">
      <c r="A1274" t="s">
        <v>2023</v>
      </c>
      <c r="B1274" t="s">
        <v>2020</v>
      </c>
      <c r="C1274" t="s">
        <v>2021</v>
      </c>
      <c r="D1274" t="s">
        <v>1999</v>
      </c>
      <c r="E1274" t="s">
        <v>2002</v>
      </c>
      <c r="F1274" t="s">
        <v>1972</v>
      </c>
      <c r="G1274" t="s">
        <v>1985</v>
      </c>
      <c r="H1274" t="s">
        <v>1980</v>
      </c>
    </row>
    <row r="1275" spans="1:8" x14ac:dyDescent="0.25">
      <c r="A1275" t="s">
        <v>2024</v>
      </c>
      <c r="B1275" t="s">
        <v>2021</v>
      </c>
      <c r="C1275" t="s">
        <v>2022</v>
      </c>
      <c r="D1275" t="s">
        <v>2002</v>
      </c>
      <c r="E1275" t="s">
        <v>2005</v>
      </c>
      <c r="F1275" t="s">
        <v>1973</v>
      </c>
      <c r="G1275" t="s">
        <v>2025</v>
      </c>
      <c r="H1275" t="s">
        <v>1985</v>
      </c>
    </row>
    <row r="1276" spans="1:8" x14ac:dyDescent="0.25">
      <c r="A1276" t="s">
        <v>2026</v>
      </c>
      <c r="B1276" t="s">
        <v>2022</v>
      </c>
      <c r="C1276" t="s">
        <v>2023</v>
      </c>
      <c r="D1276" t="s">
        <v>2005</v>
      </c>
      <c r="E1276" t="s">
        <v>2006</v>
      </c>
      <c r="F1276" t="s">
        <v>1974</v>
      </c>
      <c r="G1276" t="s">
        <v>1987</v>
      </c>
      <c r="H1276" t="s">
        <v>2025</v>
      </c>
    </row>
    <row r="1277" spans="1:8" x14ac:dyDescent="0.25">
      <c r="A1277" t="s">
        <v>2027</v>
      </c>
      <c r="B1277" t="s">
        <v>2023</v>
      </c>
      <c r="C1277" t="s">
        <v>2024</v>
      </c>
      <c r="D1277" t="s">
        <v>2006</v>
      </c>
      <c r="E1277" t="s">
        <v>2007</v>
      </c>
      <c r="F1277" t="s">
        <v>1976</v>
      </c>
      <c r="G1277" t="s">
        <v>2010</v>
      </c>
      <c r="H1277" t="s">
        <v>1987</v>
      </c>
    </row>
    <row r="1278" spans="1:8" x14ac:dyDescent="0.25">
      <c r="A1278" t="s">
        <v>2028</v>
      </c>
      <c r="B1278" t="s">
        <v>2024</v>
      </c>
      <c r="C1278" t="s">
        <v>2026</v>
      </c>
      <c r="D1278" t="s">
        <v>2007</v>
      </c>
      <c r="E1278" t="s">
        <v>2009</v>
      </c>
      <c r="F1278" t="s">
        <v>1975</v>
      </c>
      <c r="G1278" t="s">
        <v>2013</v>
      </c>
      <c r="H1278" t="s">
        <v>1982</v>
      </c>
    </row>
    <row r="1279" spans="1:8" x14ac:dyDescent="0.25">
      <c r="A1279" t="s">
        <v>2029</v>
      </c>
      <c r="B1279" t="s">
        <v>2027</v>
      </c>
      <c r="C1279" t="s">
        <v>2027</v>
      </c>
      <c r="D1279" t="s">
        <v>2009</v>
      </c>
      <c r="E1279" t="s">
        <v>2012</v>
      </c>
      <c r="F1279" t="s">
        <v>1977</v>
      </c>
      <c r="G1279" t="s">
        <v>1988</v>
      </c>
      <c r="H1279" t="s">
        <v>2010</v>
      </c>
    </row>
    <row r="1280" spans="1:8" x14ac:dyDescent="0.25">
      <c r="A1280" t="s">
        <v>2030</v>
      </c>
      <c r="B1280" t="s">
        <v>2028</v>
      </c>
      <c r="C1280" t="s">
        <v>2028</v>
      </c>
      <c r="D1280" t="s">
        <v>2012</v>
      </c>
      <c r="E1280" t="s">
        <v>2014</v>
      </c>
      <c r="F1280" t="s">
        <v>1978</v>
      </c>
      <c r="G1280" t="s">
        <v>1989</v>
      </c>
      <c r="H1280" t="s">
        <v>2013</v>
      </c>
    </row>
    <row r="1281" spans="1:8" x14ac:dyDescent="0.25">
      <c r="A1281" t="s">
        <v>2031</v>
      </c>
      <c r="B1281" t="s">
        <v>2029</v>
      </c>
      <c r="C1281" t="s">
        <v>2029</v>
      </c>
      <c r="D1281" t="s">
        <v>2014</v>
      </c>
      <c r="E1281" t="s">
        <v>2015</v>
      </c>
      <c r="F1281" t="s">
        <v>1979</v>
      </c>
      <c r="G1281" t="s">
        <v>1992</v>
      </c>
      <c r="H1281" t="s">
        <v>1988</v>
      </c>
    </row>
    <row r="1282" spans="1:8" x14ac:dyDescent="0.25">
      <c r="A1282" t="s">
        <v>2032</v>
      </c>
      <c r="B1282" t="s">
        <v>2030</v>
      </c>
      <c r="C1282" t="s">
        <v>2030</v>
      </c>
      <c r="D1282" t="s">
        <v>2015</v>
      </c>
      <c r="E1282" t="s">
        <v>2016</v>
      </c>
      <c r="F1282" t="s">
        <v>1980</v>
      </c>
      <c r="G1282" t="s">
        <v>1993</v>
      </c>
      <c r="H1282" t="s">
        <v>1990</v>
      </c>
    </row>
    <row r="1283" spans="1:8" x14ac:dyDescent="0.25">
      <c r="A1283" t="s">
        <v>2033</v>
      </c>
      <c r="B1283" t="s">
        <v>2031</v>
      </c>
      <c r="C1283" t="s">
        <v>2031</v>
      </c>
      <c r="D1283" t="s">
        <v>2016</v>
      </c>
      <c r="E1283" t="s">
        <v>2017</v>
      </c>
      <c r="F1283" t="s">
        <v>1985</v>
      </c>
      <c r="G1283" t="s">
        <v>1995</v>
      </c>
      <c r="H1283" t="s">
        <v>1991</v>
      </c>
    </row>
    <row r="1284" spans="1:8" x14ac:dyDescent="0.25">
      <c r="A1284" t="s">
        <v>2034</v>
      </c>
      <c r="B1284" t="s">
        <v>2032</v>
      </c>
      <c r="C1284" t="s">
        <v>2032</v>
      </c>
      <c r="D1284" t="s">
        <v>2017</v>
      </c>
      <c r="E1284" t="s">
        <v>2018</v>
      </c>
      <c r="F1284" t="s">
        <v>2025</v>
      </c>
      <c r="G1284" t="s">
        <v>1996</v>
      </c>
      <c r="H1284" t="s">
        <v>1992</v>
      </c>
    </row>
    <row r="1285" spans="1:8" x14ac:dyDescent="0.25">
      <c r="A1285" t="s">
        <v>2035</v>
      </c>
      <c r="B1285" t="s">
        <v>2033</v>
      </c>
      <c r="C1285" t="s">
        <v>2033</v>
      </c>
      <c r="D1285" t="s">
        <v>2018</v>
      </c>
      <c r="E1285" t="s">
        <v>2019</v>
      </c>
      <c r="F1285" t="s">
        <v>1987</v>
      </c>
      <c r="G1285" t="s">
        <v>2036</v>
      </c>
      <c r="H1285" t="s">
        <v>1993</v>
      </c>
    </row>
    <row r="1286" spans="1:8" x14ac:dyDescent="0.25">
      <c r="A1286" t="s">
        <v>2037</v>
      </c>
      <c r="B1286" t="s">
        <v>2034</v>
      </c>
      <c r="C1286" t="s">
        <v>2034</v>
      </c>
      <c r="D1286" t="s">
        <v>2019</v>
      </c>
      <c r="E1286" t="s">
        <v>2021</v>
      </c>
      <c r="F1286" t="s">
        <v>1982</v>
      </c>
      <c r="G1286" t="s">
        <v>2038</v>
      </c>
      <c r="H1286" t="s">
        <v>1995</v>
      </c>
    </row>
    <row r="1287" spans="1:8" x14ac:dyDescent="0.25">
      <c r="A1287" t="s">
        <v>2039</v>
      </c>
      <c r="B1287" t="s">
        <v>2035</v>
      </c>
      <c r="C1287" t="s">
        <v>2035</v>
      </c>
      <c r="D1287" t="s">
        <v>2021</v>
      </c>
      <c r="E1287" t="s">
        <v>2022</v>
      </c>
      <c r="F1287" t="s">
        <v>2010</v>
      </c>
      <c r="G1287" t="s">
        <v>2040</v>
      </c>
      <c r="H1287" t="s">
        <v>1996</v>
      </c>
    </row>
    <row r="1288" spans="1:8" x14ac:dyDescent="0.25">
      <c r="A1288" t="s">
        <v>2041</v>
      </c>
      <c r="B1288" t="s">
        <v>2037</v>
      </c>
      <c r="C1288" t="s">
        <v>2037</v>
      </c>
      <c r="D1288" t="s">
        <v>2022</v>
      </c>
      <c r="E1288" t="s">
        <v>2023</v>
      </c>
      <c r="F1288" t="s">
        <v>2013</v>
      </c>
      <c r="G1288" t="s">
        <v>2042</v>
      </c>
      <c r="H1288" t="s">
        <v>1997</v>
      </c>
    </row>
    <row r="1289" spans="1:8" x14ac:dyDescent="0.25">
      <c r="A1289" t="s">
        <v>2043</v>
      </c>
      <c r="B1289" t="s">
        <v>2039</v>
      </c>
      <c r="C1289" t="s">
        <v>2039</v>
      </c>
      <c r="D1289" t="s">
        <v>2023</v>
      </c>
      <c r="E1289" t="s">
        <v>2024</v>
      </c>
      <c r="F1289" t="s">
        <v>1988</v>
      </c>
      <c r="G1289" t="s">
        <v>2044</v>
      </c>
      <c r="H1289" t="s">
        <v>1999</v>
      </c>
    </row>
    <row r="1290" spans="1:8" x14ac:dyDescent="0.25">
      <c r="A1290" t="s">
        <v>2045</v>
      </c>
      <c r="B1290" t="s">
        <v>2041</v>
      </c>
      <c r="C1290" t="s">
        <v>2041</v>
      </c>
      <c r="D1290" t="s">
        <v>2024</v>
      </c>
      <c r="E1290" t="s">
        <v>2027</v>
      </c>
      <c r="F1290" t="s">
        <v>1989</v>
      </c>
      <c r="G1290" t="s">
        <v>1997</v>
      </c>
      <c r="H1290" t="s">
        <v>2002</v>
      </c>
    </row>
    <row r="1291" spans="1:8" x14ac:dyDescent="0.25">
      <c r="A1291" t="s">
        <v>2046</v>
      </c>
      <c r="B1291" t="s">
        <v>2043</v>
      </c>
      <c r="C1291" t="s">
        <v>2043</v>
      </c>
      <c r="D1291" t="s">
        <v>2026</v>
      </c>
      <c r="E1291" t="s">
        <v>2028</v>
      </c>
      <c r="F1291" t="s">
        <v>1992</v>
      </c>
      <c r="G1291" t="s">
        <v>1999</v>
      </c>
      <c r="H1291" t="s">
        <v>2005</v>
      </c>
    </row>
    <row r="1292" spans="1:8" x14ac:dyDescent="0.25">
      <c r="A1292" t="s">
        <v>2047</v>
      </c>
      <c r="B1292" t="s">
        <v>2045</v>
      </c>
      <c r="C1292" t="s">
        <v>2045</v>
      </c>
      <c r="D1292" t="s">
        <v>2027</v>
      </c>
      <c r="E1292" t="s">
        <v>2029</v>
      </c>
      <c r="F1292" t="s">
        <v>1993</v>
      </c>
      <c r="G1292" t="s">
        <v>2002</v>
      </c>
      <c r="H1292" t="s">
        <v>2006</v>
      </c>
    </row>
    <row r="1293" spans="1:8" x14ac:dyDescent="0.25">
      <c r="A1293" t="s">
        <v>2048</v>
      </c>
      <c r="B1293" t="s">
        <v>2046</v>
      </c>
      <c r="C1293" t="s">
        <v>2046</v>
      </c>
      <c r="D1293" t="s">
        <v>2028</v>
      </c>
      <c r="E1293" t="s">
        <v>2030</v>
      </c>
      <c r="F1293" t="s">
        <v>1995</v>
      </c>
      <c r="G1293" t="s">
        <v>2006</v>
      </c>
      <c r="H1293" t="s">
        <v>2007</v>
      </c>
    </row>
    <row r="1294" spans="1:8" x14ac:dyDescent="0.25">
      <c r="A1294" t="s">
        <v>2049</v>
      </c>
      <c r="B1294" t="s">
        <v>2047</v>
      </c>
      <c r="C1294" t="s">
        <v>2047</v>
      </c>
      <c r="D1294" t="s">
        <v>2029</v>
      </c>
      <c r="E1294" t="s">
        <v>2031</v>
      </c>
      <c r="F1294" t="s">
        <v>1996</v>
      </c>
      <c r="G1294" t="s">
        <v>2007</v>
      </c>
      <c r="H1294" t="s">
        <v>2009</v>
      </c>
    </row>
    <row r="1295" spans="1:8" x14ac:dyDescent="0.25">
      <c r="A1295" t="s">
        <v>2050</v>
      </c>
      <c r="B1295" t="s">
        <v>2048</v>
      </c>
      <c r="C1295" t="s">
        <v>2048</v>
      </c>
      <c r="D1295" t="s">
        <v>2030</v>
      </c>
      <c r="E1295" t="s">
        <v>2032</v>
      </c>
      <c r="F1295" t="s">
        <v>1997</v>
      </c>
      <c r="G1295" t="s">
        <v>2009</v>
      </c>
      <c r="H1295" t="s">
        <v>2012</v>
      </c>
    </row>
    <row r="1296" spans="1:8" x14ac:dyDescent="0.25">
      <c r="A1296" t="s">
        <v>2051</v>
      </c>
      <c r="B1296" t="s">
        <v>2049</v>
      </c>
      <c r="C1296" t="s">
        <v>2049</v>
      </c>
      <c r="D1296" t="s">
        <v>2031</v>
      </c>
      <c r="E1296" t="s">
        <v>2033</v>
      </c>
      <c r="F1296" t="s">
        <v>1999</v>
      </c>
      <c r="G1296" t="s">
        <v>2012</v>
      </c>
      <c r="H1296" t="s">
        <v>2014</v>
      </c>
    </row>
    <row r="1297" spans="1:8" x14ac:dyDescent="0.25">
      <c r="A1297" t="s">
        <v>2052</v>
      </c>
      <c r="B1297" t="s">
        <v>2050</v>
      </c>
      <c r="C1297" t="s">
        <v>2050</v>
      </c>
      <c r="D1297" t="s">
        <v>2032</v>
      </c>
      <c r="E1297" t="s">
        <v>2034</v>
      </c>
      <c r="F1297" t="s">
        <v>2002</v>
      </c>
      <c r="G1297" t="s">
        <v>2014</v>
      </c>
      <c r="H1297" t="s">
        <v>2016</v>
      </c>
    </row>
    <row r="1298" spans="1:8" x14ac:dyDescent="0.25">
      <c r="A1298" t="s">
        <v>2053</v>
      </c>
      <c r="B1298" t="s">
        <v>2051</v>
      </c>
      <c r="C1298" t="s">
        <v>2051</v>
      </c>
      <c r="D1298" t="s">
        <v>2033</v>
      </c>
      <c r="E1298" t="s">
        <v>2035</v>
      </c>
      <c r="F1298" t="s">
        <v>2005</v>
      </c>
      <c r="G1298" t="s">
        <v>2016</v>
      </c>
      <c r="H1298" t="s">
        <v>2017</v>
      </c>
    </row>
    <row r="1299" spans="1:8" x14ac:dyDescent="0.25">
      <c r="A1299" t="s">
        <v>2054</v>
      </c>
      <c r="B1299" t="s">
        <v>2052</v>
      </c>
      <c r="C1299" t="s">
        <v>2052</v>
      </c>
      <c r="D1299" t="s">
        <v>2034</v>
      </c>
      <c r="E1299" t="s">
        <v>2037</v>
      </c>
      <c r="F1299" t="s">
        <v>2006</v>
      </c>
      <c r="G1299" t="s">
        <v>2017</v>
      </c>
      <c r="H1299" t="s">
        <v>2018</v>
      </c>
    </row>
    <row r="1300" spans="1:8" x14ac:dyDescent="0.25">
      <c r="A1300" t="s">
        <v>2055</v>
      </c>
      <c r="B1300" t="s">
        <v>2053</v>
      </c>
      <c r="C1300" t="s">
        <v>2053</v>
      </c>
      <c r="D1300" t="s">
        <v>2035</v>
      </c>
      <c r="E1300" t="s">
        <v>2039</v>
      </c>
      <c r="F1300" t="s">
        <v>2009</v>
      </c>
      <c r="G1300" t="s">
        <v>2018</v>
      </c>
      <c r="H1300" t="s">
        <v>2019</v>
      </c>
    </row>
    <row r="1301" spans="1:8" x14ac:dyDescent="0.25">
      <c r="A1301" t="s">
        <v>2056</v>
      </c>
      <c r="B1301" t="s">
        <v>2054</v>
      </c>
      <c r="C1301" t="s">
        <v>2054</v>
      </c>
      <c r="D1301" t="s">
        <v>2037</v>
      </c>
      <c r="E1301" t="s">
        <v>2041</v>
      </c>
      <c r="F1301" t="s">
        <v>2012</v>
      </c>
      <c r="G1301" t="s">
        <v>2019</v>
      </c>
      <c r="H1301" t="s">
        <v>2021</v>
      </c>
    </row>
    <row r="1302" spans="1:8" x14ac:dyDescent="0.25">
      <c r="A1302" t="s">
        <v>2057</v>
      </c>
      <c r="B1302" t="s">
        <v>2055</v>
      </c>
      <c r="C1302" t="s">
        <v>2055</v>
      </c>
      <c r="D1302" t="s">
        <v>2039</v>
      </c>
      <c r="E1302" t="s">
        <v>2043</v>
      </c>
      <c r="F1302" t="s">
        <v>2014</v>
      </c>
      <c r="G1302" t="s">
        <v>2021</v>
      </c>
      <c r="H1302" t="s">
        <v>2022</v>
      </c>
    </row>
    <row r="1303" spans="1:8" x14ac:dyDescent="0.25">
      <c r="A1303" t="s">
        <v>2058</v>
      </c>
      <c r="B1303" t="s">
        <v>2056</v>
      </c>
      <c r="C1303" t="s">
        <v>2056</v>
      </c>
      <c r="D1303" t="s">
        <v>2041</v>
      </c>
      <c r="E1303" t="s">
        <v>2045</v>
      </c>
      <c r="F1303" t="s">
        <v>2016</v>
      </c>
      <c r="G1303" t="s">
        <v>2022</v>
      </c>
      <c r="H1303" t="s">
        <v>2023</v>
      </c>
    </row>
    <row r="1304" spans="1:8" x14ac:dyDescent="0.25">
      <c r="A1304" t="s">
        <v>2059</v>
      </c>
      <c r="B1304" t="s">
        <v>2057</v>
      </c>
      <c r="C1304" t="s">
        <v>2057</v>
      </c>
      <c r="D1304" t="s">
        <v>2043</v>
      </c>
      <c r="E1304" t="s">
        <v>2046</v>
      </c>
      <c r="F1304" t="s">
        <v>2017</v>
      </c>
      <c r="G1304" t="s">
        <v>2023</v>
      </c>
      <c r="H1304" t="s">
        <v>2024</v>
      </c>
    </row>
    <row r="1305" spans="1:8" x14ac:dyDescent="0.25">
      <c r="A1305" t="s">
        <v>2060</v>
      </c>
      <c r="B1305" t="s">
        <v>2058</v>
      </c>
      <c r="C1305" t="s">
        <v>2058</v>
      </c>
      <c r="D1305" t="s">
        <v>2045</v>
      </c>
      <c r="E1305" t="s">
        <v>2047</v>
      </c>
      <c r="F1305" t="s">
        <v>2018</v>
      </c>
      <c r="G1305" t="s">
        <v>2024</v>
      </c>
      <c r="H1305" t="s">
        <v>2026</v>
      </c>
    </row>
    <row r="1306" spans="1:8" x14ac:dyDescent="0.25">
      <c r="A1306" t="s">
        <v>2061</v>
      </c>
      <c r="B1306" t="s">
        <v>2059</v>
      </c>
      <c r="C1306" t="s">
        <v>2059</v>
      </c>
      <c r="D1306" t="s">
        <v>2046</v>
      </c>
      <c r="E1306" t="s">
        <v>2048</v>
      </c>
      <c r="F1306" t="s">
        <v>2019</v>
      </c>
      <c r="G1306" t="s">
        <v>2027</v>
      </c>
      <c r="H1306" t="s">
        <v>2027</v>
      </c>
    </row>
    <row r="1307" spans="1:8" x14ac:dyDescent="0.25">
      <c r="A1307" t="s">
        <v>2062</v>
      </c>
      <c r="B1307" t="s">
        <v>2060</v>
      </c>
      <c r="C1307" t="s">
        <v>2060</v>
      </c>
      <c r="D1307" t="s">
        <v>2047</v>
      </c>
      <c r="E1307" t="s">
        <v>2049</v>
      </c>
      <c r="F1307" t="s">
        <v>2022</v>
      </c>
      <c r="G1307" t="s">
        <v>2028</v>
      </c>
      <c r="H1307" t="s">
        <v>2028</v>
      </c>
    </row>
    <row r="1308" spans="1:8" x14ac:dyDescent="0.25">
      <c r="A1308" t="s">
        <v>2063</v>
      </c>
      <c r="B1308" t="s">
        <v>2061</v>
      </c>
      <c r="C1308" t="s">
        <v>2061</v>
      </c>
      <c r="D1308" t="s">
        <v>2048</v>
      </c>
      <c r="E1308" t="s">
        <v>2050</v>
      </c>
      <c r="F1308" t="s">
        <v>2023</v>
      </c>
      <c r="G1308" t="s">
        <v>2029</v>
      </c>
      <c r="H1308" t="s">
        <v>2029</v>
      </c>
    </row>
    <row r="1309" spans="1:8" x14ac:dyDescent="0.25">
      <c r="A1309" t="s">
        <v>2064</v>
      </c>
      <c r="B1309" t="s">
        <v>2062</v>
      </c>
      <c r="C1309" t="s">
        <v>2062</v>
      </c>
      <c r="D1309" t="s">
        <v>2049</v>
      </c>
      <c r="E1309" t="s">
        <v>2051</v>
      </c>
      <c r="F1309" t="s">
        <v>2024</v>
      </c>
      <c r="G1309" t="s">
        <v>2030</v>
      </c>
      <c r="H1309" t="s">
        <v>2030</v>
      </c>
    </row>
    <row r="1310" spans="1:8" x14ac:dyDescent="0.25">
      <c r="A1310" t="s">
        <v>2065</v>
      </c>
      <c r="B1310" t="s">
        <v>2063</v>
      </c>
      <c r="C1310" t="s">
        <v>2063</v>
      </c>
      <c r="D1310" t="s">
        <v>2050</v>
      </c>
      <c r="E1310" t="s">
        <v>2052</v>
      </c>
      <c r="F1310" t="s">
        <v>2027</v>
      </c>
      <c r="G1310" t="s">
        <v>2031</v>
      </c>
      <c r="H1310" t="s">
        <v>2031</v>
      </c>
    </row>
    <row r="1311" spans="1:8" x14ac:dyDescent="0.25">
      <c r="A1311" t="s">
        <v>2066</v>
      </c>
      <c r="B1311" t="s">
        <v>2064</v>
      </c>
      <c r="C1311" t="s">
        <v>2064</v>
      </c>
      <c r="D1311" t="s">
        <v>2051</v>
      </c>
      <c r="E1311" t="s">
        <v>2053</v>
      </c>
      <c r="F1311" t="s">
        <v>2028</v>
      </c>
      <c r="G1311" t="s">
        <v>2032</v>
      </c>
      <c r="H1311" t="s">
        <v>2032</v>
      </c>
    </row>
    <row r="1312" spans="1:8" x14ac:dyDescent="0.25">
      <c r="A1312" t="s">
        <v>2067</v>
      </c>
      <c r="B1312" t="s">
        <v>2065</v>
      </c>
      <c r="C1312" t="s">
        <v>2065</v>
      </c>
      <c r="D1312" t="s">
        <v>2052</v>
      </c>
      <c r="E1312" t="s">
        <v>2054</v>
      </c>
      <c r="F1312" t="s">
        <v>2029</v>
      </c>
      <c r="G1312" t="s">
        <v>2033</v>
      </c>
      <c r="H1312" t="s">
        <v>2033</v>
      </c>
    </row>
    <row r="1313" spans="1:8" x14ac:dyDescent="0.25">
      <c r="A1313" t="s">
        <v>2068</v>
      </c>
      <c r="B1313" t="s">
        <v>2066</v>
      </c>
      <c r="C1313" t="s">
        <v>2066</v>
      </c>
      <c r="D1313" t="s">
        <v>2054</v>
      </c>
      <c r="E1313" t="s">
        <v>2055</v>
      </c>
      <c r="F1313" t="s">
        <v>2030</v>
      </c>
      <c r="G1313" t="s">
        <v>2035</v>
      </c>
      <c r="H1313" t="s">
        <v>2035</v>
      </c>
    </row>
    <row r="1314" spans="1:8" x14ac:dyDescent="0.25">
      <c r="A1314" t="s">
        <v>2069</v>
      </c>
      <c r="B1314" t="s">
        <v>2067</v>
      </c>
      <c r="C1314" t="s">
        <v>2067</v>
      </c>
      <c r="D1314" t="s">
        <v>2055</v>
      </c>
      <c r="E1314" t="s">
        <v>2056</v>
      </c>
      <c r="F1314" t="s">
        <v>2031</v>
      </c>
      <c r="G1314" t="s">
        <v>2037</v>
      </c>
      <c r="H1314" t="s">
        <v>2037</v>
      </c>
    </row>
    <row r="1315" spans="1:8" x14ac:dyDescent="0.25">
      <c r="A1315" t="s">
        <v>2070</v>
      </c>
      <c r="B1315" t="s">
        <v>2069</v>
      </c>
      <c r="C1315" t="s">
        <v>2069</v>
      </c>
      <c r="D1315" t="s">
        <v>2056</v>
      </c>
      <c r="E1315" t="s">
        <v>2057</v>
      </c>
      <c r="F1315" t="s">
        <v>2032</v>
      </c>
      <c r="G1315" t="s">
        <v>2039</v>
      </c>
      <c r="H1315" t="s">
        <v>2039</v>
      </c>
    </row>
    <row r="1316" spans="1:8" x14ac:dyDescent="0.25">
      <c r="A1316" t="s">
        <v>2071</v>
      </c>
      <c r="B1316" t="s">
        <v>2070</v>
      </c>
      <c r="C1316" t="s">
        <v>2070</v>
      </c>
      <c r="D1316" t="s">
        <v>2057</v>
      </c>
      <c r="E1316" t="s">
        <v>2058</v>
      </c>
      <c r="F1316" t="s">
        <v>2033</v>
      </c>
      <c r="G1316" t="s">
        <v>2043</v>
      </c>
      <c r="H1316" t="s">
        <v>2041</v>
      </c>
    </row>
    <row r="1317" spans="1:8" x14ac:dyDescent="0.25">
      <c r="A1317" t="s">
        <v>2072</v>
      </c>
      <c r="B1317" t="s">
        <v>2071</v>
      </c>
      <c r="C1317" t="s">
        <v>2071</v>
      </c>
      <c r="D1317" t="s">
        <v>2058</v>
      </c>
      <c r="E1317" t="s">
        <v>2060</v>
      </c>
      <c r="F1317" t="s">
        <v>2035</v>
      </c>
      <c r="G1317" t="s">
        <v>2045</v>
      </c>
      <c r="H1317" t="s">
        <v>2043</v>
      </c>
    </row>
    <row r="1318" spans="1:8" x14ac:dyDescent="0.25">
      <c r="A1318" t="s">
        <v>2073</v>
      </c>
      <c r="B1318" t="s">
        <v>2072</v>
      </c>
      <c r="C1318" t="s">
        <v>2072</v>
      </c>
      <c r="D1318" t="s">
        <v>2060</v>
      </c>
      <c r="E1318" t="s">
        <v>2062</v>
      </c>
      <c r="F1318" t="s">
        <v>2037</v>
      </c>
      <c r="G1318" t="s">
        <v>2046</v>
      </c>
      <c r="H1318" t="s">
        <v>2045</v>
      </c>
    </row>
    <row r="1319" spans="1:8" x14ac:dyDescent="0.25">
      <c r="A1319" t="s">
        <v>2074</v>
      </c>
      <c r="B1319" t="s">
        <v>2073</v>
      </c>
      <c r="C1319" t="s">
        <v>2073</v>
      </c>
      <c r="D1319" t="s">
        <v>2062</v>
      </c>
      <c r="E1319" t="s">
        <v>2063</v>
      </c>
      <c r="F1319" t="s">
        <v>2039</v>
      </c>
      <c r="G1319" t="s">
        <v>2048</v>
      </c>
      <c r="H1319" t="s">
        <v>2046</v>
      </c>
    </row>
    <row r="1320" spans="1:8" x14ac:dyDescent="0.25">
      <c r="A1320" t="s">
        <v>2075</v>
      </c>
      <c r="B1320" t="s">
        <v>2074</v>
      </c>
      <c r="C1320" t="s">
        <v>2074</v>
      </c>
      <c r="D1320" t="s">
        <v>2063</v>
      </c>
      <c r="E1320" t="s">
        <v>2064</v>
      </c>
      <c r="F1320" t="s">
        <v>2041</v>
      </c>
      <c r="G1320" t="s">
        <v>2049</v>
      </c>
      <c r="H1320" t="s">
        <v>2049</v>
      </c>
    </row>
    <row r="1321" spans="1:8" x14ac:dyDescent="0.25">
      <c r="A1321" t="s">
        <v>2076</v>
      </c>
      <c r="B1321" t="s">
        <v>2075</v>
      </c>
      <c r="C1321" t="s">
        <v>2075</v>
      </c>
      <c r="D1321" t="s">
        <v>2064</v>
      </c>
      <c r="E1321" t="s">
        <v>2065</v>
      </c>
      <c r="F1321" t="s">
        <v>2043</v>
      </c>
      <c r="G1321" t="s">
        <v>2050</v>
      </c>
      <c r="H1321" t="s">
        <v>2050</v>
      </c>
    </row>
    <row r="1322" spans="1:8" x14ac:dyDescent="0.25">
      <c r="A1322" t="s">
        <v>2077</v>
      </c>
      <c r="B1322" t="s">
        <v>2076</v>
      </c>
      <c r="C1322" t="s">
        <v>2076</v>
      </c>
      <c r="D1322" t="s">
        <v>2065</v>
      </c>
      <c r="E1322" t="s">
        <v>2066</v>
      </c>
      <c r="F1322" t="s">
        <v>2045</v>
      </c>
      <c r="G1322" t="s">
        <v>2051</v>
      </c>
      <c r="H1322" t="s">
        <v>2051</v>
      </c>
    </row>
    <row r="1323" spans="1:8" x14ac:dyDescent="0.25">
      <c r="A1323" t="s">
        <v>2078</v>
      </c>
      <c r="B1323" t="s">
        <v>2077</v>
      </c>
      <c r="C1323" t="s">
        <v>2077</v>
      </c>
      <c r="D1323" t="s">
        <v>2066</v>
      </c>
      <c r="E1323" t="s">
        <v>2067</v>
      </c>
      <c r="F1323" t="s">
        <v>2046</v>
      </c>
      <c r="G1323" t="s">
        <v>2052</v>
      </c>
      <c r="H1323" t="s">
        <v>2052</v>
      </c>
    </row>
    <row r="1324" spans="1:8" x14ac:dyDescent="0.25">
      <c r="A1324" t="s">
        <v>2079</v>
      </c>
      <c r="B1324" t="s">
        <v>2078</v>
      </c>
      <c r="C1324" t="s">
        <v>2078</v>
      </c>
      <c r="D1324" t="s">
        <v>2067</v>
      </c>
      <c r="E1324" t="s">
        <v>2069</v>
      </c>
      <c r="F1324" t="s">
        <v>2049</v>
      </c>
      <c r="G1324" t="s">
        <v>2054</v>
      </c>
      <c r="H1324" t="s">
        <v>2054</v>
      </c>
    </row>
    <row r="1325" spans="1:8" x14ac:dyDescent="0.25">
      <c r="A1325" t="s">
        <v>2080</v>
      </c>
      <c r="B1325" t="s">
        <v>2079</v>
      </c>
      <c r="C1325" t="s">
        <v>2079</v>
      </c>
      <c r="D1325" t="s">
        <v>2069</v>
      </c>
      <c r="E1325" t="s">
        <v>2070</v>
      </c>
      <c r="F1325" t="s">
        <v>2050</v>
      </c>
      <c r="G1325" t="s">
        <v>2055</v>
      </c>
      <c r="H1325" t="s">
        <v>2055</v>
      </c>
    </row>
    <row r="1326" spans="1:8" x14ac:dyDescent="0.25">
      <c r="A1326" t="s">
        <v>2081</v>
      </c>
      <c r="B1326" t="s">
        <v>2080</v>
      </c>
      <c r="C1326" t="s">
        <v>2080</v>
      </c>
      <c r="D1326" t="s">
        <v>2070</v>
      </c>
      <c r="E1326" t="s">
        <v>2071</v>
      </c>
      <c r="F1326" t="s">
        <v>2051</v>
      </c>
      <c r="G1326" t="s">
        <v>2056</v>
      </c>
      <c r="H1326" t="s">
        <v>2056</v>
      </c>
    </row>
    <row r="1327" spans="1:8" x14ac:dyDescent="0.25">
      <c r="A1327" t="s">
        <v>2082</v>
      </c>
      <c r="B1327" t="s">
        <v>2081</v>
      </c>
      <c r="C1327" t="s">
        <v>2081</v>
      </c>
      <c r="D1327" t="s">
        <v>2071</v>
      </c>
      <c r="E1327" t="s">
        <v>2072</v>
      </c>
      <c r="F1327" t="s">
        <v>2052</v>
      </c>
      <c r="G1327" t="s">
        <v>2057</v>
      </c>
      <c r="H1327" t="s">
        <v>2057</v>
      </c>
    </row>
    <row r="1328" spans="1:8" x14ac:dyDescent="0.25">
      <c r="A1328" t="s">
        <v>2083</v>
      </c>
      <c r="B1328" t="s">
        <v>2082</v>
      </c>
      <c r="C1328" t="s">
        <v>2082</v>
      </c>
      <c r="D1328" t="s">
        <v>2072</v>
      </c>
      <c r="E1328" t="s">
        <v>2073</v>
      </c>
      <c r="F1328" t="s">
        <v>2054</v>
      </c>
      <c r="G1328" t="s">
        <v>2058</v>
      </c>
      <c r="H1328" t="s">
        <v>2058</v>
      </c>
    </row>
    <row r="1329" spans="1:8" x14ac:dyDescent="0.25">
      <c r="A1329" t="s">
        <v>2084</v>
      </c>
      <c r="B1329" t="s">
        <v>2083</v>
      </c>
      <c r="C1329" t="s">
        <v>2083</v>
      </c>
      <c r="D1329" t="s">
        <v>2073</v>
      </c>
      <c r="E1329" t="s">
        <v>2074</v>
      </c>
      <c r="F1329" t="s">
        <v>2055</v>
      </c>
      <c r="G1329" t="s">
        <v>2060</v>
      </c>
      <c r="H1329" t="s">
        <v>2060</v>
      </c>
    </row>
    <row r="1330" spans="1:8" x14ac:dyDescent="0.25">
      <c r="A1330" t="s">
        <v>2085</v>
      </c>
      <c r="B1330" t="s">
        <v>2084</v>
      </c>
      <c r="C1330" t="s">
        <v>2084</v>
      </c>
      <c r="D1330" t="s">
        <v>2074</v>
      </c>
      <c r="E1330" t="s">
        <v>2075</v>
      </c>
      <c r="F1330" t="s">
        <v>2056</v>
      </c>
      <c r="G1330" t="s">
        <v>2062</v>
      </c>
      <c r="H1330" t="s">
        <v>2062</v>
      </c>
    </row>
    <row r="1331" spans="1:8" x14ac:dyDescent="0.25">
      <c r="A1331" t="s">
        <v>2086</v>
      </c>
      <c r="B1331" t="s">
        <v>2085</v>
      </c>
      <c r="C1331" t="s">
        <v>2085</v>
      </c>
      <c r="D1331" t="s">
        <v>2075</v>
      </c>
      <c r="E1331" t="s">
        <v>2076</v>
      </c>
      <c r="F1331" t="s">
        <v>2057</v>
      </c>
      <c r="G1331" t="s">
        <v>2063</v>
      </c>
      <c r="H1331" t="s">
        <v>2063</v>
      </c>
    </row>
    <row r="1332" spans="1:8" x14ac:dyDescent="0.25">
      <c r="A1332" t="s">
        <v>2087</v>
      </c>
      <c r="B1332" t="s">
        <v>2086</v>
      </c>
      <c r="C1332" t="s">
        <v>2087</v>
      </c>
      <c r="D1332" t="s">
        <v>2076</v>
      </c>
      <c r="E1332" t="s">
        <v>2077</v>
      </c>
      <c r="F1332" t="s">
        <v>2058</v>
      </c>
      <c r="G1332" t="s">
        <v>2064</v>
      </c>
      <c r="H1332" t="s">
        <v>2065</v>
      </c>
    </row>
    <row r="1333" spans="1:8" x14ac:dyDescent="0.25">
      <c r="A1333" t="s">
        <v>2088</v>
      </c>
      <c r="B1333" t="s">
        <v>2087</v>
      </c>
      <c r="C1333" t="s">
        <v>2088</v>
      </c>
      <c r="D1333" t="s">
        <v>2077</v>
      </c>
      <c r="E1333" t="s">
        <v>2078</v>
      </c>
      <c r="F1333" t="s">
        <v>2060</v>
      </c>
      <c r="G1333" t="s">
        <v>2066</v>
      </c>
      <c r="H1333" t="s">
        <v>2066</v>
      </c>
    </row>
    <row r="1334" spans="1:8" x14ac:dyDescent="0.25">
      <c r="A1334" t="s">
        <v>2089</v>
      </c>
      <c r="B1334" t="s">
        <v>2088</v>
      </c>
      <c r="C1334" t="s">
        <v>2089</v>
      </c>
      <c r="D1334" t="s">
        <v>2078</v>
      </c>
      <c r="E1334" t="s">
        <v>2079</v>
      </c>
      <c r="F1334" t="s">
        <v>2062</v>
      </c>
      <c r="G1334" t="s">
        <v>2067</v>
      </c>
      <c r="H1334" t="s">
        <v>2067</v>
      </c>
    </row>
    <row r="1335" spans="1:8" x14ac:dyDescent="0.25">
      <c r="A1335" t="s">
        <v>2090</v>
      </c>
      <c r="B1335" t="s">
        <v>2089</v>
      </c>
      <c r="C1335" t="s">
        <v>2090</v>
      </c>
      <c r="D1335" t="s">
        <v>2079</v>
      </c>
      <c r="E1335" t="s">
        <v>2081</v>
      </c>
      <c r="F1335" t="s">
        <v>2063</v>
      </c>
      <c r="G1335" t="s">
        <v>2070</v>
      </c>
      <c r="H1335" t="s">
        <v>2070</v>
      </c>
    </row>
    <row r="1336" spans="1:8" x14ac:dyDescent="0.25">
      <c r="A1336" t="s">
        <v>2091</v>
      </c>
      <c r="B1336" t="s">
        <v>2090</v>
      </c>
      <c r="C1336" t="s">
        <v>2091</v>
      </c>
      <c r="D1336" t="s">
        <v>2081</v>
      </c>
      <c r="E1336" t="s">
        <v>2082</v>
      </c>
      <c r="F1336" t="s">
        <v>2064</v>
      </c>
      <c r="G1336" t="s">
        <v>2071</v>
      </c>
      <c r="H1336" t="s">
        <v>2071</v>
      </c>
    </row>
    <row r="1337" spans="1:8" x14ac:dyDescent="0.25">
      <c r="A1337" t="s">
        <v>2092</v>
      </c>
      <c r="B1337" t="s">
        <v>2091</v>
      </c>
      <c r="C1337" t="s">
        <v>2092</v>
      </c>
      <c r="D1337" t="s">
        <v>2082</v>
      </c>
      <c r="E1337" t="s">
        <v>2083</v>
      </c>
      <c r="F1337" t="s">
        <v>2066</v>
      </c>
      <c r="G1337" t="s">
        <v>2072</v>
      </c>
      <c r="H1337" t="s">
        <v>2072</v>
      </c>
    </row>
    <row r="1338" spans="1:8" x14ac:dyDescent="0.25">
      <c r="A1338" t="s">
        <v>2093</v>
      </c>
      <c r="B1338" t="s">
        <v>2092</v>
      </c>
      <c r="C1338" t="s">
        <v>2093</v>
      </c>
      <c r="D1338" t="s">
        <v>2083</v>
      </c>
      <c r="E1338" t="s">
        <v>2085</v>
      </c>
      <c r="F1338" t="s">
        <v>2067</v>
      </c>
      <c r="G1338" t="s">
        <v>2073</v>
      </c>
      <c r="H1338" t="s">
        <v>2073</v>
      </c>
    </row>
    <row r="1339" spans="1:8" x14ac:dyDescent="0.25">
      <c r="A1339" t="s">
        <v>2094</v>
      </c>
      <c r="B1339" t="s">
        <v>2093</v>
      </c>
      <c r="C1339" t="s">
        <v>2094</v>
      </c>
      <c r="D1339" t="s">
        <v>2084</v>
      </c>
      <c r="E1339" t="s">
        <v>2087</v>
      </c>
      <c r="F1339" t="s">
        <v>2069</v>
      </c>
      <c r="G1339" t="s">
        <v>2074</v>
      </c>
      <c r="H1339" t="s">
        <v>2074</v>
      </c>
    </row>
    <row r="1340" spans="1:8" x14ac:dyDescent="0.25">
      <c r="A1340" t="s">
        <v>2095</v>
      </c>
      <c r="B1340" t="s">
        <v>2094</v>
      </c>
      <c r="C1340" t="s">
        <v>2095</v>
      </c>
      <c r="D1340" t="s">
        <v>2085</v>
      </c>
      <c r="E1340" t="s">
        <v>2088</v>
      </c>
      <c r="F1340" t="s">
        <v>2071</v>
      </c>
      <c r="G1340" t="s">
        <v>2075</v>
      </c>
      <c r="H1340" t="s">
        <v>2075</v>
      </c>
    </row>
    <row r="1341" spans="1:8" x14ac:dyDescent="0.25">
      <c r="A1341" t="s">
        <v>2096</v>
      </c>
      <c r="B1341" t="s">
        <v>2095</v>
      </c>
      <c r="C1341" t="s">
        <v>2096</v>
      </c>
      <c r="D1341" t="s">
        <v>2087</v>
      </c>
      <c r="E1341" t="s">
        <v>2089</v>
      </c>
      <c r="F1341" t="s">
        <v>2072</v>
      </c>
      <c r="G1341" t="s">
        <v>2076</v>
      </c>
      <c r="H1341" t="s">
        <v>2077</v>
      </c>
    </row>
    <row r="1342" spans="1:8" x14ac:dyDescent="0.25">
      <c r="A1342" t="s">
        <v>2097</v>
      </c>
      <c r="B1342" t="s">
        <v>2096</v>
      </c>
      <c r="C1342" t="s">
        <v>2097</v>
      </c>
      <c r="D1342" t="s">
        <v>2088</v>
      </c>
      <c r="E1342" t="s">
        <v>2090</v>
      </c>
      <c r="F1342" t="s">
        <v>2074</v>
      </c>
      <c r="G1342" t="s">
        <v>2078</v>
      </c>
      <c r="H1342" t="s">
        <v>2078</v>
      </c>
    </row>
    <row r="1343" spans="1:8" x14ac:dyDescent="0.25">
      <c r="A1343" t="s">
        <v>2098</v>
      </c>
      <c r="B1343" t="s">
        <v>2097</v>
      </c>
      <c r="C1343" t="s">
        <v>2098</v>
      </c>
      <c r="D1343" t="s">
        <v>2089</v>
      </c>
      <c r="E1343" t="s">
        <v>2091</v>
      </c>
      <c r="F1343" t="s">
        <v>2075</v>
      </c>
      <c r="G1343" t="s">
        <v>2081</v>
      </c>
      <c r="H1343" t="s">
        <v>2081</v>
      </c>
    </row>
    <row r="1344" spans="1:8" x14ac:dyDescent="0.25">
      <c r="A1344" t="s">
        <v>2099</v>
      </c>
      <c r="B1344" t="s">
        <v>2098</v>
      </c>
      <c r="C1344" t="s">
        <v>2099</v>
      </c>
      <c r="D1344" t="s">
        <v>2090</v>
      </c>
      <c r="E1344" t="s">
        <v>2092</v>
      </c>
      <c r="F1344" t="s">
        <v>2076</v>
      </c>
      <c r="G1344" t="s">
        <v>2083</v>
      </c>
      <c r="H1344" t="s">
        <v>2083</v>
      </c>
    </row>
    <row r="1345" spans="1:8" x14ac:dyDescent="0.25">
      <c r="A1345" t="s">
        <v>2100</v>
      </c>
      <c r="B1345" t="s">
        <v>2099</v>
      </c>
      <c r="C1345" t="s">
        <v>2100</v>
      </c>
      <c r="D1345" t="s">
        <v>2091</v>
      </c>
      <c r="E1345" t="s">
        <v>2093</v>
      </c>
      <c r="F1345" t="s">
        <v>2077</v>
      </c>
      <c r="G1345" t="s">
        <v>2084</v>
      </c>
      <c r="H1345" t="s">
        <v>2084</v>
      </c>
    </row>
    <row r="1346" spans="1:8" x14ac:dyDescent="0.25">
      <c r="A1346" t="s">
        <v>2101</v>
      </c>
      <c r="B1346" t="s">
        <v>2100</v>
      </c>
      <c r="C1346" t="s">
        <v>2101</v>
      </c>
      <c r="D1346" t="s">
        <v>2092</v>
      </c>
      <c r="E1346" t="s">
        <v>2094</v>
      </c>
      <c r="F1346" t="s">
        <v>2078</v>
      </c>
      <c r="G1346" t="s">
        <v>2085</v>
      </c>
      <c r="H1346" t="s">
        <v>2085</v>
      </c>
    </row>
    <row r="1347" spans="1:8" x14ac:dyDescent="0.25">
      <c r="A1347" t="s">
        <v>2102</v>
      </c>
      <c r="B1347" t="s">
        <v>2101</v>
      </c>
      <c r="C1347" t="s">
        <v>2102</v>
      </c>
      <c r="D1347" t="s">
        <v>2093</v>
      </c>
      <c r="E1347" t="s">
        <v>2095</v>
      </c>
      <c r="F1347" t="s">
        <v>2079</v>
      </c>
      <c r="G1347" t="s">
        <v>2088</v>
      </c>
      <c r="H1347" t="s">
        <v>2086</v>
      </c>
    </row>
    <row r="1348" spans="1:8" x14ac:dyDescent="0.25">
      <c r="A1348" t="s">
        <v>2103</v>
      </c>
      <c r="B1348" t="s">
        <v>2102</v>
      </c>
      <c r="C1348" t="s">
        <v>2103</v>
      </c>
      <c r="D1348" t="s">
        <v>2095</v>
      </c>
      <c r="E1348" t="s">
        <v>2096</v>
      </c>
      <c r="F1348" t="s">
        <v>2081</v>
      </c>
      <c r="G1348" t="s">
        <v>2089</v>
      </c>
      <c r="H1348" t="s">
        <v>2088</v>
      </c>
    </row>
    <row r="1349" spans="1:8" x14ac:dyDescent="0.25">
      <c r="A1349" t="s">
        <v>2104</v>
      </c>
      <c r="B1349" t="s">
        <v>2103</v>
      </c>
      <c r="C1349" t="s">
        <v>2104</v>
      </c>
      <c r="D1349" t="s">
        <v>2096</v>
      </c>
      <c r="E1349" t="s">
        <v>2097</v>
      </c>
      <c r="F1349" t="s">
        <v>2083</v>
      </c>
      <c r="G1349" t="s">
        <v>2090</v>
      </c>
      <c r="H1349" t="s">
        <v>2089</v>
      </c>
    </row>
    <row r="1350" spans="1:8" x14ac:dyDescent="0.25">
      <c r="A1350" t="s">
        <v>2105</v>
      </c>
      <c r="B1350" t="s">
        <v>2104</v>
      </c>
      <c r="C1350" t="s">
        <v>2105</v>
      </c>
      <c r="D1350" t="s">
        <v>2097</v>
      </c>
      <c r="E1350" t="s">
        <v>2098</v>
      </c>
      <c r="F1350" t="s">
        <v>2084</v>
      </c>
      <c r="G1350" t="s">
        <v>2091</v>
      </c>
      <c r="H1350" t="s">
        <v>2090</v>
      </c>
    </row>
    <row r="1351" spans="1:8" x14ac:dyDescent="0.25">
      <c r="A1351" t="s">
        <v>2106</v>
      </c>
      <c r="B1351" t="s">
        <v>2105</v>
      </c>
      <c r="C1351" t="s">
        <v>2106</v>
      </c>
      <c r="D1351" t="s">
        <v>2098</v>
      </c>
      <c r="E1351" t="s">
        <v>2099</v>
      </c>
      <c r="F1351" t="s">
        <v>2085</v>
      </c>
      <c r="G1351" t="s">
        <v>2092</v>
      </c>
      <c r="H1351" t="s">
        <v>2091</v>
      </c>
    </row>
    <row r="1352" spans="1:8" x14ac:dyDescent="0.25">
      <c r="A1352" t="s">
        <v>2107</v>
      </c>
      <c r="B1352" t="s">
        <v>2106</v>
      </c>
      <c r="C1352" t="s">
        <v>2107</v>
      </c>
      <c r="D1352" t="s">
        <v>2099</v>
      </c>
      <c r="E1352" t="s">
        <v>2100</v>
      </c>
      <c r="F1352" t="s">
        <v>2088</v>
      </c>
      <c r="G1352" t="s">
        <v>2093</v>
      </c>
      <c r="H1352" t="s">
        <v>2092</v>
      </c>
    </row>
    <row r="1353" spans="1:8" x14ac:dyDescent="0.25">
      <c r="A1353" t="s">
        <v>2108</v>
      </c>
      <c r="B1353" t="s">
        <v>2107</v>
      </c>
      <c r="C1353" t="s">
        <v>2108</v>
      </c>
      <c r="D1353" t="s">
        <v>2100</v>
      </c>
      <c r="E1353" t="s">
        <v>2102</v>
      </c>
      <c r="F1353" t="s">
        <v>2089</v>
      </c>
      <c r="G1353" t="s">
        <v>2095</v>
      </c>
      <c r="H1353" t="s">
        <v>2093</v>
      </c>
    </row>
    <row r="1354" spans="1:8" x14ac:dyDescent="0.25">
      <c r="A1354" t="s">
        <v>2109</v>
      </c>
      <c r="B1354" t="s">
        <v>2108</v>
      </c>
      <c r="C1354" t="s">
        <v>2109</v>
      </c>
      <c r="D1354" t="s">
        <v>2102</v>
      </c>
      <c r="E1354" t="s">
        <v>2105</v>
      </c>
      <c r="F1354" t="s">
        <v>2090</v>
      </c>
      <c r="G1354" t="s">
        <v>2096</v>
      </c>
      <c r="H1354" t="s">
        <v>2095</v>
      </c>
    </row>
    <row r="1355" spans="1:8" x14ac:dyDescent="0.25">
      <c r="A1355" t="s">
        <v>2110</v>
      </c>
      <c r="B1355" t="s">
        <v>2109</v>
      </c>
      <c r="C1355" t="s">
        <v>2110</v>
      </c>
      <c r="D1355" t="s">
        <v>2105</v>
      </c>
      <c r="E1355" t="s">
        <v>2106</v>
      </c>
      <c r="F1355" t="s">
        <v>2091</v>
      </c>
      <c r="G1355" t="s">
        <v>2098</v>
      </c>
      <c r="H1355" t="s">
        <v>2096</v>
      </c>
    </row>
    <row r="1356" spans="1:8" x14ac:dyDescent="0.25">
      <c r="A1356" t="s">
        <v>2111</v>
      </c>
      <c r="B1356" t="s">
        <v>2110</v>
      </c>
      <c r="C1356" t="s">
        <v>2111</v>
      </c>
      <c r="D1356" t="s">
        <v>2106</v>
      </c>
      <c r="E1356" t="s">
        <v>2107</v>
      </c>
      <c r="F1356" t="s">
        <v>2092</v>
      </c>
      <c r="G1356" t="s">
        <v>2099</v>
      </c>
      <c r="H1356" t="s">
        <v>2098</v>
      </c>
    </row>
    <row r="1357" spans="1:8" x14ac:dyDescent="0.25">
      <c r="A1357" t="s">
        <v>2112</v>
      </c>
      <c r="B1357" t="s">
        <v>2111</v>
      </c>
      <c r="C1357" t="s">
        <v>2112</v>
      </c>
      <c r="D1357" t="s">
        <v>2107</v>
      </c>
      <c r="E1357" t="s">
        <v>2108</v>
      </c>
      <c r="F1357" t="s">
        <v>2095</v>
      </c>
      <c r="G1357" t="s">
        <v>2100</v>
      </c>
      <c r="H1357" t="s">
        <v>2099</v>
      </c>
    </row>
    <row r="1358" spans="1:8" x14ac:dyDescent="0.25">
      <c r="A1358" t="s">
        <v>2113</v>
      </c>
      <c r="B1358" t="s">
        <v>2112</v>
      </c>
      <c r="C1358" t="s">
        <v>2113</v>
      </c>
      <c r="D1358" t="s">
        <v>2108</v>
      </c>
      <c r="E1358" t="s">
        <v>2109</v>
      </c>
      <c r="F1358" t="s">
        <v>2096</v>
      </c>
      <c r="G1358" t="s">
        <v>2102</v>
      </c>
      <c r="H1358" t="s">
        <v>2100</v>
      </c>
    </row>
    <row r="1359" spans="1:8" x14ac:dyDescent="0.25">
      <c r="A1359" t="s">
        <v>2114</v>
      </c>
      <c r="B1359" t="s">
        <v>2113</v>
      </c>
      <c r="C1359" t="s">
        <v>2114</v>
      </c>
      <c r="D1359" t="s">
        <v>2109</v>
      </c>
      <c r="E1359" t="s">
        <v>2110</v>
      </c>
      <c r="F1359" t="s">
        <v>2097</v>
      </c>
      <c r="G1359" t="s">
        <v>2105</v>
      </c>
      <c r="H1359" t="s">
        <v>2102</v>
      </c>
    </row>
    <row r="1360" spans="1:8" x14ac:dyDescent="0.25">
      <c r="A1360" t="s">
        <v>2115</v>
      </c>
      <c r="B1360" t="s">
        <v>2114</v>
      </c>
      <c r="C1360" t="s">
        <v>2115</v>
      </c>
      <c r="D1360" t="s">
        <v>2110</v>
      </c>
      <c r="E1360" t="s">
        <v>2111</v>
      </c>
      <c r="F1360" t="s">
        <v>2098</v>
      </c>
      <c r="G1360" t="s">
        <v>2106</v>
      </c>
      <c r="H1360" t="s">
        <v>2105</v>
      </c>
    </row>
    <row r="1361" spans="1:8" x14ac:dyDescent="0.25">
      <c r="A1361" t="s">
        <v>2116</v>
      </c>
      <c r="B1361" t="s">
        <v>2115</v>
      </c>
      <c r="C1361" t="s">
        <v>2116</v>
      </c>
      <c r="D1361" t="s">
        <v>2111</v>
      </c>
      <c r="E1361" t="s">
        <v>2112</v>
      </c>
      <c r="F1361" t="s">
        <v>2099</v>
      </c>
      <c r="G1361" t="s">
        <v>2107</v>
      </c>
      <c r="H1361" t="s">
        <v>2106</v>
      </c>
    </row>
    <row r="1362" spans="1:8" x14ac:dyDescent="0.25">
      <c r="A1362" t="s">
        <v>2117</v>
      </c>
      <c r="B1362" t="s">
        <v>2116</v>
      </c>
      <c r="C1362" t="s">
        <v>2117</v>
      </c>
      <c r="D1362" t="s">
        <v>2112</v>
      </c>
      <c r="E1362" t="s">
        <v>2114</v>
      </c>
      <c r="F1362" t="s">
        <v>2100</v>
      </c>
      <c r="G1362" t="s">
        <v>2108</v>
      </c>
      <c r="H1362" t="s">
        <v>2107</v>
      </c>
    </row>
    <row r="1363" spans="1:8" x14ac:dyDescent="0.25">
      <c r="A1363" t="s">
        <v>2118</v>
      </c>
      <c r="B1363" t="s">
        <v>2117</v>
      </c>
      <c r="C1363" t="s">
        <v>2118</v>
      </c>
      <c r="D1363" t="s">
        <v>2114</v>
      </c>
      <c r="E1363" t="s">
        <v>2115</v>
      </c>
      <c r="F1363" t="s">
        <v>2102</v>
      </c>
      <c r="G1363" t="s">
        <v>2109</v>
      </c>
      <c r="H1363" t="s">
        <v>2108</v>
      </c>
    </row>
    <row r="1364" spans="1:8" x14ac:dyDescent="0.25">
      <c r="A1364" t="s">
        <v>2119</v>
      </c>
      <c r="B1364" t="s">
        <v>2118</v>
      </c>
      <c r="C1364" t="s">
        <v>2119</v>
      </c>
      <c r="D1364" t="s">
        <v>2115</v>
      </c>
      <c r="E1364" t="s">
        <v>2116</v>
      </c>
      <c r="F1364" t="s">
        <v>2105</v>
      </c>
      <c r="G1364" t="s">
        <v>2110</v>
      </c>
      <c r="H1364" t="s">
        <v>2109</v>
      </c>
    </row>
    <row r="1365" spans="1:8" x14ac:dyDescent="0.25">
      <c r="A1365" t="s">
        <v>2120</v>
      </c>
      <c r="B1365" t="s">
        <v>2119</v>
      </c>
      <c r="C1365" t="s">
        <v>2120</v>
      </c>
      <c r="D1365" t="s">
        <v>2116</v>
      </c>
      <c r="E1365" t="s">
        <v>2117</v>
      </c>
      <c r="F1365" t="s">
        <v>2106</v>
      </c>
      <c r="G1365" t="s">
        <v>2111</v>
      </c>
      <c r="H1365" t="s">
        <v>2110</v>
      </c>
    </row>
    <row r="1366" spans="1:8" x14ac:dyDescent="0.25">
      <c r="A1366" t="s">
        <v>2121</v>
      </c>
      <c r="B1366" t="s">
        <v>2120</v>
      </c>
      <c r="C1366" t="s">
        <v>2121</v>
      </c>
      <c r="D1366" t="s">
        <v>2117</v>
      </c>
      <c r="E1366" t="s">
        <v>2118</v>
      </c>
      <c r="F1366" t="s">
        <v>2107</v>
      </c>
      <c r="G1366" t="s">
        <v>2112</v>
      </c>
      <c r="H1366" t="s">
        <v>2111</v>
      </c>
    </row>
    <row r="1367" spans="1:8" x14ac:dyDescent="0.25">
      <c r="A1367" t="s">
        <v>2122</v>
      </c>
      <c r="B1367" t="s">
        <v>2122</v>
      </c>
      <c r="C1367" t="s">
        <v>2122</v>
      </c>
      <c r="D1367" t="s">
        <v>2118</v>
      </c>
      <c r="E1367" t="s">
        <v>2119</v>
      </c>
      <c r="F1367" t="s">
        <v>2108</v>
      </c>
      <c r="G1367" t="s">
        <v>2114</v>
      </c>
      <c r="H1367" t="s">
        <v>2112</v>
      </c>
    </row>
    <row r="1368" spans="1:8" x14ac:dyDescent="0.25">
      <c r="A1368" t="s">
        <v>2123</v>
      </c>
      <c r="B1368" t="s">
        <v>2123</v>
      </c>
      <c r="C1368" t="s">
        <v>2123</v>
      </c>
      <c r="D1368" t="s">
        <v>2119</v>
      </c>
      <c r="E1368" t="s">
        <v>2120</v>
      </c>
      <c r="F1368" t="s">
        <v>2109</v>
      </c>
      <c r="G1368" t="s">
        <v>2115</v>
      </c>
      <c r="H1368" t="s">
        <v>2114</v>
      </c>
    </row>
    <row r="1369" spans="1:8" x14ac:dyDescent="0.25">
      <c r="A1369" t="s">
        <v>2124</v>
      </c>
      <c r="B1369" t="s">
        <v>2124</v>
      </c>
      <c r="C1369" t="s">
        <v>2124</v>
      </c>
      <c r="D1369" t="s">
        <v>2120</v>
      </c>
      <c r="E1369" t="s">
        <v>2121</v>
      </c>
      <c r="F1369" t="s">
        <v>2110</v>
      </c>
      <c r="G1369" t="s">
        <v>2116</v>
      </c>
      <c r="H1369" t="s">
        <v>2115</v>
      </c>
    </row>
    <row r="1370" spans="1:8" x14ac:dyDescent="0.25">
      <c r="A1370" t="s">
        <v>2125</v>
      </c>
      <c r="B1370" t="s">
        <v>2125</v>
      </c>
      <c r="C1370" t="s">
        <v>2125</v>
      </c>
      <c r="D1370" t="s">
        <v>2122</v>
      </c>
      <c r="E1370" t="s">
        <v>2122</v>
      </c>
      <c r="F1370" t="s">
        <v>2111</v>
      </c>
      <c r="G1370" t="s">
        <v>2117</v>
      </c>
      <c r="H1370" t="s">
        <v>2116</v>
      </c>
    </row>
    <row r="1371" spans="1:8" x14ac:dyDescent="0.25">
      <c r="A1371" t="s">
        <v>2126</v>
      </c>
      <c r="B1371" t="s">
        <v>2126</v>
      </c>
      <c r="C1371" t="s">
        <v>2126</v>
      </c>
      <c r="D1371" t="s">
        <v>2123</v>
      </c>
      <c r="E1371" t="s">
        <v>2123</v>
      </c>
      <c r="F1371" t="s">
        <v>2112</v>
      </c>
      <c r="G1371" t="s">
        <v>2118</v>
      </c>
      <c r="H1371" t="s">
        <v>2118</v>
      </c>
    </row>
    <row r="1372" spans="1:8" x14ac:dyDescent="0.25">
      <c r="A1372" t="s">
        <v>2127</v>
      </c>
      <c r="B1372" t="s">
        <v>2127</v>
      </c>
      <c r="C1372" t="s">
        <v>2127</v>
      </c>
      <c r="D1372" t="s">
        <v>2124</v>
      </c>
      <c r="E1372" t="s">
        <v>2124</v>
      </c>
      <c r="F1372" t="s">
        <v>2114</v>
      </c>
      <c r="G1372" t="s">
        <v>2120</v>
      </c>
      <c r="H1372" t="s">
        <v>2120</v>
      </c>
    </row>
    <row r="1373" spans="1:8" x14ac:dyDescent="0.25">
      <c r="A1373" t="s">
        <v>2128</v>
      </c>
      <c r="B1373" t="s">
        <v>2128</v>
      </c>
      <c r="C1373" t="s">
        <v>2128</v>
      </c>
      <c r="D1373" t="s">
        <v>2125</v>
      </c>
      <c r="E1373" t="s">
        <v>2125</v>
      </c>
      <c r="F1373" t="s">
        <v>2115</v>
      </c>
      <c r="G1373" t="s">
        <v>2121</v>
      </c>
      <c r="H1373" t="s">
        <v>2121</v>
      </c>
    </row>
    <row r="1374" spans="1:8" x14ac:dyDescent="0.25">
      <c r="A1374" t="s">
        <v>2129</v>
      </c>
      <c r="B1374" t="s">
        <v>2129</v>
      </c>
      <c r="C1374" t="s">
        <v>2129</v>
      </c>
      <c r="D1374" t="s">
        <v>2126</v>
      </c>
      <c r="E1374" t="s">
        <v>2126</v>
      </c>
      <c r="F1374" t="s">
        <v>2116</v>
      </c>
      <c r="G1374" t="s">
        <v>2122</v>
      </c>
      <c r="H1374" t="s">
        <v>2122</v>
      </c>
    </row>
    <row r="1375" spans="1:8" x14ac:dyDescent="0.25">
      <c r="A1375" t="s">
        <v>2130</v>
      </c>
      <c r="B1375" t="s">
        <v>2130</v>
      </c>
      <c r="C1375" t="s">
        <v>2130</v>
      </c>
      <c r="D1375" t="s">
        <v>2127</v>
      </c>
      <c r="E1375" t="s">
        <v>2127</v>
      </c>
      <c r="F1375" t="s">
        <v>2117</v>
      </c>
      <c r="G1375" t="s">
        <v>2123</v>
      </c>
      <c r="H1375" t="s">
        <v>2123</v>
      </c>
    </row>
    <row r="1376" spans="1:8" x14ac:dyDescent="0.25">
      <c r="A1376" t="s">
        <v>2131</v>
      </c>
      <c r="B1376" t="s">
        <v>2131</v>
      </c>
      <c r="C1376" t="s">
        <v>2131</v>
      </c>
      <c r="D1376" t="s">
        <v>2128</v>
      </c>
      <c r="E1376" t="s">
        <v>2128</v>
      </c>
      <c r="F1376" t="s">
        <v>2118</v>
      </c>
      <c r="G1376" t="s">
        <v>2124</v>
      </c>
      <c r="H1376" t="s">
        <v>2124</v>
      </c>
    </row>
    <row r="1377" spans="1:8" x14ac:dyDescent="0.25">
      <c r="A1377" t="s">
        <v>2132</v>
      </c>
      <c r="B1377" t="s">
        <v>2132</v>
      </c>
      <c r="C1377" t="s">
        <v>2132</v>
      </c>
      <c r="D1377" t="s">
        <v>2129</v>
      </c>
      <c r="E1377" t="s">
        <v>2129</v>
      </c>
      <c r="F1377" t="s">
        <v>2120</v>
      </c>
      <c r="G1377" t="s">
        <v>2126</v>
      </c>
      <c r="H1377" t="s">
        <v>2126</v>
      </c>
    </row>
    <row r="1378" spans="1:8" x14ac:dyDescent="0.25">
      <c r="A1378" t="s">
        <v>2133</v>
      </c>
      <c r="B1378" t="s">
        <v>2133</v>
      </c>
      <c r="C1378" t="s">
        <v>2133</v>
      </c>
      <c r="D1378" t="s">
        <v>2130</v>
      </c>
      <c r="E1378" t="s">
        <v>2130</v>
      </c>
      <c r="F1378" t="s">
        <v>2122</v>
      </c>
      <c r="G1378" t="s">
        <v>2127</v>
      </c>
      <c r="H1378" t="s">
        <v>2127</v>
      </c>
    </row>
    <row r="1379" spans="1:8" x14ac:dyDescent="0.25">
      <c r="A1379" t="s">
        <v>2134</v>
      </c>
      <c r="B1379" t="s">
        <v>2134</v>
      </c>
      <c r="C1379" t="s">
        <v>2134</v>
      </c>
      <c r="D1379" t="s">
        <v>2131</v>
      </c>
      <c r="E1379" t="s">
        <v>2131</v>
      </c>
      <c r="F1379" t="s">
        <v>2123</v>
      </c>
      <c r="G1379" t="s">
        <v>2128</v>
      </c>
      <c r="H1379" t="s">
        <v>2128</v>
      </c>
    </row>
    <row r="1380" spans="1:8" x14ac:dyDescent="0.25">
      <c r="A1380" t="s">
        <v>2135</v>
      </c>
      <c r="B1380" t="s">
        <v>2135</v>
      </c>
      <c r="C1380" t="s">
        <v>2135</v>
      </c>
      <c r="D1380" t="s">
        <v>2133</v>
      </c>
      <c r="E1380" t="s">
        <v>2133</v>
      </c>
      <c r="F1380" t="s">
        <v>2124</v>
      </c>
      <c r="G1380" t="s">
        <v>2129</v>
      </c>
      <c r="H1380" t="s">
        <v>2129</v>
      </c>
    </row>
    <row r="1381" spans="1:8" x14ac:dyDescent="0.25">
      <c r="A1381" t="s">
        <v>2136</v>
      </c>
      <c r="B1381" t="s">
        <v>2136</v>
      </c>
      <c r="C1381" t="s">
        <v>2136</v>
      </c>
      <c r="D1381" t="s">
        <v>2134</v>
      </c>
      <c r="E1381" t="s">
        <v>2134</v>
      </c>
      <c r="F1381" t="s">
        <v>2126</v>
      </c>
      <c r="G1381" t="s">
        <v>2131</v>
      </c>
      <c r="H1381" t="s">
        <v>2130</v>
      </c>
    </row>
    <row r="1382" spans="1:8" x14ac:dyDescent="0.25">
      <c r="A1382" t="s">
        <v>2137</v>
      </c>
      <c r="B1382" t="s">
        <v>2137</v>
      </c>
      <c r="C1382" t="s">
        <v>2137</v>
      </c>
      <c r="D1382" t="s">
        <v>2135</v>
      </c>
      <c r="E1382" t="s">
        <v>2135</v>
      </c>
      <c r="F1382" t="s">
        <v>2127</v>
      </c>
      <c r="G1382" t="s">
        <v>2133</v>
      </c>
      <c r="H1382" t="s">
        <v>2131</v>
      </c>
    </row>
    <row r="1383" spans="1:8" x14ac:dyDescent="0.25">
      <c r="A1383" t="s">
        <v>2138</v>
      </c>
      <c r="B1383" t="s">
        <v>2138</v>
      </c>
      <c r="C1383" t="s">
        <v>2138</v>
      </c>
      <c r="D1383" t="s">
        <v>2136</v>
      </c>
      <c r="E1383" t="s">
        <v>2136</v>
      </c>
      <c r="F1383" t="s">
        <v>2128</v>
      </c>
      <c r="G1383" t="s">
        <v>2134</v>
      </c>
      <c r="H1383" t="s">
        <v>2133</v>
      </c>
    </row>
    <row r="1384" spans="1:8" x14ac:dyDescent="0.25">
      <c r="A1384" t="s">
        <v>2139</v>
      </c>
      <c r="B1384" t="s">
        <v>2139</v>
      </c>
      <c r="C1384" t="s">
        <v>2139</v>
      </c>
      <c r="D1384" t="s">
        <v>2137</v>
      </c>
      <c r="E1384" t="s">
        <v>2137</v>
      </c>
      <c r="F1384" t="s">
        <v>2129</v>
      </c>
      <c r="G1384" t="s">
        <v>2135</v>
      </c>
      <c r="H1384" t="s">
        <v>2135</v>
      </c>
    </row>
    <row r="1385" spans="1:8" x14ac:dyDescent="0.25">
      <c r="A1385" t="s">
        <v>2140</v>
      </c>
      <c r="B1385" t="s">
        <v>2140</v>
      </c>
      <c r="C1385" t="s">
        <v>2140</v>
      </c>
      <c r="D1385" t="s">
        <v>2138</v>
      </c>
      <c r="E1385" t="s">
        <v>2138</v>
      </c>
      <c r="F1385" t="s">
        <v>2131</v>
      </c>
      <c r="G1385" t="s">
        <v>2137</v>
      </c>
      <c r="H1385" t="s">
        <v>2137</v>
      </c>
    </row>
    <row r="1386" spans="1:8" x14ac:dyDescent="0.25">
      <c r="A1386" t="s">
        <v>2141</v>
      </c>
      <c r="B1386" t="s">
        <v>2141</v>
      </c>
      <c r="C1386" t="s">
        <v>2141</v>
      </c>
      <c r="D1386" t="s">
        <v>2140</v>
      </c>
      <c r="E1386" t="s">
        <v>2140</v>
      </c>
      <c r="F1386" t="s">
        <v>2133</v>
      </c>
      <c r="G1386" t="s">
        <v>2138</v>
      </c>
      <c r="H1386" t="s">
        <v>2138</v>
      </c>
    </row>
    <row r="1387" spans="1:8" x14ac:dyDescent="0.25">
      <c r="A1387" t="s">
        <v>2142</v>
      </c>
      <c r="B1387" t="s">
        <v>2142</v>
      </c>
      <c r="C1387" t="s">
        <v>2142</v>
      </c>
      <c r="D1387" t="s">
        <v>2141</v>
      </c>
      <c r="E1387" t="s">
        <v>2141</v>
      </c>
      <c r="F1387" t="s">
        <v>2135</v>
      </c>
      <c r="G1387" t="s">
        <v>2140</v>
      </c>
      <c r="H1387" t="s">
        <v>2140</v>
      </c>
    </row>
    <row r="1388" spans="1:8" x14ac:dyDescent="0.25">
      <c r="A1388" t="s">
        <v>2143</v>
      </c>
      <c r="B1388" t="s">
        <v>2143</v>
      </c>
      <c r="C1388" t="s">
        <v>2143</v>
      </c>
      <c r="D1388" t="s">
        <v>2142</v>
      </c>
      <c r="E1388" t="s">
        <v>2142</v>
      </c>
      <c r="F1388" t="s">
        <v>2138</v>
      </c>
      <c r="G1388" t="s">
        <v>2141</v>
      </c>
      <c r="H1388" t="s">
        <v>2141</v>
      </c>
    </row>
    <row r="1389" spans="1:8" x14ac:dyDescent="0.25">
      <c r="A1389" t="s">
        <v>2144</v>
      </c>
      <c r="B1389" t="s">
        <v>2144</v>
      </c>
      <c r="C1389" t="s">
        <v>2144</v>
      </c>
      <c r="D1389" t="s">
        <v>2143</v>
      </c>
      <c r="E1389" t="s">
        <v>2143</v>
      </c>
      <c r="F1389" t="s">
        <v>2140</v>
      </c>
      <c r="G1389" t="s">
        <v>2142</v>
      </c>
      <c r="H1389" t="s">
        <v>2142</v>
      </c>
    </row>
    <row r="1390" spans="1:8" x14ac:dyDescent="0.25">
      <c r="A1390" t="s">
        <v>2145</v>
      </c>
      <c r="B1390" t="s">
        <v>2145</v>
      </c>
      <c r="C1390" t="s">
        <v>2145</v>
      </c>
      <c r="D1390" t="s">
        <v>2144</v>
      </c>
      <c r="E1390" t="s">
        <v>2144</v>
      </c>
      <c r="F1390" t="s">
        <v>2141</v>
      </c>
      <c r="G1390" t="s">
        <v>2143</v>
      </c>
      <c r="H1390" t="s">
        <v>2143</v>
      </c>
    </row>
    <row r="1391" spans="1:8" x14ac:dyDescent="0.25">
      <c r="A1391" t="s">
        <v>2146</v>
      </c>
      <c r="B1391" t="s">
        <v>2146</v>
      </c>
      <c r="C1391" t="s">
        <v>2146</v>
      </c>
      <c r="D1391" t="s">
        <v>2145</v>
      </c>
      <c r="E1391" t="s">
        <v>2145</v>
      </c>
      <c r="F1391" t="s">
        <v>2142</v>
      </c>
      <c r="G1391" t="s">
        <v>2144</v>
      </c>
      <c r="H1391" t="s">
        <v>2144</v>
      </c>
    </row>
    <row r="1392" spans="1:8" x14ac:dyDescent="0.25">
      <c r="A1392" t="s">
        <v>2147</v>
      </c>
      <c r="B1392" t="s">
        <v>2147</v>
      </c>
      <c r="C1392" t="s">
        <v>2147</v>
      </c>
      <c r="D1392" t="s">
        <v>2146</v>
      </c>
      <c r="E1392" t="s">
        <v>2146</v>
      </c>
      <c r="F1392" t="s">
        <v>2143</v>
      </c>
      <c r="G1392" t="s">
        <v>2145</v>
      </c>
      <c r="H1392" t="s">
        <v>2145</v>
      </c>
    </row>
    <row r="1393" spans="1:8" x14ac:dyDescent="0.25">
      <c r="A1393" t="s">
        <v>2148</v>
      </c>
      <c r="B1393" t="s">
        <v>2148</v>
      </c>
      <c r="C1393" t="s">
        <v>2148</v>
      </c>
      <c r="D1393" t="s">
        <v>2147</v>
      </c>
      <c r="E1393" t="s">
        <v>2147</v>
      </c>
      <c r="F1393" t="s">
        <v>2144</v>
      </c>
      <c r="G1393" t="s">
        <v>2147</v>
      </c>
      <c r="H1393" t="s">
        <v>2146</v>
      </c>
    </row>
    <row r="1394" spans="1:8" x14ac:dyDescent="0.25">
      <c r="A1394" t="s">
        <v>2149</v>
      </c>
      <c r="B1394" t="s">
        <v>2149</v>
      </c>
      <c r="C1394" t="s">
        <v>2149</v>
      </c>
      <c r="D1394" t="s">
        <v>2148</v>
      </c>
      <c r="E1394" t="s">
        <v>2148</v>
      </c>
      <c r="F1394" t="s">
        <v>2145</v>
      </c>
      <c r="G1394" t="s">
        <v>2148</v>
      </c>
      <c r="H1394" t="s">
        <v>2147</v>
      </c>
    </row>
    <row r="1395" spans="1:8" x14ac:dyDescent="0.25">
      <c r="A1395" t="s">
        <v>2150</v>
      </c>
      <c r="B1395" t="s">
        <v>2150</v>
      </c>
      <c r="C1395" t="s">
        <v>2150</v>
      </c>
      <c r="D1395" t="s">
        <v>2149</v>
      </c>
      <c r="E1395" t="s">
        <v>2149</v>
      </c>
      <c r="F1395" t="s">
        <v>2147</v>
      </c>
      <c r="G1395" t="s">
        <v>2149</v>
      </c>
      <c r="H1395" t="s">
        <v>2148</v>
      </c>
    </row>
    <row r="1396" spans="1:8" x14ac:dyDescent="0.25">
      <c r="A1396" t="s">
        <v>2151</v>
      </c>
      <c r="B1396" t="s">
        <v>2151</v>
      </c>
      <c r="C1396" t="s">
        <v>2151</v>
      </c>
      <c r="D1396" t="s">
        <v>2151</v>
      </c>
      <c r="E1396" t="s">
        <v>2151</v>
      </c>
      <c r="F1396" t="s">
        <v>2148</v>
      </c>
      <c r="G1396" t="s">
        <v>2151</v>
      </c>
      <c r="H1396" t="s">
        <v>2149</v>
      </c>
    </row>
    <row r="1397" spans="1:8" x14ac:dyDescent="0.25">
      <c r="A1397" t="s">
        <v>2152</v>
      </c>
      <c r="B1397" t="s">
        <v>2152</v>
      </c>
      <c r="C1397" t="s">
        <v>2152</v>
      </c>
      <c r="D1397" t="s">
        <v>2152</v>
      </c>
      <c r="E1397" t="s">
        <v>2152</v>
      </c>
      <c r="F1397" t="s">
        <v>2149</v>
      </c>
      <c r="G1397" t="s">
        <v>2152</v>
      </c>
      <c r="H1397" t="s">
        <v>2151</v>
      </c>
    </row>
    <row r="1398" spans="1:8" x14ac:dyDescent="0.25">
      <c r="A1398" t="s">
        <v>2153</v>
      </c>
      <c r="B1398" t="s">
        <v>2153</v>
      </c>
      <c r="C1398" t="s">
        <v>2153</v>
      </c>
      <c r="D1398" t="s">
        <v>2153</v>
      </c>
      <c r="E1398" t="s">
        <v>2153</v>
      </c>
      <c r="F1398" t="s">
        <v>2151</v>
      </c>
      <c r="G1398" t="s">
        <v>2153</v>
      </c>
      <c r="H1398" t="s">
        <v>2152</v>
      </c>
    </row>
    <row r="1399" spans="1:8" x14ac:dyDescent="0.25">
      <c r="A1399" t="s">
        <v>2154</v>
      </c>
      <c r="B1399" t="s">
        <v>2154</v>
      </c>
      <c r="C1399" t="s">
        <v>2154</v>
      </c>
      <c r="D1399" t="s">
        <v>2154</v>
      </c>
      <c r="E1399" t="s">
        <v>2154</v>
      </c>
      <c r="F1399" t="s">
        <v>2152</v>
      </c>
      <c r="G1399" t="s">
        <v>2154</v>
      </c>
      <c r="H1399" t="s">
        <v>2154</v>
      </c>
    </row>
    <row r="1400" spans="1:8" x14ac:dyDescent="0.25">
      <c r="A1400" t="s">
        <v>2155</v>
      </c>
      <c r="B1400" t="s">
        <v>2155</v>
      </c>
      <c r="C1400" t="s">
        <v>2155</v>
      </c>
      <c r="D1400" t="s">
        <v>2155</v>
      </c>
      <c r="E1400" t="s">
        <v>2155</v>
      </c>
      <c r="F1400" t="s">
        <v>2154</v>
      </c>
      <c r="G1400" t="s">
        <v>2155</v>
      </c>
      <c r="H1400" t="s">
        <v>2155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C421F-C5D3-4ED6-8C65-55A54DD46DFA}">
  <dimension ref="A1:I54"/>
  <sheetViews>
    <sheetView workbookViewId="0">
      <selection activeCell="H7" sqref="H7"/>
    </sheetView>
  </sheetViews>
  <sheetFormatPr defaultRowHeight="13.8" x14ac:dyDescent="0.25"/>
  <cols>
    <col min="1" max="8" width="16.109375" style="9" customWidth="1"/>
  </cols>
  <sheetData>
    <row r="1" spans="1:9" ht="42.75" customHeight="1" x14ac:dyDescent="0.25">
      <c r="A1" s="9" t="s">
        <v>75</v>
      </c>
      <c r="B1" s="9" t="s">
        <v>2</v>
      </c>
      <c r="C1" s="9" t="s">
        <v>3</v>
      </c>
      <c r="D1" s="9" t="s">
        <v>187</v>
      </c>
      <c r="E1" s="9" t="s">
        <v>75</v>
      </c>
      <c r="F1" s="9" t="s">
        <v>2</v>
      </c>
      <c r="G1" s="9" t="s">
        <v>3</v>
      </c>
      <c r="H1" s="9" t="s">
        <v>187</v>
      </c>
      <c r="I1" s="9"/>
    </row>
    <row r="2" spans="1:9" ht="42.75" customHeight="1" x14ac:dyDescent="0.25">
      <c r="A2" s="9" t="s">
        <v>89</v>
      </c>
      <c r="B2" s="9">
        <v>0.12620000000000001</v>
      </c>
      <c r="C2" s="9">
        <v>0.26779999999999998</v>
      </c>
      <c r="D2" s="9">
        <v>0.76819999999999999</v>
      </c>
      <c r="E2" s="9" t="s">
        <v>86</v>
      </c>
      <c r="F2" s="9">
        <v>0.12620000000000001</v>
      </c>
      <c r="G2" s="9">
        <v>0.26779999999999998</v>
      </c>
      <c r="H2" s="9">
        <v>0.76819999999999999</v>
      </c>
      <c r="I2" s="9"/>
    </row>
    <row r="3" spans="1:9" ht="42.75" customHeight="1" x14ac:dyDescent="0.25">
      <c r="A3" s="9" t="s">
        <v>88</v>
      </c>
      <c r="E3" s="9" t="s">
        <v>85</v>
      </c>
      <c r="I3" s="9"/>
    </row>
    <row r="4" spans="1:9" ht="42.75" customHeight="1" x14ac:dyDescent="0.25">
      <c r="A4" s="9" t="s">
        <v>87</v>
      </c>
      <c r="E4" s="9" t="s">
        <v>84</v>
      </c>
      <c r="I4" s="9"/>
    </row>
    <row r="5" spans="1:9" ht="42.75" customHeight="1" x14ac:dyDescent="0.25">
      <c r="A5" s="9" t="s">
        <v>118</v>
      </c>
      <c r="E5" s="9" t="s">
        <v>119</v>
      </c>
      <c r="I5" s="9"/>
    </row>
    <row r="6" spans="1:9" ht="42.75" customHeight="1" x14ac:dyDescent="0.25">
      <c r="A6" s="9" t="s">
        <v>185</v>
      </c>
      <c r="E6" s="9" t="s">
        <v>123</v>
      </c>
      <c r="I6" s="9"/>
    </row>
    <row r="7" spans="1:9" ht="42.75" customHeight="1" x14ac:dyDescent="0.25"/>
    <row r="8" spans="1:9" ht="42.75" customHeight="1" x14ac:dyDescent="0.25"/>
    <row r="9" spans="1:9" ht="42.75" customHeight="1" x14ac:dyDescent="0.25"/>
    <row r="10" spans="1:9" ht="42.75" customHeight="1" x14ac:dyDescent="0.25"/>
    <row r="11" spans="1:9" ht="42.75" customHeight="1" x14ac:dyDescent="0.25"/>
    <row r="12" spans="1:9" ht="42.75" customHeight="1" x14ac:dyDescent="0.25"/>
    <row r="13" spans="1:9" ht="42.75" customHeight="1" x14ac:dyDescent="0.25"/>
    <row r="14" spans="1:9" ht="42.75" customHeight="1" x14ac:dyDescent="0.25"/>
    <row r="15" spans="1:9" ht="42.75" customHeight="1" x14ac:dyDescent="0.25"/>
    <row r="16" spans="1:9" ht="42.75" customHeight="1" x14ac:dyDescent="0.25"/>
    <row r="17" spans="1:8" ht="42.75" customHeight="1" x14ac:dyDescent="0.25"/>
    <row r="18" spans="1:8" ht="42.75" customHeight="1" x14ac:dyDescent="0.25"/>
    <row r="19" spans="1:8" ht="42.75" customHeight="1" x14ac:dyDescent="0.25"/>
    <row r="20" spans="1:8" ht="42.75" customHeight="1" x14ac:dyDescent="0.25"/>
    <row r="21" spans="1:8" ht="42.75" customHeight="1" x14ac:dyDescent="0.25"/>
    <row r="22" spans="1:8" ht="42.75" customHeight="1" x14ac:dyDescent="0.25"/>
    <row r="23" spans="1:8" ht="42.75" customHeight="1" x14ac:dyDescent="0.25"/>
    <row r="24" spans="1:8" ht="42.75" customHeight="1" x14ac:dyDescent="0.25"/>
    <row r="25" spans="1:8" ht="42.75" customHeight="1" x14ac:dyDescent="0.25"/>
    <row r="26" spans="1:8" ht="42.75" customHeight="1" x14ac:dyDescent="0.25"/>
    <row r="27" spans="1:8" ht="42.75" customHeight="1" x14ac:dyDescent="0.25"/>
    <row r="28" spans="1:8" ht="42.75" customHeight="1" x14ac:dyDescent="0.25"/>
    <row r="29" spans="1:8" ht="42.75" customHeight="1" x14ac:dyDescent="0.25"/>
    <row r="30" spans="1:8" s="1" customFormat="1" ht="21.75" customHeight="1" x14ac:dyDescent="0.25">
      <c r="A30" s="9"/>
      <c r="B30" s="9"/>
      <c r="C30" s="9"/>
      <c r="D30" s="9"/>
      <c r="E30" s="9"/>
      <c r="F30" s="9"/>
      <c r="G30" s="9"/>
      <c r="H30" s="9"/>
    </row>
    <row r="31" spans="1:8" s="1" customFormat="1" ht="21.75" customHeight="1" x14ac:dyDescent="0.25">
      <c r="A31" s="9"/>
      <c r="B31" s="9"/>
      <c r="C31" s="9"/>
      <c r="D31" s="9"/>
      <c r="E31" s="9"/>
      <c r="F31" s="9"/>
      <c r="G31" s="9"/>
      <c r="H31" s="9"/>
    </row>
    <row r="32" spans="1:8" s="1" customFormat="1" ht="21.75" customHeight="1" x14ac:dyDescent="0.25">
      <c r="A32" s="9"/>
      <c r="B32" s="9"/>
      <c r="C32" s="9"/>
      <c r="D32" s="9"/>
      <c r="E32" s="9"/>
      <c r="F32" s="9"/>
      <c r="G32" s="9"/>
      <c r="H32" s="9"/>
    </row>
    <row r="33" spans="1:8" s="1" customFormat="1" ht="21.75" customHeight="1" x14ac:dyDescent="0.25">
      <c r="A33" s="9"/>
      <c r="B33" s="9"/>
      <c r="C33" s="9"/>
      <c r="D33" s="9"/>
      <c r="E33" s="9"/>
      <c r="F33" s="9"/>
      <c r="G33" s="9"/>
      <c r="H33" s="9"/>
    </row>
    <row r="34" spans="1:8" s="1" customFormat="1" ht="21.75" customHeight="1" x14ac:dyDescent="0.25">
      <c r="A34" s="9"/>
      <c r="B34" s="9"/>
      <c r="C34" s="9"/>
      <c r="D34" s="9"/>
      <c r="E34" s="9"/>
      <c r="F34" s="9"/>
      <c r="G34" s="9"/>
      <c r="H34" s="9"/>
    </row>
    <row r="35" spans="1:8" s="1" customFormat="1" ht="21.75" customHeight="1" x14ac:dyDescent="0.25">
      <c r="A35" s="9"/>
      <c r="B35" s="9"/>
      <c r="C35" s="9"/>
      <c r="D35" s="9"/>
      <c r="E35" s="9"/>
      <c r="F35" s="9"/>
      <c r="G35" s="9"/>
      <c r="H35" s="9"/>
    </row>
    <row r="36" spans="1:8" s="1" customFormat="1" ht="21.75" customHeight="1" x14ac:dyDescent="0.25">
      <c r="A36" s="9"/>
      <c r="B36" s="9"/>
      <c r="C36" s="9"/>
      <c r="D36" s="9"/>
      <c r="E36" s="9"/>
      <c r="F36" s="9"/>
      <c r="G36" s="9"/>
      <c r="H36" s="9"/>
    </row>
    <row r="37" spans="1:8" s="1" customFormat="1" ht="21.75" customHeight="1" x14ac:dyDescent="0.25">
      <c r="A37" s="9"/>
      <c r="B37" s="9"/>
      <c r="C37" s="9"/>
      <c r="D37" s="9"/>
      <c r="E37" s="9"/>
      <c r="F37" s="9"/>
      <c r="G37" s="9"/>
      <c r="H37" s="9"/>
    </row>
    <row r="38" spans="1:8" s="1" customFormat="1" ht="21.75" customHeight="1" x14ac:dyDescent="0.25">
      <c r="A38" s="9"/>
      <c r="B38" s="9"/>
      <c r="C38" s="9"/>
      <c r="D38" s="9"/>
      <c r="E38" s="9"/>
      <c r="F38" s="9"/>
      <c r="G38" s="9"/>
      <c r="H38" s="9"/>
    </row>
    <row r="39" spans="1:8" s="1" customFormat="1" ht="21.75" customHeight="1" x14ac:dyDescent="0.25">
      <c r="A39" s="9"/>
      <c r="B39" s="9"/>
      <c r="C39" s="9"/>
      <c r="D39" s="9"/>
      <c r="E39" s="9"/>
      <c r="F39" s="9"/>
      <c r="G39" s="9"/>
      <c r="H39" s="9"/>
    </row>
    <row r="40" spans="1:8" s="1" customFormat="1" ht="21.75" customHeight="1" x14ac:dyDescent="0.25">
      <c r="A40" s="9"/>
      <c r="B40" s="9"/>
      <c r="C40" s="9"/>
      <c r="D40" s="9"/>
      <c r="E40" s="9"/>
      <c r="F40" s="9"/>
      <c r="G40" s="9"/>
      <c r="H40" s="9"/>
    </row>
    <row r="41" spans="1:8" s="1" customFormat="1" ht="21.75" customHeight="1" x14ac:dyDescent="0.25">
      <c r="A41" s="9"/>
      <c r="B41" s="9"/>
      <c r="C41" s="9"/>
      <c r="D41" s="9"/>
      <c r="E41" s="9"/>
      <c r="F41" s="9"/>
      <c r="G41" s="9"/>
      <c r="H41" s="9"/>
    </row>
    <row r="42" spans="1:8" s="1" customFormat="1" ht="21.75" customHeight="1" x14ac:dyDescent="0.25">
      <c r="A42" s="9"/>
      <c r="B42" s="9"/>
      <c r="C42" s="9"/>
      <c r="D42" s="9"/>
      <c r="E42" s="9"/>
      <c r="F42" s="9"/>
      <c r="G42" s="9"/>
      <c r="H42" s="9"/>
    </row>
    <row r="43" spans="1:8" s="1" customFormat="1" ht="21.75" customHeight="1" x14ac:dyDescent="0.25">
      <c r="A43" s="9"/>
      <c r="B43" s="9"/>
      <c r="C43" s="9"/>
      <c r="D43" s="9"/>
      <c r="E43" s="9"/>
      <c r="F43" s="9"/>
      <c r="G43" s="9"/>
      <c r="H43" s="9"/>
    </row>
    <row r="44" spans="1:8" s="1" customFormat="1" ht="21.75" customHeight="1" x14ac:dyDescent="0.25">
      <c r="A44" s="9"/>
      <c r="B44" s="9"/>
      <c r="C44" s="9"/>
      <c r="D44" s="9"/>
      <c r="E44" s="9"/>
      <c r="F44" s="9"/>
      <c r="G44" s="9"/>
      <c r="H44" s="9"/>
    </row>
    <row r="45" spans="1:8" s="1" customFormat="1" ht="21.75" customHeight="1" x14ac:dyDescent="0.25">
      <c r="A45" s="9"/>
      <c r="B45" s="9"/>
      <c r="C45" s="9"/>
      <c r="D45" s="9"/>
      <c r="E45" s="9"/>
      <c r="F45" s="9"/>
      <c r="G45" s="9"/>
      <c r="H45" s="9"/>
    </row>
    <row r="46" spans="1:8" s="1" customFormat="1" ht="21.75" customHeight="1" x14ac:dyDescent="0.25">
      <c r="A46" s="9"/>
      <c r="B46" s="9"/>
      <c r="C46" s="9"/>
      <c r="D46" s="9"/>
      <c r="E46" s="9"/>
      <c r="F46" s="9"/>
      <c r="G46" s="9"/>
      <c r="H46" s="9"/>
    </row>
    <row r="47" spans="1:8" s="1" customFormat="1" ht="21.75" customHeight="1" x14ac:dyDescent="0.25">
      <c r="A47" s="9"/>
      <c r="B47" s="9"/>
      <c r="C47" s="9"/>
      <c r="D47" s="9"/>
      <c r="E47" s="9"/>
      <c r="F47" s="9"/>
      <c r="G47" s="9"/>
      <c r="H47" s="9"/>
    </row>
    <row r="48" spans="1:8" s="1" customFormat="1" ht="21.75" customHeight="1" x14ac:dyDescent="0.25">
      <c r="A48" s="9"/>
      <c r="B48" s="9"/>
      <c r="C48" s="9"/>
      <c r="D48" s="9"/>
      <c r="E48" s="9"/>
      <c r="F48" s="9"/>
      <c r="G48" s="9"/>
      <c r="H48" s="9"/>
    </row>
    <row r="49" spans="1:8" s="1" customFormat="1" ht="21.75" customHeight="1" x14ac:dyDescent="0.25">
      <c r="A49" s="9"/>
      <c r="B49" s="9"/>
      <c r="C49" s="9"/>
      <c r="D49" s="9"/>
      <c r="E49" s="9"/>
      <c r="F49" s="9"/>
      <c r="G49" s="9"/>
      <c r="H49" s="9"/>
    </row>
    <row r="50" spans="1:8" s="1" customFormat="1" ht="21.75" customHeight="1" x14ac:dyDescent="0.25">
      <c r="A50" s="9"/>
      <c r="B50" s="9"/>
      <c r="C50" s="9"/>
      <c r="D50" s="9"/>
      <c r="E50" s="9"/>
      <c r="F50" s="9"/>
      <c r="G50" s="9"/>
      <c r="H50" s="9"/>
    </row>
    <row r="51" spans="1:8" s="1" customFormat="1" ht="21.75" customHeight="1" x14ac:dyDescent="0.25">
      <c r="A51" s="9"/>
      <c r="B51" s="9"/>
      <c r="C51" s="9"/>
      <c r="D51" s="9"/>
      <c r="E51" s="9"/>
      <c r="F51" s="9"/>
      <c r="G51" s="9"/>
      <c r="H51" s="9"/>
    </row>
    <row r="52" spans="1:8" s="1" customFormat="1" ht="21.75" customHeight="1" x14ac:dyDescent="0.25">
      <c r="A52" s="9"/>
      <c r="B52" s="9"/>
      <c r="C52" s="9"/>
      <c r="D52" s="9"/>
      <c r="E52" s="9"/>
      <c r="F52" s="9"/>
      <c r="G52" s="9"/>
      <c r="H52" s="9"/>
    </row>
    <row r="53" spans="1:8" s="1" customFormat="1" ht="21.75" customHeight="1" x14ac:dyDescent="0.25">
      <c r="A53" s="9"/>
      <c r="B53" s="9"/>
      <c r="C53" s="9"/>
      <c r="D53" s="9"/>
      <c r="E53" s="9"/>
      <c r="F53" s="9"/>
      <c r="G53" s="9"/>
      <c r="H53" s="9"/>
    </row>
    <row r="54" spans="1:8" s="1" customFormat="1" ht="21.75" customHeight="1" x14ac:dyDescent="0.25">
      <c r="A54" s="9"/>
      <c r="B54" s="9"/>
      <c r="C54" s="9"/>
      <c r="D54" s="9"/>
      <c r="E54" s="9"/>
      <c r="F54" s="9"/>
      <c r="G54" s="9"/>
      <c r="H54" s="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6C8E5-FA90-4684-BD79-4B8F4CB646F9}">
  <dimension ref="A1:G55"/>
  <sheetViews>
    <sheetView workbookViewId="0">
      <selection sqref="A1:F7"/>
    </sheetView>
  </sheetViews>
  <sheetFormatPr defaultRowHeight="13.8" x14ac:dyDescent="0.25"/>
  <cols>
    <col min="1" max="6" width="16.109375" style="9" customWidth="1"/>
  </cols>
  <sheetData>
    <row r="1" spans="1:7" ht="42.75" customHeight="1" x14ac:dyDescent="0.25">
      <c r="A1" s="9" t="s">
        <v>75</v>
      </c>
      <c r="B1" s="9" t="s">
        <v>2</v>
      </c>
      <c r="C1" s="9" t="s">
        <v>3</v>
      </c>
      <c r="D1" s="9" t="s">
        <v>75</v>
      </c>
      <c r="E1" s="9" t="s">
        <v>2</v>
      </c>
      <c r="F1" s="9" t="s">
        <v>3</v>
      </c>
      <c r="G1" s="9"/>
    </row>
    <row r="2" spans="1:7" ht="42.75" customHeight="1" x14ac:dyDescent="0.25">
      <c r="A2" s="9" t="s">
        <v>89</v>
      </c>
      <c r="B2" s="9">
        <v>0.1275</v>
      </c>
      <c r="C2" s="9">
        <v>0.25990000000000002</v>
      </c>
      <c r="D2" s="9" t="s">
        <v>86</v>
      </c>
      <c r="E2" s="9">
        <v>0.1275</v>
      </c>
      <c r="F2" s="9">
        <v>0.25990000000000002</v>
      </c>
      <c r="G2" s="9"/>
    </row>
    <row r="3" spans="1:7" ht="42.75" customHeight="1" x14ac:dyDescent="0.25">
      <c r="A3" s="9" t="s">
        <v>120</v>
      </c>
      <c r="B3" s="9">
        <v>0.12770000000000001</v>
      </c>
      <c r="C3" s="9">
        <v>0.26019999999999999</v>
      </c>
      <c r="D3" s="9" t="s">
        <v>121</v>
      </c>
      <c r="E3" s="9">
        <v>0.12770000000000001</v>
      </c>
      <c r="F3" s="9">
        <v>0.2596</v>
      </c>
      <c r="G3" s="9"/>
    </row>
    <row r="4" spans="1:7" ht="42.75" customHeight="1" x14ac:dyDescent="0.25">
      <c r="A4" s="9" t="s">
        <v>88</v>
      </c>
      <c r="B4" s="9">
        <v>0.128</v>
      </c>
      <c r="C4" s="9">
        <v>0.26050000000000001</v>
      </c>
      <c r="D4" s="9" t="s">
        <v>85</v>
      </c>
      <c r="E4" s="9">
        <v>0.128</v>
      </c>
      <c r="F4" s="9">
        <v>0.26040000000000002</v>
      </c>
      <c r="G4" s="9"/>
    </row>
    <row r="5" spans="1:7" ht="42.75" customHeight="1" x14ac:dyDescent="0.25">
      <c r="A5" s="9" t="s">
        <v>87</v>
      </c>
      <c r="B5" s="9">
        <v>0.12790000000000001</v>
      </c>
      <c r="C5" s="9">
        <v>0.26219999999999999</v>
      </c>
      <c r="D5" s="9" t="s">
        <v>84</v>
      </c>
      <c r="E5" s="9">
        <v>0.12790000000000001</v>
      </c>
      <c r="F5" s="9">
        <v>0.26240000000000002</v>
      </c>
      <c r="G5" s="9"/>
    </row>
    <row r="6" spans="1:7" ht="42.75" customHeight="1" x14ac:dyDescent="0.25">
      <c r="A6" s="27" t="s">
        <v>118</v>
      </c>
      <c r="B6" s="27">
        <v>0.128</v>
      </c>
      <c r="C6" s="27">
        <v>0.26669999999999999</v>
      </c>
      <c r="D6" s="27" t="s">
        <v>119</v>
      </c>
      <c r="E6" s="27">
        <v>0.12809999999999999</v>
      </c>
      <c r="F6" s="27">
        <v>0.26669999999999999</v>
      </c>
      <c r="G6" s="9"/>
    </row>
    <row r="7" spans="1:7" ht="42.75" customHeight="1" x14ac:dyDescent="0.25">
      <c r="A7" s="9" t="s">
        <v>185</v>
      </c>
      <c r="B7" s="9">
        <v>0.12820000000000001</v>
      </c>
      <c r="C7" s="9">
        <v>0.26269999999999999</v>
      </c>
      <c r="D7" s="9" t="s">
        <v>123</v>
      </c>
      <c r="E7" s="9">
        <v>0.12820000000000001</v>
      </c>
      <c r="F7" s="9">
        <v>0.2626</v>
      </c>
      <c r="G7" s="9"/>
    </row>
    <row r="8" spans="1:7" ht="42.75" customHeight="1" x14ac:dyDescent="0.25"/>
    <row r="9" spans="1:7" ht="42.75" customHeight="1" x14ac:dyDescent="0.25"/>
    <row r="10" spans="1:7" ht="42.75" customHeight="1" x14ac:dyDescent="0.25"/>
    <row r="11" spans="1:7" ht="42.75" customHeight="1" x14ac:dyDescent="0.25"/>
    <row r="12" spans="1:7" ht="42.75" customHeight="1" x14ac:dyDescent="0.25"/>
    <row r="13" spans="1:7" ht="42.75" customHeight="1" x14ac:dyDescent="0.25"/>
    <row r="14" spans="1:7" ht="42.75" customHeight="1" x14ac:dyDescent="0.25"/>
    <row r="15" spans="1:7" ht="42.75" customHeight="1" x14ac:dyDescent="0.25"/>
    <row r="16" spans="1:7" ht="42.75" customHeight="1" x14ac:dyDescent="0.25"/>
    <row r="17" spans="1:6" ht="42.75" customHeight="1" x14ac:dyDescent="0.25"/>
    <row r="18" spans="1:6" ht="42.75" customHeight="1" x14ac:dyDescent="0.25"/>
    <row r="19" spans="1:6" ht="42.75" customHeight="1" x14ac:dyDescent="0.25"/>
    <row r="20" spans="1:6" ht="42.75" customHeight="1" x14ac:dyDescent="0.25"/>
    <row r="21" spans="1:6" ht="42.75" customHeight="1" x14ac:dyDescent="0.25"/>
    <row r="22" spans="1:6" ht="42.75" customHeight="1" x14ac:dyDescent="0.25"/>
    <row r="23" spans="1:6" ht="42.75" customHeight="1" x14ac:dyDescent="0.25"/>
    <row r="24" spans="1:6" ht="42.75" customHeight="1" x14ac:dyDescent="0.25"/>
    <row r="25" spans="1:6" ht="42.75" customHeight="1" x14ac:dyDescent="0.25"/>
    <row r="26" spans="1:6" ht="42.75" customHeight="1" x14ac:dyDescent="0.25"/>
    <row r="27" spans="1:6" ht="42.75" customHeight="1" x14ac:dyDescent="0.25"/>
    <row r="28" spans="1:6" ht="42.75" customHeight="1" x14ac:dyDescent="0.25"/>
    <row r="29" spans="1:6" ht="42.75" customHeight="1" x14ac:dyDescent="0.25"/>
    <row r="30" spans="1:6" ht="42.75" customHeight="1" x14ac:dyDescent="0.25"/>
    <row r="31" spans="1:6" s="1" customFormat="1" ht="21.75" customHeight="1" x14ac:dyDescent="0.25">
      <c r="A31" s="9"/>
      <c r="B31" s="9"/>
      <c r="C31" s="9"/>
      <c r="D31" s="9"/>
      <c r="E31" s="9"/>
      <c r="F31" s="9"/>
    </row>
    <row r="32" spans="1:6" s="1" customFormat="1" ht="21.75" customHeight="1" x14ac:dyDescent="0.25">
      <c r="A32" s="9"/>
      <c r="B32" s="9"/>
      <c r="C32" s="9"/>
      <c r="D32" s="9"/>
      <c r="E32" s="9"/>
      <c r="F32" s="9"/>
    </row>
    <row r="33" spans="1:6" s="1" customFormat="1" ht="21.75" customHeight="1" x14ac:dyDescent="0.25">
      <c r="A33" s="9"/>
      <c r="B33" s="9"/>
      <c r="C33" s="9"/>
      <c r="D33" s="9"/>
      <c r="E33" s="9"/>
      <c r="F33" s="9"/>
    </row>
    <row r="34" spans="1:6" s="1" customFormat="1" ht="21.75" customHeight="1" x14ac:dyDescent="0.25">
      <c r="A34" s="9"/>
      <c r="B34" s="9"/>
      <c r="C34" s="9"/>
      <c r="D34" s="9"/>
      <c r="E34" s="9"/>
      <c r="F34" s="9"/>
    </row>
    <row r="35" spans="1:6" s="1" customFormat="1" ht="21.75" customHeight="1" x14ac:dyDescent="0.25">
      <c r="A35" s="9"/>
      <c r="B35" s="9"/>
      <c r="C35" s="9"/>
      <c r="D35" s="9"/>
      <c r="E35" s="9"/>
      <c r="F35" s="9"/>
    </row>
    <row r="36" spans="1:6" s="1" customFormat="1" ht="21.75" customHeight="1" x14ac:dyDescent="0.25">
      <c r="A36" s="9"/>
      <c r="B36" s="9"/>
      <c r="C36" s="9"/>
      <c r="D36" s="9"/>
      <c r="E36" s="9"/>
      <c r="F36" s="9"/>
    </row>
    <row r="37" spans="1:6" s="1" customFormat="1" ht="21.75" customHeight="1" x14ac:dyDescent="0.25">
      <c r="A37" s="9"/>
      <c r="B37" s="9"/>
      <c r="C37" s="9"/>
      <c r="D37" s="9"/>
      <c r="E37" s="9"/>
      <c r="F37" s="9"/>
    </row>
    <row r="38" spans="1:6" s="1" customFormat="1" ht="21.75" customHeight="1" x14ac:dyDescent="0.25">
      <c r="A38" s="9"/>
      <c r="B38" s="9"/>
      <c r="C38" s="9"/>
      <c r="D38" s="9"/>
      <c r="E38" s="9"/>
      <c r="F38" s="9"/>
    </row>
    <row r="39" spans="1:6" s="1" customFormat="1" ht="21.75" customHeight="1" x14ac:dyDescent="0.25">
      <c r="A39" s="9"/>
      <c r="B39" s="9"/>
      <c r="C39" s="9"/>
      <c r="D39" s="9"/>
      <c r="E39" s="9"/>
      <c r="F39" s="9"/>
    </row>
    <row r="40" spans="1:6" s="1" customFormat="1" ht="21.75" customHeight="1" x14ac:dyDescent="0.25">
      <c r="A40" s="9"/>
      <c r="B40" s="9"/>
      <c r="C40" s="9"/>
      <c r="D40" s="9"/>
      <c r="E40" s="9"/>
      <c r="F40" s="9"/>
    </row>
    <row r="41" spans="1:6" s="1" customFormat="1" ht="21.75" customHeight="1" x14ac:dyDescent="0.25">
      <c r="A41" s="9"/>
      <c r="B41" s="9"/>
      <c r="C41" s="9"/>
      <c r="D41" s="9"/>
      <c r="E41" s="9"/>
      <c r="F41" s="9"/>
    </row>
    <row r="42" spans="1:6" s="1" customFormat="1" ht="21.75" customHeight="1" x14ac:dyDescent="0.25">
      <c r="A42" s="9"/>
      <c r="B42" s="9"/>
      <c r="C42" s="9"/>
      <c r="D42" s="9"/>
      <c r="E42" s="9"/>
      <c r="F42" s="9"/>
    </row>
    <row r="43" spans="1:6" s="1" customFormat="1" ht="21.75" customHeight="1" x14ac:dyDescent="0.25">
      <c r="A43" s="9"/>
      <c r="B43" s="9"/>
      <c r="C43" s="9"/>
      <c r="D43" s="9"/>
      <c r="E43" s="9"/>
      <c r="F43" s="9"/>
    </row>
    <row r="44" spans="1:6" s="1" customFormat="1" ht="21.75" customHeight="1" x14ac:dyDescent="0.25">
      <c r="A44" s="9"/>
      <c r="B44" s="9"/>
      <c r="C44" s="9"/>
      <c r="D44" s="9"/>
      <c r="E44" s="9"/>
      <c r="F44" s="9"/>
    </row>
    <row r="45" spans="1:6" s="1" customFormat="1" ht="21.75" customHeight="1" x14ac:dyDescent="0.25">
      <c r="A45" s="9"/>
      <c r="B45" s="9"/>
      <c r="C45" s="9"/>
      <c r="D45" s="9"/>
      <c r="E45" s="9"/>
      <c r="F45" s="9"/>
    </row>
    <row r="46" spans="1:6" s="1" customFormat="1" ht="21.75" customHeight="1" x14ac:dyDescent="0.25">
      <c r="A46" s="9"/>
      <c r="B46" s="9"/>
      <c r="C46" s="9"/>
      <c r="D46" s="9"/>
      <c r="E46" s="9"/>
      <c r="F46" s="9"/>
    </row>
    <row r="47" spans="1:6" s="1" customFormat="1" ht="21.75" customHeight="1" x14ac:dyDescent="0.25">
      <c r="A47" s="9"/>
      <c r="B47" s="9"/>
      <c r="C47" s="9"/>
      <c r="D47" s="9"/>
      <c r="E47" s="9"/>
      <c r="F47" s="9"/>
    </row>
    <row r="48" spans="1:6" s="1" customFormat="1" ht="21.75" customHeight="1" x14ac:dyDescent="0.25">
      <c r="A48" s="9"/>
      <c r="B48" s="9"/>
      <c r="C48" s="9"/>
      <c r="D48" s="9"/>
      <c r="E48" s="9"/>
      <c r="F48" s="9"/>
    </row>
    <row r="49" spans="1:6" s="1" customFormat="1" ht="21.75" customHeight="1" x14ac:dyDescent="0.25">
      <c r="A49" s="9"/>
      <c r="B49" s="9"/>
      <c r="C49" s="9"/>
      <c r="D49" s="9"/>
      <c r="E49" s="9"/>
      <c r="F49" s="9"/>
    </row>
    <row r="50" spans="1:6" s="1" customFormat="1" ht="21.75" customHeight="1" x14ac:dyDescent="0.25">
      <c r="A50" s="9"/>
      <c r="B50" s="9"/>
      <c r="C50" s="9"/>
      <c r="D50" s="9"/>
      <c r="E50" s="9"/>
      <c r="F50" s="9"/>
    </row>
    <row r="51" spans="1:6" s="1" customFormat="1" ht="21.75" customHeight="1" x14ac:dyDescent="0.25">
      <c r="A51" s="9"/>
      <c r="B51" s="9"/>
      <c r="C51" s="9"/>
      <c r="D51" s="9"/>
      <c r="E51" s="9"/>
      <c r="F51" s="9"/>
    </row>
    <row r="52" spans="1:6" s="1" customFormat="1" ht="21.75" customHeight="1" x14ac:dyDescent="0.25">
      <c r="A52" s="9"/>
      <c r="B52" s="9"/>
      <c r="C52" s="9"/>
      <c r="D52" s="9"/>
      <c r="E52" s="9"/>
      <c r="F52" s="9"/>
    </row>
    <row r="53" spans="1:6" s="1" customFormat="1" ht="21.75" customHeight="1" x14ac:dyDescent="0.25">
      <c r="A53" s="9"/>
      <c r="B53" s="9"/>
      <c r="C53" s="9"/>
      <c r="D53" s="9"/>
      <c r="E53" s="9"/>
      <c r="F53" s="9"/>
    </row>
    <row r="54" spans="1:6" s="1" customFormat="1" ht="21.75" customHeight="1" x14ac:dyDescent="0.25">
      <c r="A54" s="9"/>
      <c r="B54" s="9"/>
      <c r="C54" s="9"/>
      <c r="D54" s="9"/>
      <c r="E54" s="9"/>
      <c r="F54" s="9"/>
    </row>
    <row r="55" spans="1:6" s="1" customFormat="1" ht="21.75" customHeight="1" x14ac:dyDescent="0.25">
      <c r="A55" s="9"/>
      <c r="B55" s="9"/>
      <c r="C55" s="9"/>
      <c r="D55" s="9"/>
      <c r="E55" s="9"/>
      <c r="F55" s="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F4EB8-2940-4265-B1FB-67919DF08129}">
  <dimension ref="A1:K55"/>
  <sheetViews>
    <sheetView zoomScaleNormal="100" workbookViewId="0">
      <selection activeCell="J4" sqref="J4"/>
    </sheetView>
  </sheetViews>
  <sheetFormatPr defaultRowHeight="13.8" x14ac:dyDescent="0.25"/>
  <cols>
    <col min="1" max="3" width="18" style="2" customWidth="1"/>
  </cols>
  <sheetData>
    <row r="1" spans="1:4" ht="42.75" customHeight="1" x14ac:dyDescent="0.25">
      <c r="A1" s="28" t="s">
        <v>170</v>
      </c>
      <c r="B1" s="28" t="s">
        <v>173</v>
      </c>
      <c r="C1" s="28" t="s">
        <v>174</v>
      </c>
    </row>
    <row r="2" spans="1:4" ht="42.75" customHeight="1" x14ac:dyDescent="0.25">
      <c r="A2" s="28" t="s">
        <v>2</v>
      </c>
      <c r="B2" s="28">
        <v>0.1206</v>
      </c>
      <c r="C2" s="31">
        <v>0.12130000000000001</v>
      </c>
    </row>
    <row r="3" spans="1:4" ht="42.75" customHeight="1" x14ac:dyDescent="0.25">
      <c r="A3" s="28" t="s">
        <v>167</v>
      </c>
      <c r="B3" s="31">
        <v>1.4036999999999999</v>
      </c>
      <c r="C3" s="28">
        <v>1.3532999999999999</v>
      </c>
    </row>
    <row r="4" spans="1:4" ht="42.75" customHeight="1" x14ac:dyDescent="0.25">
      <c r="A4" s="28" t="s">
        <v>168</v>
      </c>
      <c r="B4" s="28">
        <v>0.25019999999999998</v>
      </c>
      <c r="C4" s="31">
        <v>0.2545</v>
      </c>
    </row>
    <row r="5" spans="1:4" ht="42.75" customHeight="1" x14ac:dyDescent="0.25">
      <c r="A5" s="29" t="s">
        <v>169</v>
      </c>
      <c r="B5" s="29">
        <v>0.40949999999999998</v>
      </c>
      <c r="C5" s="32">
        <v>0.40960000000000002</v>
      </c>
    </row>
    <row r="6" spans="1:4" ht="42.75" customHeight="1" x14ac:dyDescent="0.25">
      <c r="A6" s="30" t="s">
        <v>172</v>
      </c>
      <c r="B6" s="28" t="s">
        <v>173</v>
      </c>
      <c r="C6" s="28" t="s">
        <v>174</v>
      </c>
      <c r="D6" s="9"/>
    </row>
    <row r="7" spans="1:4" ht="42.75" customHeight="1" x14ac:dyDescent="0.25">
      <c r="A7" s="28" t="s">
        <v>166</v>
      </c>
      <c r="B7" s="31">
        <v>0.12939999999999999</v>
      </c>
      <c r="C7" s="28">
        <v>0.129</v>
      </c>
    </row>
    <row r="8" spans="1:4" ht="42.75" customHeight="1" x14ac:dyDescent="0.25">
      <c r="A8" s="28" t="s">
        <v>167</v>
      </c>
      <c r="B8" s="31">
        <v>1.3645</v>
      </c>
      <c r="C8" s="28">
        <v>1.3407</v>
      </c>
    </row>
    <row r="9" spans="1:4" ht="42.75" customHeight="1" x14ac:dyDescent="0.25">
      <c r="A9" s="28" t="s">
        <v>168</v>
      </c>
      <c r="B9" s="31">
        <v>0.26700000000000002</v>
      </c>
      <c r="C9" s="28">
        <v>0.26490000000000002</v>
      </c>
    </row>
    <row r="10" spans="1:4" ht="42.75" customHeight="1" x14ac:dyDescent="0.25">
      <c r="A10" s="29" t="s">
        <v>169</v>
      </c>
      <c r="B10" s="32">
        <v>0.43519999999999998</v>
      </c>
      <c r="C10" s="29">
        <v>0.43209999999999998</v>
      </c>
      <c r="D10" s="9"/>
    </row>
    <row r="11" spans="1:4" ht="42.75" customHeight="1" x14ac:dyDescent="0.25">
      <c r="A11" s="18" t="s">
        <v>171</v>
      </c>
      <c r="B11" s="28" t="s">
        <v>173</v>
      </c>
      <c r="C11" s="28" t="s">
        <v>174</v>
      </c>
    </row>
    <row r="12" spans="1:4" ht="42.75" customHeight="1" x14ac:dyDescent="0.25">
      <c r="A12" s="18" t="s">
        <v>166</v>
      </c>
      <c r="B12" s="33">
        <v>0.12970000000000001</v>
      </c>
      <c r="C12" s="28">
        <v>0.12920000000000001</v>
      </c>
    </row>
    <row r="13" spans="1:4" ht="42.75" customHeight="1" x14ac:dyDescent="0.25">
      <c r="A13" s="18" t="s">
        <v>167</v>
      </c>
      <c r="B13" s="33">
        <v>1.3313999999999999</v>
      </c>
      <c r="C13" s="28">
        <v>1.3166</v>
      </c>
    </row>
    <row r="14" spans="1:4" ht="42.75" customHeight="1" x14ac:dyDescent="0.25">
      <c r="A14" s="18" t="s">
        <v>168</v>
      </c>
      <c r="B14" s="33">
        <v>0.26550000000000001</v>
      </c>
      <c r="C14" s="28">
        <v>0.26529999999999998</v>
      </c>
    </row>
    <row r="15" spans="1:4" ht="42.75" customHeight="1" x14ac:dyDescent="0.25">
      <c r="A15" s="18" t="s">
        <v>169</v>
      </c>
      <c r="B15" s="34">
        <v>0.43409999999999999</v>
      </c>
      <c r="C15" s="31">
        <v>0.43469999999999998</v>
      </c>
    </row>
    <row r="16" spans="1:4" ht="42.75" customHeight="1" x14ac:dyDescent="0.25"/>
    <row r="17" spans="1:11" s="1" customFormat="1" ht="42.75" customHeight="1" x14ac:dyDescent="0.25">
      <c r="A17" s="2"/>
      <c r="B17" s="2"/>
      <c r="C17" s="2"/>
      <c r="D17"/>
      <c r="E17"/>
      <c r="F17"/>
      <c r="G17"/>
      <c r="H17"/>
      <c r="I17"/>
      <c r="J17"/>
      <c r="K17"/>
    </row>
    <row r="18" spans="1:11" s="1" customFormat="1" ht="42.75" customHeight="1" x14ac:dyDescent="0.25">
      <c r="A18" s="2"/>
      <c r="B18" s="2"/>
      <c r="C18" s="2"/>
      <c r="D18"/>
      <c r="E18"/>
      <c r="F18"/>
      <c r="G18"/>
      <c r="H18"/>
      <c r="I18"/>
      <c r="J18"/>
      <c r="K18"/>
    </row>
    <row r="19" spans="1:11" s="1" customFormat="1" ht="42.75" customHeight="1" x14ac:dyDescent="0.25">
      <c r="A19" s="5"/>
      <c r="B19" s="2"/>
      <c r="C19" s="2"/>
      <c r="D19"/>
      <c r="E19"/>
      <c r="F19"/>
      <c r="G19"/>
      <c r="H19"/>
      <c r="I19"/>
      <c r="J19"/>
      <c r="K19"/>
    </row>
    <row r="20" spans="1:11" s="1" customFormat="1" ht="42.75" customHeight="1" x14ac:dyDescent="0.25">
      <c r="A20" s="2"/>
      <c r="B20" s="2"/>
      <c r="C20" s="2"/>
      <c r="D20"/>
      <c r="E20"/>
      <c r="F20"/>
      <c r="G20"/>
      <c r="H20"/>
      <c r="I20"/>
      <c r="J20"/>
      <c r="K20"/>
    </row>
    <row r="21" spans="1:11" s="1" customFormat="1" ht="42.75" customHeight="1" x14ac:dyDescent="0.25">
      <c r="A21" s="2"/>
      <c r="B21" s="2"/>
      <c r="C21" s="2"/>
      <c r="D21"/>
      <c r="E21"/>
      <c r="F21"/>
      <c r="G21"/>
      <c r="H21"/>
      <c r="I21"/>
      <c r="J21"/>
      <c r="K21"/>
    </row>
    <row r="22" spans="1:11" s="1" customFormat="1" ht="42.75" customHeight="1" x14ac:dyDescent="0.25">
      <c r="A22" s="2"/>
      <c r="B22" s="2"/>
      <c r="C22" s="2"/>
      <c r="D22"/>
      <c r="E22"/>
      <c r="F22"/>
      <c r="G22"/>
      <c r="H22"/>
      <c r="I22"/>
      <c r="J22"/>
      <c r="K22"/>
    </row>
    <row r="23" spans="1:11" s="1" customFormat="1" ht="42.75" customHeight="1" x14ac:dyDescent="0.25">
      <c r="A23" s="2"/>
      <c r="B23" s="2"/>
      <c r="C23" s="2"/>
      <c r="D23"/>
      <c r="E23"/>
      <c r="F23"/>
      <c r="G23"/>
      <c r="H23"/>
      <c r="I23"/>
      <c r="J23"/>
      <c r="K23"/>
    </row>
    <row r="24" spans="1:11" s="1" customFormat="1" ht="42.75" customHeight="1" x14ac:dyDescent="0.25">
      <c r="A24" s="2"/>
      <c r="B24" s="2"/>
      <c r="C24" s="2"/>
      <c r="D24"/>
      <c r="E24"/>
      <c r="F24"/>
      <c r="G24"/>
      <c r="H24"/>
      <c r="I24"/>
      <c r="J24"/>
      <c r="K24"/>
    </row>
    <row r="25" spans="1:11" s="1" customFormat="1" ht="42.75" customHeight="1" x14ac:dyDescent="0.25">
      <c r="A25" s="2"/>
      <c r="B25" s="2"/>
      <c r="C25" s="2"/>
      <c r="D25"/>
      <c r="E25"/>
      <c r="F25"/>
      <c r="G25"/>
      <c r="H25"/>
      <c r="I25"/>
      <c r="J25"/>
      <c r="K25"/>
    </row>
    <row r="26" spans="1:11" s="1" customFormat="1" ht="42.75" customHeight="1" x14ac:dyDescent="0.25">
      <c r="A26" s="2"/>
      <c r="B26" s="2"/>
      <c r="C26" s="2"/>
      <c r="D26"/>
      <c r="E26"/>
      <c r="F26"/>
      <c r="G26"/>
      <c r="H26"/>
      <c r="I26"/>
      <c r="J26"/>
      <c r="K26"/>
    </row>
    <row r="27" spans="1:11" s="1" customFormat="1" ht="42.75" customHeight="1" x14ac:dyDescent="0.25">
      <c r="A27" s="2"/>
      <c r="B27" s="2"/>
      <c r="C27" s="2"/>
      <c r="D27"/>
      <c r="E27"/>
      <c r="F27"/>
      <c r="G27"/>
      <c r="H27"/>
      <c r="I27"/>
      <c r="J27"/>
      <c r="K27"/>
    </row>
    <row r="28" spans="1:11" s="1" customFormat="1" ht="42.75" customHeight="1" x14ac:dyDescent="0.25">
      <c r="A28" s="2"/>
      <c r="B28" s="2"/>
      <c r="C28" s="2"/>
      <c r="D28"/>
      <c r="E28"/>
      <c r="F28"/>
      <c r="G28"/>
      <c r="H28"/>
      <c r="I28"/>
      <c r="J28"/>
      <c r="K28"/>
    </row>
    <row r="29" spans="1:11" s="1" customFormat="1" ht="42.75" customHeight="1" x14ac:dyDescent="0.25">
      <c r="A29" s="2"/>
      <c r="B29" s="2"/>
      <c r="C29" s="2"/>
      <c r="D29"/>
      <c r="E29"/>
      <c r="F29"/>
      <c r="G29"/>
      <c r="H29"/>
      <c r="I29"/>
      <c r="J29"/>
      <c r="K29"/>
    </row>
    <row r="30" spans="1:11" s="1" customFormat="1" ht="42.75" customHeight="1" x14ac:dyDescent="0.25">
      <c r="A30" s="2"/>
      <c r="B30" s="2"/>
      <c r="C30" s="2"/>
      <c r="D30"/>
      <c r="E30"/>
      <c r="F30"/>
      <c r="G30"/>
      <c r="H30"/>
      <c r="I30"/>
      <c r="J30"/>
      <c r="K30"/>
    </row>
    <row r="31" spans="1:11" s="1" customFormat="1" ht="21.75" customHeight="1" x14ac:dyDescent="0.25">
      <c r="A31" s="2"/>
      <c r="B31" s="2"/>
      <c r="C31" s="2"/>
    </row>
    <row r="32" spans="1:11" s="1" customFormat="1" ht="21.75" customHeight="1" x14ac:dyDescent="0.25">
      <c r="A32" s="2"/>
      <c r="B32" s="2"/>
      <c r="C32" s="2"/>
    </row>
    <row r="33" spans="1:3" s="1" customFormat="1" ht="21.75" customHeight="1" x14ac:dyDescent="0.25">
      <c r="A33" s="2"/>
      <c r="B33" s="2"/>
      <c r="C33" s="2"/>
    </row>
    <row r="34" spans="1:3" s="1" customFormat="1" ht="21.75" customHeight="1" x14ac:dyDescent="0.25">
      <c r="A34" s="2"/>
      <c r="B34" s="2"/>
      <c r="C34" s="2"/>
    </row>
    <row r="35" spans="1:3" s="1" customFormat="1" ht="21.75" customHeight="1" x14ac:dyDescent="0.25">
      <c r="A35" s="2"/>
      <c r="B35" s="2"/>
      <c r="C35" s="2"/>
    </row>
    <row r="36" spans="1:3" s="1" customFormat="1" ht="21.75" customHeight="1" x14ac:dyDescent="0.25">
      <c r="A36" s="2"/>
      <c r="B36" s="2"/>
      <c r="C36" s="2"/>
    </row>
    <row r="37" spans="1:3" s="1" customFormat="1" ht="21.75" customHeight="1" x14ac:dyDescent="0.25">
      <c r="A37" s="2"/>
      <c r="B37" s="2"/>
      <c r="C37" s="2"/>
    </row>
    <row r="38" spans="1:3" s="1" customFormat="1" ht="21.75" customHeight="1" x14ac:dyDescent="0.25">
      <c r="A38" s="2"/>
      <c r="B38" s="2"/>
      <c r="C38" s="2"/>
    </row>
    <row r="39" spans="1:3" s="1" customFormat="1" ht="21.75" customHeight="1" x14ac:dyDescent="0.25">
      <c r="A39" s="2"/>
      <c r="B39" s="2"/>
      <c r="C39" s="2"/>
    </row>
    <row r="40" spans="1:3" s="1" customFormat="1" ht="21.75" customHeight="1" x14ac:dyDescent="0.25">
      <c r="A40" s="2"/>
      <c r="B40" s="2"/>
      <c r="C40" s="2"/>
    </row>
    <row r="41" spans="1:3" s="1" customFormat="1" ht="21.75" customHeight="1" x14ac:dyDescent="0.25">
      <c r="A41" s="2"/>
      <c r="B41" s="2"/>
      <c r="C41" s="2"/>
    </row>
    <row r="42" spans="1:3" s="1" customFormat="1" ht="21.75" customHeight="1" x14ac:dyDescent="0.25">
      <c r="A42" s="2"/>
      <c r="B42" s="2"/>
      <c r="C42" s="2"/>
    </row>
    <row r="43" spans="1:3" s="1" customFormat="1" ht="21.75" customHeight="1" x14ac:dyDescent="0.25">
      <c r="A43" s="2"/>
      <c r="B43" s="2"/>
      <c r="C43" s="2"/>
    </row>
    <row r="44" spans="1:3" s="1" customFormat="1" ht="21.75" customHeight="1" x14ac:dyDescent="0.25">
      <c r="A44" s="2"/>
      <c r="B44" s="2"/>
      <c r="C44" s="2"/>
    </row>
    <row r="45" spans="1:3" s="1" customFormat="1" ht="21.75" customHeight="1" x14ac:dyDescent="0.25">
      <c r="A45" s="2"/>
      <c r="B45" s="2"/>
      <c r="C45" s="2"/>
    </row>
    <row r="46" spans="1:3" s="1" customFormat="1" ht="21.75" customHeight="1" x14ac:dyDescent="0.25">
      <c r="A46" s="2"/>
      <c r="B46" s="2"/>
      <c r="C46" s="2"/>
    </row>
    <row r="47" spans="1:3" s="1" customFormat="1" ht="21.75" customHeight="1" x14ac:dyDescent="0.25">
      <c r="A47" s="2"/>
      <c r="B47" s="2"/>
      <c r="C47" s="2"/>
    </row>
    <row r="48" spans="1:3" s="1" customFormat="1" ht="21.75" customHeight="1" x14ac:dyDescent="0.25">
      <c r="A48" s="2"/>
      <c r="B48" s="2"/>
      <c r="C48" s="2"/>
    </row>
    <row r="49" spans="1:3" s="1" customFormat="1" ht="21.75" customHeight="1" x14ac:dyDescent="0.25">
      <c r="A49" s="2"/>
      <c r="B49" s="2"/>
      <c r="C49" s="2"/>
    </row>
    <row r="50" spans="1:3" s="1" customFormat="1" ht="21.75" customHeight="1" x14ac:dyDescent="0.25">
      <c r="A50" s="2"/>
      <c r="B50" s="2"/>
      <c r="C50" s="2"/>
    </row>
    <row r="51" spans="1:3" s="1" customFormat="1" ht="21.75" customHeight="1" x14ac:dyDescent="0.25">
      <c r="A51" s="2"/>
      <c r="B51" s="2"/>
      <c r="C51" s="2"/>
    </row>
    <row r="52" spans="1:3" s="1" customFormat="1" ht="21.75" customHeight="1" x14ac:dyDescent="0.25">
      <c r="A52" s="2"/>
      <c r="B52" s="2"/>
      <c r="C52" s="2"/>
    </row>
    <row r="53" spans="1:3" s="1" customFormat="1" ht="21.75" customHeight="1" x14ac:dyDescent="0.25">
      <c r="A53" s="2"/>
      <c r="B53" s="2"/>
      <c r="C53" s="2"/>
    </row>
    <row r="54" spans="1:3" s="1" customFormat="1" ht="21.75" customHeight="1" x14ac:dyDescent="0.25">
      <c r="A54" s="2"/>
      <c r="B54" s="2"/>
      <c r="C54" s="2"/>
    </row>
    <row r="55" spans="1:3" s="1" customFormat="1" ht="21.75" customHeight="1" x14ac:dyDescent="0.25">
      <c r="A55" s="2"/>
      <c r="B55" s="2"/>
      <c r="C55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73991-6683-4B66-A17F-BEBDDEBA7D14}">
  <dimension ref="A1:G55"/>
  <sheetViews>
    <sheetView workbookViewId="0">
      <selection activeCell="F11" sqref="F11"/>
    </sheetView>
  </sheetViews>
  <sheetFormatPr defaultRowHeight="13.8" x14ac:dyDescent="0.25"/>
  <cols>
    <col min="1" max="1" width="16.109375" style="2" customWidth="1"/>
    <col min="2" max="3" width="16.109375" style="1" customWidth="1"/>
    <col min="4" max="4" width="16.109375" style="2" customWidth="1"/>
    <col min="5" max="6" width="16.109375" style="1" customWidth="1"/>
  </cols>
  <sheetData>
    <row r="1" spans="1:7" ht="42.75" customHeight="1" x14ac:dyDescent="0.25">
      <c r="A1" s="9" t="s">
        <v>75</v>
      </c>
      <c r="B1" s="9" t="s">
        <v>2</v>
      </c>
      <c r="C1" s="9" t="s">
        <v>3</v>
      </c>
      <c r="D1" s="9" t="s">
        <v>75</v>
      </c>
      <c r="E1" s="9" t="s">
        <v>2</v>
      </c>
      <c r="F1" s="9" t="s">
        <v>3</v>
      </c>
      <c r="G1" s="9"/>
    </row>
    <row r="2" spans="1:7" ht="42.75" customHeight="1" x14ac:dyDescent="0.25">
      <c r="A2" s="9" t="s">
        <v>89</v>
      </c>
      <c r="B2" s="9">
        <v>0.116528318015719</v>
      </c>
      <c r="C2" s="9">
        <v>0.25501566038592799</v>
      </c>
      <c r="D2" s="9" t="s">
        <v>86</v>
      </c>
      <c r="E2" s="9">
        <v>0.116528318015719</v>
      </c>
      <c r="F2" s="9">
        <v>0.25501566038592799</v>
      </c>
      <c r="G2" s="9"/>
    </row>
    <row r="3" spans="1:7" ht="42.75" customHeight="1" x14ac:dyDescent="0.25">
      <c r="A3" s="9" t="s">
        <v>120</v>
      </c>
      <c r="B3" s="9">
        <v>0.116479477393057</v>
      </c>
      <c r="C3" s="9">
        <v>0.25571249219486503</v>
      </c>
      <c r="D3" s="9" t="s">
        <v>121</v>
      </c>
      <c r="E3" s="9">
        <v>0.116485065279457</v>
      </c>
      <c r="F3" s="9">
        <v>0.25578835452954402</v>
      </c>
      <c r="G3" s="9"/>
    </row>
    <row r="4" spans="1:7" ht="42.75" customHeight="1" x14ac:dyDescent="0.25">
      <c r="A4" s="9" t="s">
        <v>88</v>
      </c>
      <c r="B4" s="9">
        <v>0.116102449516248</v>
      </c>
      <c r="C4" s="9">
        <v>0.25781138130070202</v>
      </c>
      <c r="D4" s="9" t="s">
        <v>85</v>
      </c>
      <c r="E4" s="9">
        <v>0.116115587790349</v>
      </c>
      <c r="F4" s="9">
        <v>0.257948870225916</v>
      </c>
      <c r="G4" s="9"/>
    </row>
    <row r="5" spans="1:7" ht="42.75" customHeight="1" x14ac:dyDescent="0.25">
      <c r="A5" s="27" t="s">
        <v>87</v>
      </c>
      <c r="B5" s="27">
        <v>0.115693703250751</v>
      </c>
      <c r="C5" s="27">
        <v>0.26174063416823901</v>
      </c>
      <c r="D5" s="15" t="s">
        <v>84</v>
      </c>
      <c r="E5" s="15">
        <v>0.11570808674939199</v>
      </c>
      <c r="F5" s="15">
        <v>0.26154268271443498</v>
      </c>
      <c r="G5" s="9"/>
    </row>
    <row r="6" spans="1:7" ht="42.75" customHeight="1" x14ac:dyDescent="0.25">
      <c r="A6" s="9" t="s">
        <v>118</v>
      </c>
      <c r="B6" s="9">
        <v>0.11559944562023799</v>
      </c>
      <c r="C6" s="9">
        <v>0.25751551408238699</v>
      </c>
      <c r="D6" s="9" t="s">
        <v>119</v>
      </c>
      <c r="E6" s="9">
        <v>0.11561658907312</v>
      </c>
      <c r="F6" s="9">
        <v>0.25768267215044799</v>
      </c>
      <c r="G6" s="9"/>
    </row>
    <row r="7" spans="1:7" ht="42.75" customHeight="1" x14ac:dyDescent="0.25">
      <c r="A7" s="9"/>
      <c r="C7" s="9"/>
      <c r="D7" s="9"/>
      <c r="E7" s="9"/>
      <c r="F7" s="9"/>
      <c r="G7" s="9"/>
    </row>
    <row r="8" spans="1:7" ht="42.75" customHeight="1" x14ac:dyDescent="0.25">
      <c r="A8" s="9"/>
      <c r="B8" s="9"/>
      <c r="C8" s="9"/>
      <c r="D8" s="9"/>
      <c r="E8" s="9"/>
      <c r="F8" s="9"/>
    </row>
    <row r="9" spans="1:7" ht="42.75" customHeight="1" x14ac:dyDescent="0.25"/>
    <row r="10" spans="1:7" ht="42.75" customHeight="1" x14ac:dyDescent="0.25">
      <c r="D10" s="5"/>
    </row>
    <row r="11" spans="1:7" ht="42.75" customHeight="1" x14ac:dyDescent="0.25"/>
    <row r="12" spans="1:7" ht="42.75" customHeight="1" x14ac:dyDescent="0.25">
      <c r="A12" s="5"/>
    </row>
    <row r="13" spans="1:7" ht="42.75" customHeight="1" x14ac:dyDescent="0.25"/>
    <row r="14" spans="1:7" ht="42.75" customHeight="1" x14ac:dyDescent="0.25"/>
    <row r="15" spans="1:7" ht="42.75" customHeight="1" x14ac:dyDescent="0.25">
      <c r="A15" s="5"/>
      <c r="D15" s="5"/>
    </row>
    <row r="16" spans="1:7" ht="42.75" customHeight="1" x14ac:dyDescent="0.25"/>
    <row r="17" spans="1:4" ht="42.75" customHeight="1" x14ac:dyDescent="0.25"/>
    <row r="18" spans="1:4" ht="42.75" customHeight="1" x14ac:dyDescent="0.25">
      <c r="D18" s="5"/>
    </row>
    <row r="19" spans="1:4" ht="42.75" customHeight="1" x14ac:dyDescent="0.25">
      <c r="A19" s="5"/>
    </row>
    <row r="20" spans="1:4" ht="42.75" customHeight="1" x14ac:dyDescent="0.25"/>
    <row r="21" spans="1:4" ht="42.75" customHeight="1" x14ac:dyDescent="0.25"/>
    <row r="22" spans="1:4" ht="42.75" customHeight="1" x14ac:dyDescent="0.25">
      <c r="D22" s="5"/>
    </row>
    <row r="23" spans="1:4" ht="42.75" customHeight="1" x14ac:dyDescent="0.25"/>
    <row r="24" spans="1:4" ht="42.75" customHeight="1" x14ac:dyDescent="0.25"/>
    <row r="25" spans="1:4" ht="42.75" customHeight="1" x14ac:dyDescent="0.25"/>
    <row r="26" spans="1:4" ht="42.75" customHeight="1" x14ac:dyDescent="0.25"/>
    <row r="27" spans="1:4" ht="42.75" customHeight="1" x14ac:dyDescent="0.25"/>
    <row r="28" spans="1:4" ht="42.75" customHeight="1" x14ac:dyDescent="0.25"/>
    <row r="29" spans="1:4" ht="42.75" customHeight="1" x14ac:dyDescent="0.25"/>
    <row r="30" spans="1:4" ht="42.75" customHeight="1" x14ac:dyDescent="0.25"/>
    <row r="31" spans="1:4" s="1" customFormat="1" ht="21.75" customHeight="1" x14ac:dyDescent="0.25">
      <c r="A31" s="2"/>
      <c r="D31" s="2"/>
    </row>
    <row r="32" spans="1:4" s="1" customFormat="1" ht="21.75" customHeight="1" x14ac:dyDescent="0.25">
      <c r="A32" s="2"/>
      <c r="D32" s="2"/>
    </row>
    <row r="33" spans="1:4" s="1" customFormat="1" ht="21.75" customHeight="1" x14ac:dyDescent="0.25">
      <c r="A33" s="2"/>
      <c r="D33" s="2"/>
    </row>
    <row r="34" spans="1:4" s="1" customFormat="1" ht="21.75" customHeight="1" x14ac:dyDescent="0.25">
      <c r="A34" s="2"/>
      <c r="D34" s="2"/>
    </row>
    <row r="35" spans="1:4" s="1" customFormat="1" ht="21.75" customHeight="1" x14ac:dyDescent="0.25">
      <c r="A35" s="2"/>
      <c r="D35" s="2"/>
    </row>
    <row r="36" spans="1:4" s="1" customFormat="1" ht="21.75" customHeight="1" x14ac:dyDescent="0.25">
      <c r="A36" s="2"/>
      <c r="D36" s="2"/>
    </row>
    <row r="37" spans="1:4" s="1" customFormat="1" ht="21.75" customHeight="1" x14ac:dyDescent="0.25">
      <c r="A37" s="2"/>
      <c r="D37" s="2"/>
    </row>
    <row r="38" spans="1:4" s="1" customFormat="1" ht="21.75" customHeight="1" x14ac:dyDescent="0.25">
      <c r="A38" s="2"/>
      <c r="D38" s="2"/>
    </row>
    <row r="39" spans="1:4" s="1" customFormat="1" ht="21.75" customHeight="1" x14ac:dyDescent="0.25">
      <c r="A39" s="2"/>
      <c r="D39" s="2"/>
    </row>
    <row r="40" spans="1:4" s="1" customFormat="1" ht="21.75" customHeight="1" x14ac:dyDescent="0.25">
      <c r="A40" s="2"/>
      <c r="D40" s="2"/>
    </row>
    <row r="41" spans="1:4" s="1" customFormat="1" ht="21.75" customHeight="1" x14ac:dyDescent="0.25">
      <c r="A41" s="2"/>
      <c r="D41" s="2"/>
    </row>
    <row r="42" spans="1:4" s="1" customFormat="1" ht="21.75" customHeight="1" x14ac:dyDescent="0.25">
      <c r="A42" s="2"/>
      <c r="D42" s="2"/>
    </row>
    <row r="43" spans="1:4" s="1" customFormat="1" ht="21.75" customHeight="1" x14ac:dyDescent="0.25">
      <c r="A43" s="2"/>
      <c r="D43" s="2"/>
    </row>
    <row r="44" spans="1:4" s="1" customFormat="1" ht="21.75" customHeight="1" x14ac:dyDescent="0.25">
      <c r="A44" s="2"/>
      <c r="D44" s="2"/>
    </row>
    <row r="45" spans="1:4" s="1" customFormat="1" ht="21.75" customHeight="1" x14ac:dyDescent="0.25">
      <c r="A45" s="2"/>
      <c r="D45" s="2"/>
    </row>
    <row r="46" spans="1:4" s="1" customFormat="1" ht="21.75" customHeight="1" x14ac:dyDescent="0.25">
      <c r="A46" s="2"/>
      <c r="D46" s="2"/>
    </row>
    <row r="47" spans="1:4" s="1" customFormat="1" ht="21.75" customHeight="1" x14ac:dyDescent="0.25">
      <c r="A47" s="2"/>
      <c r="D47" s="2"/>
    </row>
    <row r="48" spans="1:4" s="1" customFormat="1" ht="21.75" customHeight="1" x14ac:dyDescent="0.25">
      <c r="A48" s="2"/>
      <c r="D48" s="2"/>
    </row>
    <row r="49" spans="1:4" s="1" customFormat="1" ht="21.75" customHeight="1" x14ac:dyDescent="0.25">
      <c r="A49" s="2"/>
      <c r="D49" s="2"/>
    </row>
    <row r="50" spans="1:4" s="1" customFormat="1" ht="21.75" customHeight="1" x14ac:dyDescent="0.25">
      <c r="A50" s="2"/>
      <c r="D50" s="2"/>
    </row>
    <row r="51" spans="1:4" s="1" customFormat="1" ht="21.75" customHeight="1" x14ac:dyDescent="0.25">
      <c r="A51" s="2"/>
      <c r="D51" s="2"/>
    </row>
    <row r="52" spans="1:4" s="1" customFormat="1" ht="21.75" customHeight="1" x14ac:dyDescent="0.25">
      <c r="A52" s="2"/>
      <c r="D52" s="2"/>
    </row>
    <row r="53" spans="1:4" s="1" customFormat="1" ht="21.75" customHeight="1" x14ac:dyDescent="0.25">
      <c r="A53" s="2"/>
      <c r="D53" s="2"/>
    </row>
    <row r="54" spans="1:4" s="1" customFormat="1" ht="21.75" customHeight="1" x14ac:dyDescent="0.25">
      <c r="A54" s="2"/>
      <c r="D54" s="2"/>
    </row>
    <row r="55" spans="1:4" s="1" customFormat="1" ht="21.75" customHeight="1" x14ac:dyDescent="0.25">
      <c r="A55" s="2"/>
      <c r="D55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19A92-C546-4B34-BA44-E43641E3C38C}">
  <dimension ref="A1:G55"/>
  <sheetViews>
    <sheetView workbookViewId="0">
      <selection sqref="A1:F6"/>
    </sheetView>
  </sheetViews>
  <sheetFormatPr defaultRowHeight="13.8" x14ac:dyDescent="0.25"/>
  <cols>
    <col min="1" max="1" width="16.109375" style="2" customWidth="1"/>
    <col min="2" max="3" width="16.109375" style="1" customWidth="1"/>
    <col min="4" max="4" width="16.109375" style="2" customWidth="1"/>
    <col min="5" max="6" width="16.109375" style="1" customWidth="1"/>
  </cols>
  <sheetData>
    <row r="1" spans="1:7" ht="42.75" customHeight="1" x14ac:dyDescent="0.25">
      <c r="A1" s="9" t="s">
        <v>75</v>
      </c>
      <c r="B1" s="9" t="s">
        <v>2</v>
      </c>
      <c r="C1" s="9" t="s">
        <v>3</v>
      </c>
      <c r="D1" s="9" t="s">
        <v>75</v>
      </c>
      <c r="E1" s="9" t="s">
        <v>2</v>
      </c>
      <c r="F1" s="9" t="s">
        <v>3</v>
      </c>
      <c r="G1" s="9"/>
    </row>
    <row r="2" spans="1:7" ht="42.75" customHeight="1" x14ac:dyDescent="0.25">
      <c r="A2" s="23" t="s">
        <v>89</v>
      </c>
      <c r="B2" s="15">
        <v>0.11831814628618501</v>
      </c>
      <c r="C2" s="15">
        <v>0.25141258479319201</v>
      </c>
      <c r="D2" s="9" t="s">
        <v>86</v>
      </c>
      <c r="E2" s="9">
        <v>0.11831814628618501</v>
      </c>
      <c r="F2" s="9">
        <v>0.25141258479319201</v>
      </c>
      <c r="G2" s="9"/>
    </row>
    <row r="3" spans="1:7" ht="42.75" customHeight="1" x14ac:dyDescent="0.25">
      <c r="A3" s="9" t="s">
        <v>120</v>
      </c>
      <c r="B3" s="9">
        <v>0.12062633843305</v>
      </c>
      <c r="C3" s="9">
        <v>0.24915764783328201</v>
      </c>
      <c r="D3" s="9" t="s">
        <v>121</v>
      </c>
      <c r="E3" s="9">
        <v>0.12062427197032501</v>
      </c>
      <c r="F3" s="9">
        <v>0.24867740468965099</v>
      </c>
      <c r="G3" s="9"/>
    </row>
    <row r="4" spans="1:7" ht="42.75" customHeight="1" x14ac:dyDescent="0.25">
      <c r="A4" s="9" t="s">
        <v>88</v>
      </c>
      <c r="B4" s="9">
        <v>0.12051901663862701</v>
      </c>
      <c r="C4" s="9">
        <v>0.25086316499852401</v>
      </c>
      <c r="D4" s="27" t="s">
        <v>85</v>
      </c>
      <c r="E4" s="27">
        <v>0.12052879094376</v>
      </c>
      <c r="F4" s="27">
        <v>0.25145040627070803</v>
      </c>
      <c r="G4" s="9"/>
    </row>
    <row r="5" spans="1:7" ht="42.75" customHeight="1" x14ac:dyDescent="0.25">
      <c r="A5" s="9" t="s">
        <v>87</v>
      </c>
      <c r="B5" s="9">
        <v>0.120475780008407</v>
      </c>
      <c r="C5" s="9">
        <v>0.24328296883999001</v>
      </c>
      <c r="D5" s="9" t="s">
        <v>84</v>
      </c>
      <c r="E5" s="9">
        <v>0.12050766996887199</v>
      </c>
      <c r="F5" s="9">
        <v>0.24655971052401099</v>
      </c>
      <c r="G5" s="9"/>
    </row>
    <row r="6" spans="1:7" ht="42.75" customHeight="1" x14ac:dyDescent="0.25">
      <c r="A6" s="9" t="s">
        <v>118</v>
      </c>
      <c r="B6" s="9">
        <v>0.120126012869681</v>
      </c>
      <c r="C6" s="9">
        <v>0.24372176365895601</v>
      </c>
      <c r="D6" s="9" t="s">
        <v>119</v>
      </c>
      <c r="E6" s="9">
        <v>0.120185410638575</v>
      </c>
      <c r="F6" s="9">
        <v>0.244718625588422</v>
      </c>
      <c r="G6" s="9"/>
    </row>
    <row r="7" spans="1:7" ht="42.75" customHeight="1" x14ac:dyDescent="0.25">
      <c r="A7" s="9"/>
      <c r="C7" s="9"/>
      <c r="D7" s="9"/>
      <c r="E7" s="9"/>
      <c r="F7" s="9"/>
      <c r="G7" s="9"/>
    </row>
    <row r="8" spans="1:7" ht="42.75" customHeight="1" x14ac:dyDescent="0.25">
      <c r="A8" s="9"/>
      <c r="B8" s="9"/>
      <c r="C8" s="9"/>
      <c r="D8" s="9"/>
      <c r="E8" s="9"/>
      <c r="F8" s="9"/>
    </row>
    <row r="9" spans="1:7" ht="42.75" customHeight="1" x14ac:dyDescent="0.25"/>
    <row r="10" spans="1:7" ht="42.75" customHeight="1" x14ac:dyDescent="0.25">
      <c r="D10" s="5"/>
    </row>
    <row r="11" spans="1:7" ht="42.75" customHeight="1" x14ac:dyDescent="0.25"/>
    <row r="12" spans="1:7" ht="42.75" customHeight="1" x14ac:dyDescent="0.25">
      <c r="A12" s="5"/>
    </row>
    <row r="13" spans="1:7" ht="42.75" customHeight="1" x14ac:dyDescent="0.25"/>
    <row r="14" spans="1:7" ht="42.75" customHeight="1" x14ac:dyDescent="0.25"/>
    <row r="15" spans="1:7" ht="42.75" customHeight="1" x14ac:dyDescent="0.25">
      <c r="A15" s="5"/>
      <c r="D15" s="5"/>
    </row>
    <row r="16" spans="1:7" ht="42.75" customHeight="1" x14ac:dyDescent="0.25"/>
    <row r="17" spans="1:4" ht="42.75" customHeight="1" x14ac:dyDescent="0.25"/>
    <row r="18" spans="1:4" ht="42.75" customHeight="1" x14ac:dyDescent="0.25">
      <c r="D18" s="5"/>
    </row>
    <row r="19" spans="1:4" ht="42.75" customHeight="1" x14ac:dyDescent="0.25">
      <c r="A19" s="5"/>
    </row>
    <row r="20" spans="1:4" ht="42.75" customHeight="1" x14ac:dyDescent="0.25"/>
    <row r="21" spans="1:4" ht="42.75" customHeight="1" x14ac:dyDescent="0.25"/>
    <row r="22" spans="1:4" ht="42.75" customHeight="1" x14ac:dyDescent="0.25">
      <c r="D22" s="5"/>
    </row>
    <row r="23" spans="1:4" ht="42.75" customHeight="1" x14ac:dyDescent="0.25"/>
    <row r="24" spans="1:4" ht="42.75" customHeight="1" x14ac:dyDescent="0.25"/>
    <row r="25" spans="1:4" ht="42.75" customHeight="1" x14ac:dyDescent="0.25"/>
    <row r="26" spans="1:4" ht="42.75" customHeight="1" x14ac:dyDescent="0.25"/>
    <row r="27" spans="1:4" ht="42.75" customHeight="1" x14ac:dyDescent="0.25"/>
    <row r="28" spans="1:4" ht="42.75" customHeight="1" x14ac:dyDescent="0.25"/>
    <row r="29" spans="1:4" ht="42.75" customHeight="1" x14ac:dyDescent="0.25"/>
    <row r="30" spans="1:4" ht="42.75" customHeight="1" x14ac:dyDescent="0.25"/>
    <row r="31" spans="1:4" s="1" customFormat="1" ht="21.75" customHeight="1" x14ac:dyDescent="0.25">
      <c r="A31" s="2"/>
      <c r="D31" s="2"/>
    </row>
    <row r="32" spans="1:4" s="1" customFormat="1" ht="21.75" customHeight="1" x14ac:dyDescent="0.25">
      <c r="A32" s="2"/>
      <c r="D32" s="2"/>
    </row>
    <row r="33" spans="1:4" s="1" customFormat="1" ht="21.75" customHeight="1" x14ac:dyDescent="0.25">
      <c r="A33" s="2"/>
      <c r="D33" s="2"/>
    </row>
    <row r="34" spans="1:4" s="1" customFormat="1" ht="21.75" customHeight="1" x14ac:dyDescent="0.25">
      <c r="A34" s="2"/>
      <c r="D34" s="2"/>
    </row>
    <row r="35" spans="1:4" s="1" customFormat="1" ht="21.75" customHeight="1" x14ac:dyDescent="0.25">
      <c r="A35" s="2"/>
      <c r="D35" s="2"/>
    </row>
    <row r="36" spans="1:4" s="1" customFormat="1" ht="21.75" customHeight="1" x14ac:dyDescent="0.25">
      <c r="A36" s="2"/>
      <c r="D36" s="2"/>
    </row>
    <row r="37" spans="1:4" s="1" customFormat="1" ht="21.75" customHeight="1" x14ac:dyDescent="0.25">
      <c r="A37" s="2"/>
      <c r="D37" s="2"/>
    </row>
    <row r="38" spans="1:4" s="1" customFormat="1" ht="21.75" customHeight="1" x14ac:dyDescent="0.25">
      <c r="A38" s="2"/>
      <c r="D38" s="2"/>
    </row>
    <row r="39" spans="1:4" s="1" customFormat="1" ht="21.75" customHeight="1" x14ac:dyDescent="0.25">
      <c r="A39" s="2"/>
      <c r="D39" s="2"/>
    </row>
    <row r="40" spans="1:4" s="1" customFormat="1" ht="21.75" customHeight="1" x14ac:dyDescent="0.25">
      <c r="A40" s="2"/>
      <c r="D40" s="2"/>
    </row>
    <row r="41" spans="1:4" s="1" customFormat="1" ht="21.75" customHeight="1" x14ac:dyDescent="0.25">
      <c r="A41" s="2"/>
      <c r="D41" s="2"/>
    </row>
    <row r="42" spans="1:4" s="1" customFormat="1" ht="21.75" customHeight="1" x14ac:dyDescent="0.25">
      <c r="A42" s="2"/>
      <c r="D42" s="2"/>
    </row>
    <row r="43" spans="1:4" s="1" customFormat="1" ht="21.75" customHeight="1" x14ac:dyDescent="0.25">
      <c r="A43" s="2"/>
      <c r="D43" s="2"/>
    </row>
    <row r="44" spans="1:4" s="1" customFormat="1" ht="21.75" customHeight="1" x14ac:dyDescent="0.25">
      <c r="A44" s="2"/>
      <c r="D44" s="2"/>
    </row>
    <row r="45" spans="1:4" s="1" customFormat="1" ht="21.75" customHeight="1" x14ac:dyDescent="0.25">
      <c r="A45" s="2"/>
      <c r="D45" s="2"/>
    </row>
    <row r="46" spans="1:4" s="1" customFormat="1" ht="21.75" customHeight="1" x14ac:dyDescent="0.25">
      <c r="A46" s="2"/>
      <c r="D46" s="2"/>
    </row>
    <row r="47" spans="1:4" s="1" customFormat="1" ht="21.75" customHeight="1" x14ac:dyDescent="0.25">
      <c r="A47" s="2"/>
      <c r="D47" s="2"/>
    </row>
    <row r="48" spans="1:4" s="1" customFormat="1" ht="21.75" customHeight="1" x14ac:dyDescent="0.25">
      <c r="A48" s="2"/>
      <c r="D48" s="2"/>
    </row>
    <row r="49" spans="1:4" s="1" customFormat="1" ht="21.75" customHeight="1" x14ac:dyDescent="0.25">
      <c r="A49" s="2"/>
      <c r="D49" s="2"/>
    </row>
    <row r="50" spans="1:4" s="1" customFormat="1" ht="21.75" customHeight="1" x14ac:dyDescent="0.25">
      <c r="A50" s="2"/>
      <c r="D50" s="2"/>
    </row>
    <row r="51" spans="1:4" s="1" customFormat="1" ht="21.75" customHeight="1" x14ac:dyDescent="0.25">
      <c r="A51" s="2"/>
      <c r="D51" s="2"/>
    </row>
    <row r="52" spans="1:4" s="1" customFormat="1" ht="21.75" customHeight="1" x14ac:dyDescent="0.25">
      <c r="A52" s="2"/>
      <c r="D52" s="2"/>
    </row>
    <row r="53" spans="1:4" s="1" customFormat="1" ht="21.75" customHeight="1" x14ac:dyDescent="0.25">
      <c r="A53" s="2"/>
      <c r="D53" s="2"/>
    </row>
    <row r="54" spans="1:4" s="1" customFormat="1" ht="21.75" customHeight="1" x14ac:dyDescent="0.25">
      <c r="A54" s="2"/>
      <c r="D54" s="2"/>
    </row>
    <row r="55" spans="1:4" s="1" customFormat="1" ht="21.75" customHeight="1" x14ac:dyDescent="0.25">
      <c r="A55" s="2"/>
      <c r="D55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C1C44-29D4-4B02-8BC0-96FABDC64A8A}">
  <dimension ref="A1:G55"/>
  <sheetViews>
    <sheetView workbookViewId="0">
      <selection sqref="A1:F8"/>
    </sheetView>
  </sheetViews>
  <sheetFormatPr defaultRowHeight="13.8" x14ac:dyDescent="0.25"/>
  <cols>
    <col min="1" max="1" width="16.109375" style="2" customWidth="1"/>
    <col min="2" max="3" width="16.109375" style="1" customWidth="1"/>
    <col min="4" max="4" width="16.109375" style="2" customWidth="1"/>
    <col min="5" max="6" width="16.109375" style="1" customWidth="1"/>
  </cols>
  <sheetData>
    <row r="1" spans="1:7" ht="42.75" customHeight="1" x14ac:dyDescent="0.25">
      <c r="A1" s="9" t="s">
        <v>75</v>
      </c>
      <c r="B1" s="9" t="s">
        <v>2</v>
      </c>
      <c r="C1" s="9" t="s">
        <v>3</v>
      </c>
      <c r="D1" s="9" t="s">
        <v>75</v>
      </c>
      <c r="E1" s="9" t="s">
        <v>2</v>
      </c>
      <c r="F1" s="9" t="s">
        <v>3</v>
      </c>
      <c r="G1" s="9"/>
    </row>
    <row r="2" spans="1:7" ht="42.75" customHeight="1" x14ac:dyDescent="0.25">
      <c r="A2" s="9" t="s">
        <v>89</v>
      </c>
      <c r="B2" s="9">
        <v>0.104710141076893</v>
      </c>
      <c r="C2" s="9">
        <v>0.19402302766455401</v>
      </c>
      <c r="D2" s="9" t="s">
        <v>86</v>
      </c>
      <c r="E2" s="9">
        <v>0.104710141076893</v>
      </c>
      <c r="F2" s="9">
        <v>0.19402302766455401</v>
      </c>
      <c r="G2" s="9"/>
    </row>
    <row r="3" spans="1:7" ht="42.75" customHeight="1" x14ac:dyDescent="0.25">
      <c r="A3" s="9" t="s">
        <v>120</v>
      </c>
      <c r="B3" s="9">
        <v>0.10538852626228599</v>
      </c>
      <c r="C3" s="9">
        <v>0.189482094188337</v>
      </c>
      <c r="D3" s="9" t="s">
        <v>121</v>
      </c>
      <c r="E3" s="9">
        <v>0.105480483018545</v>
      </c>
      <c r="F3" s="9">
        <v>0.19173634946357099</v>
      </c>
      <c r="G3" s="9"/>
    </row>
    <row r="4" spans="1:7" ht="42.75" customHeight="1" x14ac:dyDescent="0.25">
      <c r="A4" s="9" t="s">
        <v>88</v>
      </c>
      <c r="B4" s="9">
        <v>0.106682170878557</v>
      </c>
      <c r="C4" s="9">
        <v>0.194239073852988</v>
      </c>
      <c r="D4" s="9" t="s">
        <v>85</v>
      </c>
      <c r="E4" s="9">
        <v>0.106716979190736</v>
      </c>
      <c r="F4" s="9">
        <v>0.193624163482842</v>
      </c>
      <c r="G4" s="9"/>
    </row>
    <row r="5" spans="1:7" ht="42.75" customHeight="1" x14ac:dyDescent="0.25">
      <c r="A5" s="9" t="s">
        <v>87</v>
      </c>
      <c r="B5" s="9">
        <v>0.10473912275069</v>
      </c>
      <c r="C5" s="9">
        <v>0.191005176408648</v>
      </c>
      <c r="D5" s="9" t="s">
        <v>84</v>
      </c>
      <c r="E5" s="9">
        <v>0.10487141106051701</v>
      </c>
      <c r="F5" s="9">
        <v>0.19158481853123799</v>
      </c>
      <c r="G5" s="9"/>
    </row>
    <row r="6" spans="1:7" ht="42.75" customHeight="1" x14ac:dyDescent="0.25">
      <c r="A6" s="9" t="s">
        <v>118</v>
      </c>
      <c r="B6" s="9">
        <v>0.103460966624336</v>
      </c>
      <c r="C6" s="9">
        <v>0.19846860172078401</v>
      </c>
      <c r="D6" s="9" t="s">
        <v>119</v>
      </c>
      <c r="E6" s="9">
        <v>0.103643223214228</v>
      </c>
      <c r="F6" s="9">
        <v>0.19872272070920199</v>
      </c>
      <c r="G6" s="9"/>
    </row>
    <row r="7" spans="1:7" ht="42.75" customHeight="1" x14ac:dyDescent="0.25">
      <c r="A7" s="23" t="s">
        <v>122</v>
      </c>
      <c r="B7" s="15">
        <v>0.102827721350795</v>
      </c>
      <c r="C7" s="15">
        <v>0.20039854218400699</v>
      </c>
      <c r="D7" s="27" t="s">
        <v>123</v>
      </c>
      <c r="E7" s="27">
        <v>0.103047005255231</v>
      </c>
      <c r="F7" s="27">
        <v>0.20084595231802299</v>
      </c>
      <c r="G7" s="9"/>
    </row>
    <row r="8" spans="1:7" ht="42.75" customHeight="1" x14ac:dyDescent="0.25">
      <c r="A8" s="9" t="s">
        <v>150</v>
      </c>
      <c r="B8" s="9">
        <v>0.10216507691050999</v>
      </c>
      <c r="C8" s="9">
        <v>0.193377103087641</v>
      </c>
      <c r="D8" s="9" t="s">
        <v>149</v>
      </c>
      <c r="E8" s="9">
        <v>0.102425234738881</v>
      </c>
      <c r="F8" s="9">
        <v>0.19555358987443699</v>
      </c>
    </row>
    <row r="9" spans="1:7" ht="42.75" customHeight="1" x14ac:dyDescent="0.25"/>
    <row r="10" spans="1:7" ht="42.75" customHeight="1" x14ac:dyDescent="0.25">
      <c r="D10" s="5"/>
    </row>
    <row r="11" spans="1:7" ht="42.75" customHeight="1" x14ac:dyDescent="0.25"/>
    <row r="12" spans="1:7" ht="42.75" customHeight="1" x14ac:dyDescent="0.25">
      <c r="A12" s="5"/>
    </row>
    <row r="13" spans="1:7" ht="42.75" customHeight="1" x14ac:dyDescent="0.25"/>
    <row r="14" spans="1:7" ht="42.75" customHeight="1" x14ac:dyDescent="0.25"/>
    <row r="15" spans="1:7" ht="42.75" customHeight="1" x14ac:dyDescent="0.25">
      <c r="A15" s="5"/>
      <c r="D15" s="5"/>
    </row>
    <row r="16" spans="1:7" ht="42.75" customHeight="1" x14ac:dyDescent="0.25"/>
    <row r="17" spans="1:4" ht="42.75" customHeight="1" x14ac:dyDescent="0.25"/>
    <row r="18" spans="1:4" ht="42.75" customHeight="1" x14ac:dyDescent="0.25">
      <c r="D18" s="5"/>
    </row>
    <row r="19" spans="1:4" ht="42.75" customHeight="1" x14ac:dyDescent="0.25">
      <c r="A19" s="5"/>
    </row>
    <row r="20" spans="1:4" ht="42.75" customHeight="1" x14ac:dyDescent="0.25"/>
    <row r="21" spans="1:4" ht="42.75" customHeight="1" x14ac:dyDescent="0.25"/>
    <row r="22" spans="1:4" ht="42.75" customHeight="1" x14ac:dyDescent="0.25">
      <c r="D22" s="5"/>
    </row>
    <row r="23" spans="1:4" ht="42.75" customHeight="1" x14ac:dyDescent="0.25"/>
    <row r="24" spans="1:4" ht="42.75" customHeight="1" x14ac:dyDescent="0.25"/>
    <row r="25" spans="1:4" ht="42.75" customHeight="1" x14ac:dyDescent="0.25"/>
    <row r="26" spans="1:4" ht="42.75" customHeight="1" x14ac:dyDescent="0.25"/>
    <row r="27" spans="1:4" ht="42.75" customHeight="1" x14ac:dyDescent="0.25"/>
    <row r="28" spans="1:4" ht="42.75" customHeight="1" x14ac:dyDescent="0.25"/>
    <row r="29" spans="1:4" ht="42.75" customHeight="1" x14ac:dyDescent="0.25"/>
    <row r="30" spans="1:4" ht="42.75" customHeight="1" x14ac:dyDescent="0.25"/>
    <row r="31" spans="1:4" s="1" customFormat="1" ht="21.75" customHeight="1" x14ac:dyDescent="0.25">
      <c r="A31" s="2"/>
      <c r="D31" s="2"/>
    </row>
    <row r="32" spans="1:4" s="1" customFormat="1" ht="21.75" customHeight="1" x14ac:dyDescent="0.25">
      <c r="A32" s="2"/>
      <c r="D32" s="2"/>
    </row>
    <row r="33" spans="1:4" s="1" customFormat="1" ht="21.75" customHeight="1" x14ac:dyDescent="0.25">
      <c r="A33" s="2"/>
      <c r="D33" s="2"/>
    </row>
    <row r="34" spans="1:4" s="1" customFormat="1" ht="21.75" customHeight="1" x14ac:dyDescent="0.25">
      <c r="A34" s="2"/>
      <c r="D34" s="2"/>
    </row>
    <row r="35" spans="1:4" s="1" customFormat="1" ht="21.75" customHeight="1" x14ac:dyDescent="0.25">
      <c r="A35" s="2"/>
      <c r="D35" s="2"/>
    </row>
    <row r="36" spans="1:4" s="1" customFormat="1" ht="21.75" customHeight="1" x14ac:dyDescent="0.25">
      <c r="A36" s="2"/>
      <c r="D36" s="2"/>
    </row>
    <row r="37" spans="1:4" s="1" customFormat="1" ht="21.75" customHeight="1" x14ac:dyDescent="0.25">
      <c r="A37" s="2"/>
      <c r="D37" s="2"/>
    </row>
    <row r="38" spans="1:4" s="1" customFormat="1" ht="21.75" customHeight="1" x14ac:dyDescent="0.25">
      <c r="A38" s="2"/>
      <c r="D38" s="2"/>
    </row>
    <row r="39" spans="1:4" s="1" customFormat="1" ht="21.75" customHeight="1" x14ac:dyDescent="0.25">
      <c r="A39" s="2"/>
      <c r="D39" s="2"/>
    </row>
    <row r="40" spans="1:4" s="1" customFormat="1" ht="21.75" customHeight="1" x14ac:dyDescent="0.25">
      <c r="A40" s="2"/>
      <c r="D40" s="2"/>
    </row>
    <row r="41" spans="1:4" s="1" customFormat="1" ht="21.75" customHeight="1" x14ac:dyDescent="0.25">
      <c r="A41" s="2"/>
      <c r="D41" s="2"/>
    </row>
    <row r="42" spans="1:4" s="1" customFormat="1" ht="21.75" customHeight="1" x14ac:dyDescent="0.25">
      <c r="A42" s="2"/>
      <c r="D42" s="2"/>
    </row>
    <row r="43" spans="1:4" s="1" customFormat="1" ht="21.75" customHeight="1" x14ac:dyDescent="0.25">
      <c r="A43" s="2"/>
      <c r="D43" s="2"/>
    </row>
    <row r="44" spans="1:4" s="1" customFormat="1" ht="21.75" customHeight="1" x14ac:dyDescent="0.25">
      <c r="A44" s="2"/>
      <c r="D44" s="2"/>
    </row>
    <row r="45" spans="1:4" s="1" customFormat="1" ht="21.75" customHeight="1" x14ac:dyDescent="0.25">
      <c r="A45" s="2"/>
      <c r="D45" s="2"/>
    </row>
    <row r="46" spans="1:4" s="1" customFormat="1" ht="21.75" customHeight="1" x14ac:dyDescent="0.25">
      <c r="A46" s="2"/>
      <c r="D46" s="2"/>
    </row>
    <row r="47" spans="1:4" s="1" customFormat="1" ht="21.75" customHeight="1" x14ac:dyDescent="0.25">
      <c r="A47" s="2"/>
      <c r="D47" s="2"/>
    </row>
    <row r="48" spans="1:4" s="1" customFormat="1" ht="21.75" customHeight="1" x14ac:dyDescent="0.25">
      <c r="A48" s="2"/>
      <c r="D48" s="2"/>
    </row>
    <row r="49" spans="1:4" s="1" customFormat="1" ht="21.75" customHeight="1" x14ac:dyDescent="0.25">
      <c r="A49" s="2"/>
      <c r="D49" s="2"/>
    </row>
    <row r="50" spans="1:4" s="1" customFormat="1" ht="21.75" customHeight="1" x14ac:dyDescent="0.25">
      <c r="A50" s="2"/>
      <c r="D50" s="2"/>
    </row>
    <row r="51" spans="1:4" s="1" customFormat="1" ht="21.75" customHeight="1" x14ac:dyDescent="0.25">
      <c r="A51" s="2"/>
      <c r="D51" s="2"/>
    </row>
    <row r="52" spans="1:4" s="1" customFormat="1" ht="21.75" customHeight="1" x14ac:dyDescent="0.25">
      <c r="A52" s="2"/>
      <c r="D52" s="2"/>
    </row>
    <row r="53" spans="1:4" s="1" customFormat="1" ht="21.75" customHeight="1" x14ac:dyDescent="0.25">
      <c r="A53" s="2"/>
      <c r="D53" s="2"/>
    </row>
    <row r="54" spans="1:4" s="1" customFormat="1" ht="21.75" customHeight="1" x14ac:dyDescent="0.25">
      <c r="A54" s="2"/>
      <c r="D54" s="2"/>
    </row>
    <row r="55" spans="1:4" s="1" customFormat="1" ht="21.75" customHeight="1" x14ac:dyDescent="0.25">
      <c r="A55" s="2"/>
      <c r="D55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125D8-563B-4852-A075-F4B1D97CD2C6}">
  <dimension ref="A1:G55"/>
  <sheetViews>
    <sheetView workbookViewId="0">
      <selection sqref="A1:F7"/>
    </sheetView>
  </sheetViews>
  <sheetFormatPr defaultRowHeight="13.8" x14ac:dyDescent="0.25"/>
  <cols>
    <col min="1" max="1" width="16.109375" style="2" customWidth="1"/>
    <col min="2" max="3" width="16.109375" style="1" customWidth="1"/>
    <col min="4" max="4" width="16.109375" style="2" customWidth="1"/>
    <col min="5" max="6" width="16.109375" style="1" customWidth="1"/>
  </cols>
  <sheetData>
    <row r="1" spans="1:7" ht="42.75" customHeight="1" x14ac:dyDescent="0.25">
      <c r="A1" s="9" t="s">
        <v>75</v>
      </c>
      <c r="B1" s="9" t="s">
        <v>2</v>
      </c>
      <c r="C1" s="9" t="s">
        <v>3</v>
      </c>
      <c r="D1" s="9" t="s">
        <v>75</v>
      </c>
      <c r="E1" s="9" t="s">
        <v>2</v>
      </c>
      <c r="F1" s="9" t="s">
        <v>3</v>
      </c>
      <c r="G1" s="9"/>
    </row>
    <row r="2" spans="1:7" ht="42.75" customHeight="1" x14ac:dyDescent="0.25">
      <c r="A2" s="9" t="s">
        <v>89</v>
      </c>
      <c r="B2" s="9">
        <v>9.9967758500327297E-2</v>
      </c>
      <c r="C2" s="9">
        <v>0.21724499346493201</v>
      </c>
      <c r="D2" s="9" t="s">
        <v>86</v>
      </c>
      <c r="E2" s="9">
        <v>9.9967758500327297E-2</v>
      </c>
      <c r="F2" s="9">
        <v>0.21724499346493201</v>
      </c>
      <c r="G2" s="9"/>
    </row>
    <row r="3" spans="1:7" ht="42.75" customHeight="1" x14ac:dyDescent="0.25">
      <c r="A3" s="9" t="s">
        <v>120</v>
      </c>
      <c r="B3" s="9">
        <v>0.10140759186993201</v>
      </c>
      <c r="C3" s="9">
        <v>0.21035287818916401</v>
      </c>
      <c r="D3" s="9" t="s">
        <v>121</v>
      </c>
      <c r="E3" s="9">
        <v>0.101398446499711</v>
      </c>
      <c r="F3" s="9">
        <v>0.20888668596603999</v>
      </c>
      <c r="G3" s="9"/>
    </row>
    <row r="4" spans="1:7" ht="42.75" customHeight="1" x14ac:dyDescent="0.25">
      <c r="A4" s="9" t="s">
        <v>88</v>
      </c>
      <c r="B4" s="9">
        <v>0.10347014026182599</v>
      </c>
      <c r="C4" s="9">
        <v>0.22308595402911299</v>
      </c>
      <c r="D4" s="9" t="s">
        <v>85</v>
      </c>
      <c r="E4" s="9">
        <v>0.10341883946318101</v>
      </c>
      <c r="F4" s="9">
        <v>0.22206448768510301</v>
      </c>
      <c r="G4" s="9"/>
    </row>
    <row r="5" spans="1:7" ht="42.75" customHeight="1" x14ac:dyDescent="0.25">
      <c r="A5" s="27" t="s">
        <v>87</v>
      </c>
      <c r="B5" s="27">
        <v>0.103129018288118</v>
      </c>
      <c r="C5" s="27">
        <v>0.22741505211865601</v>
      </c>
      <c r="D5" s="23" t="s">
        <v>84</v>
      </c>
      <c r="E5" s="15">
        <v>0.103162313215672</v>
      </c>
      <c r="F5" s="15">
        <v>0.226411835798184</v>
      </c>
      <c r="G5" s="9"/>
    </row>
    <row r="6" spans="1:7" ht="42.75" customHeight="1" x14ac:dyDescent="0.25">
      <c r="A6" s="9" t="s">
        <v>118</v>
      </c>
      <c r="B6" s="9">
        <v>0.103928465027031</v>
      </c>
      <c r="C6" s="9">
        <v>0.223828046727722</v>
      </c>
      <c r="D6" s="9" t="s">
        <v>119</v>
      </c>
      <c r="E6" s="9">
        <v>0.10392349293592799</v>
      </c>
      <c r="F6" s="9">
        <v>0.223310263629174</v>
      </c>
      <c r="G6" s="9"/>
    </row>
    <row r="7" spans="1:7" ht="42.75" customHeight="1" x14ac:dyDescent="0.25">
      <c r="A7" s="9" t="s">
        <v>122</v>
      </c>
      <c r="B7" s="9">
        <v>0.104250302071382</v>
      </c>
      <c r="C7" s="9">
        <v>0.219193941127553</v>
      </c>
      <c r="D7" s="9" t="s">
        <v>123</v>
      </c>
      <c r="E7" s="9">
        <v>0.10423919889446601</v>
      </c>
      <c r="F7" s="9">
        <v>0.22078492771932601</v>
      </c>
    </row>
    <row r="8" spans="1:7" ht="42.75" customHeight="1" x14ac:dyDescent="0.25"/>
    <row r="9" spans="1:7" ht="42.75" customHeight="1" x14ac:dyDescent="0.25"/>
    <row r="10" spans="1:7" ht="42.75" customHeight="1" x14ac:dyDescent="0.25">
      <c r="D10" s="5"/>
    </row>
    <row r="11" spans="1:7" ht="42.75" customHeight="1" x14ac:dyDescent="0.25"/>
    <row r="12" spans="1:7" ht="42.75" customHeight="1" x14ac:dyDescent="0.25">
      <c r="A12" s="5"/>
    </row>
    <row r="13" spans="1:7" ht="42.75" customHeight="1" x14ac:dyDescent="0.25"/>
    <row r="14" spans="1:7" ht="42.75" customHeight="1" x14ac:dyDescent="0.25"/>
    <row r="15" spans="1:7" ht="42.75" customHeight="1" x14ac:dyDescent="0.25">
      <c r="A15" s="5"/>
      <c r="D15" s="5"/>
    </row>
    <row r="16" spans="1:7" ht="42.75" customHeight="1" x14ac:dyDescent="0.25"/>
    <row r="17" spans="1:4" ht="42.75" customHeight="1" x14ac:dyDescent="0.25"/>
    <row r="18" spans="1:4" ht="42.75" customHeight="1" x14ac:dyDescent="0.25">
      <c r="D18" s="5"/>
    </row>
    <row r="19" spans="1:4" ht="42.75" customHeight="1" x14ac:dyDescent="0.25">
      <c r="A19" s="5"/>
    </row>
    <row r="20" spans="1:4" ht="42.75" customHeight="1" x14ac:dyDescent="0.25"/>
    <row r="21" spans="1:4" ht="42.75" customHeight="1" x14ac:dyDescent="0.25"/>
    <row r="22" spans="1:4" ht="42.75" customHeight="1" x14ac:dyDescent="0.25">
      <c r="D22" s="5"/>
    </row>
    <row r="23" spans="1:4" ht="42.75" customHeight="1" x14ac:dyDescent="0.25"/>
    <row r="24" spans="1:4" ht="42.75" customHeight="1" x14ac:dyDescent="0.25"/>
    <row r="25" spans="1:4" ht="42.75" customHeight="1" x14ac:dyDescent="0.25"/>
    <row r="26" spans="1:4" ht="42.75" customHeight="1" x14ac:dyDescent="0.25"/>
    <row r="27" spans="1:4" ht="42.75" customHeight="1" x14ac:dyDescent="0.25"/>
    <row r="28" spans="1:4" ht="42.75" customHeight="1" x14ac:dyDescent="0.25"/>
    <row r="29" spans="1:4" ht="42.75" customHeight="1" x14ac:dyDescent="0.25"/>
    <row r="30" spans="1:4" ht="42.75" customHeight="1" x14ac:dyDescent="0.25"/>
    <row r="31" spans="1:4" s="1" customFormat="1" ht="21.75" customHeight="1" x14ac:dyDescent="0.25">
      <c r="A31" s="2"/>
      <c r="D31" s="2"/>
    </row>
    <row r="32" spans="1:4" s="1" customFormat="1" ht="21.75" customHeight="1" x14ac:dyDescent="0.25">
      <c r="A32" s="2"/>
      <c r="D32" s="2"/>
    </row>
    <row r="33" spans="1:4" s="1" customFormat="1" ht="21.75" customHeight="1" x14ac:dyDescent="0.25">
      <c r="A33" s="2"/>
      <c r="D33" s="2"/>
    </row>
    <row r="34" spans="1:4" s="1" customFormat="1" ht="21.75" customHeight="1" x14ac:dyDescent="0.25">
      <c r="A34" s="2"/>
      <c r="D34" s="2"/>
    </row>
    <row r="35" spans="1:4" s="1" customFormat="1" ht="21.75" customHeight="1" x14ac:dyDescent="0.25">
      <c r="A35" s="2"/>
      <c r="D35" s="2"/>
    </row>
    <row r="36" spans="1:4" s="1" customFormat="1" ht="21.75" customHeight="1" x14ac:dyDescent="0.25">
      <c r="A36" s="2"/>
      <c r="D36" s="2"/>
    </row>
    <row r="37" spans="1:4" s="1" customFormat="1" ht="21.75" customHeight="1" x14ac:dyDescent="0.25">
      <c r="A37" s="2"/>
      <c r="D37" s="2"/>
    </row>
    <row r="38" spans="1:4" s="1" customFormat="1" ht="21.75" customHeight="1" x14ac:dyDescent="0.25">
      <c r="A38" s="2"/>
      <c r="D38" s="2"/>
    </row>
    <row r="39" spans="1:4" s="1" customFormat="1" ht="21.75" customHeight="1" x14ac:dyDescent="0.25">
      <c r="A39" s="2"/>
      <c r="D39" s="2"/>
    </row>
    <row r="40" spans="1:4" s="1" customFormat="1" ht="21.75" customHeight="1" x14ac:dyDescent="0.25">
      <c r="A40" s="2"/>
      <c r="D40" s="2"/>
    </row>
    <row r="41" spans="1:4" s="1" customFormat="1" ht="21.75" customHeight="1" x14ac:dyDescent="0.25">
      <c r="A41" s="2"/>
      <c r="D41" s="2"/>
    </row>
    <row r="42" spans="1:4" s="1" customFormat="1" ht="21.75" customHeight="1" x14ac:dyDescent="0.25">
      <c r="A42" s="2"/>
      <c r="D42" s="2"/>
    </row>
    <row r="43" spans="1:4" s="1" customFormat="1" ht="21.75" customHeight="1" x14ac:dyDescent="0.25">
      <c r="A43" s="2"/>
      <c r="D43" s="2"/>
    </row>
    <row r="44" spans="1:4" s="1" customFormat="1" ht="21.75" customHeight="1" x14ac:dyDescent="0.25">
      <c r="A44" s="2"/>
      <c r="D44" s="2"/>
    </row>
    <row r="45" spans="1:4" s="1" customFormat="1" ht="21.75" customHeight="1" x14ac:dyDescent="0.25">
      <c r="A45" s="2"/>
      <c r="D45" s="2"/>
    </row>
    <row r="46" spans="1:4" s="1" customFormat="1" ht="21.75" customHeight="1" x14ac:dyDescent="0.25">
      <c r="A46" s="2"/>
      <c r="D46" s="2"/>
    </row>
    <row r="47" spans="1:4" s="1" customFormat="1" ht="21.75" customHeight="1" x14ac:dyDescent="0.25">
      <c r="A47" s="2"/>
      <c r="D47" s="2"/>
    </row>
    <row r="48" spans="1:4" s="1" customFormat="1" ht="21.75" customHeight="1" x14ac:dyDescent="0.25">
      <c r="A48" s="2"/>
      <c r="D48" s="2"/>
    </row>
    <row r="49" spans="1:4" s="1" customFormat="1" ht="21.75" customHeight="1" x14ac:dyDescent="0.25">
      <c r="A49" s="2"/>
      <c r="D49" s="2"/>
    </row>
    <row r="50" spans="1:4" s="1" customFormat="1" ht="21.75" customHeight="1" x14ac:dyDescent="0.25">
      <c r="A50" s="2"/>
      <c r="D50" s="2"/>
    </row>
    <row r="51" spans="1:4" s="1" customFormat="1" ht="21.75" customHeight="1" x14ac:dyDescent="0.25">
      <c r="A51" s="2"/>
      <c r="D51" s="2"/>
    </row>
    <row r="52" spans="1:4" s="1" customFormat="1" ht="21.75" customHeight="1" x14ac:dyDescent="0.25">
      <c r="A52" s="2"/>
      <c r="D52" s="2"/>
    </row>
    <row r="53" spans="1:4" s="1" customFormat="1" ht="21.75" customHeight="1" x14ac:dyDescent="0.25">
      <c r="A53" s="2"/>
      <c r="D53" s="2"/>
    </row>
    <row r="54" spans="1:4" s="1" customFormat="1" ht="21.75" customHeight="1" x14ac:dyDescent="0.25">
      <c r="A54" s="2"/>
      <c r="D54" s="2"/>
    </row>
    <row r="55" spans="1:4" s="1" customFormat="1" ht="21.75" customHeight="1" x14ac:dyDescent="0.25">
      <c r="A55" s="2"/>
      <c r="D55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9A0AA-B288-4BD3-98DE-F4C55531B6CB}">
  <dimension ref="A1:G55"/>
  <sheetViews>
    <sheetView workbookViewId="0">
      <selection sqref="A1:F6"/>
    </sheetView>
  </sheetViews>
  <sheetFormatPr defaultRowHeight="13.8" x14ac:dyDescent="0.25"/>
  <cols>
    <col min="1" max="1" width="16.109375" style="2" customWidth="1"/>
    <col min="2" max="3" width="16.109375" style="1" customWidth="1"/>
    <col min="4" max="4" width="16.109375" style="2" customWidth="1"/>
    <col min="5" max="6" width="16.109375" style="1" customWidth="1"/>
  </cols>
  <sheetData>
    <row r="1" spans="1:7" ht="42.75" customHeight="1" x14ac:dyDescent="0.25">
      <c r="A1" s="9" t="s">
        <v>75</v>
      </c>
      <c r="B1" s="9" t="s">
        <v>2</v>
      </c>
      <c r="C1" s="9" t="s">
        <v>3</v>
      </c>
      <c r="D1" s="9" t="s">
        <v>75</v>
      </c>
      <c r="E1" s="9" t="s">
        <v>2</v>
      </c>
      <c r="F1" s="9" t="s">
        <v>3</v>
      </c>
      <c r="G1" s="9"/>
    </row>
    <row r="2" spans="1:7" ht="42.75" customHeight="1" x14ac:dyDescent="0.25">
      <c r="A2" s="27" t="s">
        <v>89</v>
      </c>
      <c r="B2" s="27">
        <v>9.7793528846869704E-2</v>
      </c>
      <c r="C2" s="27">
        <v>0.222604545946923</v>
      </c>
      <c r="D2" s="27" t="s">
        <v>86</v>
      </c>
      <c r="E2" s="27">
        <v>9.7793528846869704E-2</v>
      </c>
      <c r="F2" s="27">
        <v>0.222604545946923</v>
      </c>
      <c r="G2" s="9"/>
    </row>
    <row r="3" spans="1:7" ht="42.75" customHeight="1" x14ac:dyDescent="0.25">
      <c r="A3" s="9" t="s">
        <v>120</v>
      </c>
      <c r="B3" s="9">
        <v>0.100881121938503</v>
      </c>
      <c r="C3" s="9">
        <v>0.219868928420138</v>
      </c>
      <c r="D3" s="9" t="s">
        <v>121</v>
      </c>
      <c r="E3" s="9">
        <v>0.100825812714887</v>
      </c>
      <c r="F3" s="9">
        <v>0.22083257283136501</v>
      </c>
      <c r="G3" s="9"/>
    </row>
    <row r="4" spans="1:7" ht="42.75" customHeight="1" x14ac:dyDescent="0.25">
      <c r="A4" s="9" t="s">
        <v>88</v>
      </c>
      <c r="B4" s="9">
        <v>0.102938202147745</v>
      </c>
      <c r="C4" s="9">
        <v>0.21300980739143999</v>
      </c>
      <c r="D4" s="9" t="s">
        <v>85</v>
      </c>
      <c r="E4" s="9">
        <v>0.102856513017779</v>
      </c>
      <c r="F4" s="9">
        <v>0.21222670563552201</v>
      </c>
      <c r="G4" s="9"/>
    </row>
    <row r="5" spans="1:7" ht="42.75" customHeight="1" x14ac:dyDescent="0.25">
      <c r="A5" s="9" t="s">
        <v>87</v>
      </c>
      <c r="B5" s="9">
        <v>0.10409894025704799</v>
      </c>
      <c r="C5" s="9">
        <v>0.21836605220692801</v>
      </c>
      <c r="D5" s="9" t="s">
        <v>84</v>
      </c>
      <c r="E5" s="9">
        <v>0.104032301540534</v>
      </c>
      <c r="F5" s="9">
        <v>0.21869521923221799</v>
      </c>
      <c r="G5" s="9"/>
    </row>
    <row r="6" spans="1:7" ht="42.75" customHeight="1" x14ac:dyDescent="0.25">
      <c r="A6" s="9" t="s">
        <v>118</v>
      </c>
      <c r="B6" s="9">
        <v>0.103598615004488</v>
      </c>
      <c r="C6" s="9">
        <v>0.21243084511052099</v>
      </c>
      <c r="D6" s="9" t="s">
        <v>119</v>
      </c>
      <c r="E6" s="9">
        <v>0.10359511440085099</v>
      </c>
      <c r="F6" s="9">
        <v>0.21343301992981101</v>
      </c>
      <c r="G6" s="9"/>
    </row>
    <row r="7" spans="1:7" ht="42.75" customHeight="1" x14ac:dyDescent="0.25">
      <c r="A7" s="5"/>
    </row>
    <row r="8" spans="1:7" ht="42.75" customHeight="1" x14ac:dyDescent="0.25"/>
    <row r="9" spans="1:7" ht="42.75" customHeight="1" x14ac:dyDescent="0.25"/>
    <row r="10" spans="1:7" ht="42.75" customHeight="1" x14ac:dyDescent="0.25">
      <c r="D10" s="5"/>
    </row>
    <row r="11" spans="1:7" ht="42.75" customHeight="1" x14ac:dyDescent="0.25"/>
    <row r="12" spans="1:7" ht="42.75" customHeight="1" x14ac:dyDescent="0.25">
      <c r="A12" s="5"/>
    </row>
    <row r="13" spans="1:7" ht="42.75" customHeight="1" x14ac:dyDescent="0.25"/>
    <row r="14" spans="1:7" ht="42.75" customHeight="1" x14ac:dyDescent="0.25"/>
    <row r="15" spans="1:7" ht="42.75" customHeight="1" x14ac:dyDescent="0.25">
      <c r="A15" s="5"/>
      <c r="D15" s="5"/>
    </row>
    <row r="16" spans="1:7" ht="42.75" customHeight="1" x14ac:dyDescent="0.25"/>
    <row r="17" spans="1:4" ht="42.75" customHeight="1" x14ac:dyDescent="0.25"/>
    <row r="18" spans="1:4" ht="42.75" customHeight="1" x14ac:dyDescent="0.25">
      <c r="D18" s="5"/>
    </row>
    <row r="19" spans="1:4" ht="42.75" customHeight="1" x14ac:dyDescent="0.25">
      <c r="A19" s="5"/>
    </row>
    <row r="20" spans="1:4" ht="42.75" customHeight="1" x14ac:dyDescent="0.25"/>
    <row r="21" spans="1:4" ht="42.75" customHeight="1" x14ac:dyDescent="0.25"/>
    <row r="22" spans="1:4" ht="42.75" customHeight="1" x14ac:dyDescent="0.25">
      <c r="D22" s="5"/>
    </row>
    <row r="23" spans="1:4" ht="42.75" customHeight="1" x14ac:dyDescent="0.25"/>
    <row r="24" spans="1:4" ht="42.75" customHeight="1" x14ac:dyDescent="0.25"/>
    <row r="25" spans="1:4" ht="42.75" customHeight="1" x14ac:dyDescent="0.25"/>
    <row r="26" spans="1:4" ht="42.75" customHeight="1" x14ac:dyDescent="0.25"/>
    <row r="27" spans="1:4" ht="42.75" customHeight="1" x14ac:dyDescent="0.25"/>
    <row r="28" spans="1:4" ht="42.75" customHeight="1" x14ac:dyDescent="0.25"/>
    <row r="29" spans="1:4" ht="42.75" customHeight="1" x14ac:dyDescent="0.25"/>
    <row r="30" spans="1:4" ht="42.75" customHeight="1" x14ac:dyDescent="0.25"/>
    <row r="31" spans="1:4" s="1" customFormat="1" ht="21.75" customHeight="1" x14ac:dyDescent="0.25">
      <c r="A31" s="2"/>
      <c r="D31" s="2"/>
    </row>
    <row r="32" spans="1:4" s="1" customFormat="1" ht="21.75" customHeight="1" x14ac:dyDescent="0.25">
      <c r="A32" s="2"/>
      <c r="D32" s="2"/>
    </row>
    <row r="33" spans="1:4" s="1" customFormat="1" ht="21.75" customHeight="1" x14ac:dyDescent="0.25">
      <c r="A33" s="2"/>
      <c r="D33" s="2"/>
    </row>
    <row r="34" spans="1:4" s="1" customFormat="1" ht="21.75" customHeight="1" x14ac:dyDescent="0.25">
      <c r="A34" s="2"/>
      <c r="D34" s="2"/>
    </row>
    <row r="35" spans="1:4" s="1" customFormat="1" ht="21.75" customHeight="1" x14ac:dyDescent="0.25">
      <c r="A35" s="2"/>
      <c r="D35" s="2"/>
    </row>
    <row r="36" spans="1:4" s="1" customFormat="1" ht="21.75" customHeight="1" x14ac:dyDescent="0.25">
      <c r="A36" s="2"/>
      <c r="D36" s="2"/>
    </row>
    <row r="37" spans="1:4" s="1" customFormat="1" ht="21.75" customHeight="1" x14ac:dyDescent="0.25">
      <c r="A37" s="2"/>
      <c r="D37" s="2"/>
    </row>
    <row r="38" spans="1:4" s="1" customFormat="1" ht="21.75" customHeight="1" x14ac:dyDescent="0.25">
      <c r="A38" s="2"/>
      <c r="D38" s="2"/>
    </row>
    <row r="39" spans="1:4" s="1" customFormat="1" ht="21.75" customHeight="1" x14ac:dyDescent="0.25">
      <c r="A39" s="2"/>
      <c r="D39" s="2"/>
    </row>
    <row r="40" spans="1:4" s="1" customFormat="1" ht="21.75" customHeight="1" x14ac:dyDescent="0.25">
      <c r="A40" s="2"/>
      <c r="D40" s="2"/>
    </row>
    <row r="41" spans="1:4" s="1" customFormat="1" ht="21.75" customHeight="1" x14ac:dyDescent="0.25">
      <c r="A41" s="2"/>
      <c r="D41" s="2"/>
    </row>
    <row r="42" spans="1:4" s="1" customFormat="1" ht="21.75" customHeight="1" x14ac:dyDescent="0.25">
      <c r="A42" s="2"/>
      <c r="D42" s="2"/>
    </row>
    <row r="43" spans="1:4" s="1" customFormat="1" ht="21.75" customHeight="1" x14ac:dyDescent="0.25">
      <c r="A43" s="2"/>
      <c r="D43" s="2"/>
    </row>
    <row r="44" spans="1:4" s="1" customFormat="1" ht="21.75" customHeight="1" x14ac:dyDescent="0.25">
      <c r="A44" s="2"/>
      <c r="D44" s="2"/>
    </row>
    <row r="45" spans="1:4" s="1" customFormat="1" ht="21.75" customHeight="1" x14ac:dyDescent="0.25">
      <c r="A45" s="2"/>
      <c r="D45" s="2"/>
    </row>
    <row r="46" spans="1:4" s="1" customFormat="1" ht="21.75" customHeight="1" x14ac:dyDescent="0.25">
      <c r="A46" s="2"/>
      <c r="D46" s="2"/>
    </row>
    <row r="47" spans="1:4" s="1" customFormat="1" ht="21.75" customHeight="1" x14ac:dyDescent="0.25">
      <c r="A47" s="2"/>
      <c r="D47" s="2"/>
    </row>
    <row r="48" spans="1:4" s="1" customFormat="1" ht="21.75" customHeight="1" x14ac:dyDescent="0.25">
      <c r="A48" s="2"/>
      <c r="D48" s="2"/>
    </row>
    <row r="49" spans="1:4" s="1" customFormat="1" ht="21.75" customHeight="1" x14ac:dyDescent="0.25">
      <c r="A49" s="2"/>
      <c r="D49" s="2"/>
    </row>
    <row r="50" spans="1:4" s="1" customFormat="1" ht="21.75" customHeight="1" x14ac:dyDescent="0.25">
      <c r="A50" s="2"/>
      <c r="D50" s="2"/>
    </row>
    <row r="51" spans="1:4" s="1" customFormat="1" ht="21.75" customHeight="1" x14ac:dyDescent="0.25">
      <c r="A51" s="2"/>
      <c r="D51" s="2"/>
    </row>
    <row r="52" spans="1:4" s="1" customFormat="1" ht="21.75" customHeight="1" x14ac:dyDescent="0.25">
      <c r="A52" s="2"/>
      <c r="D52" s="2"/>
    </row>
    <row r="53" spans="1:4" s="1" customFormat="1" ht="21.75" customHeight="1" x14ac:dyDescent="0.25">
      <c r="A53" s="2"/>
      <c r="D53" s="2"/>
    </row>
    <row r="54" spans="1:4" s="1" customFormat="1" ht="21.75" customHeight="1" x14ac:dyDescent="0.25">
      <c r="A54" s="2"/>
      <c r="D54" s="2"/>
    </row>
    <row r="55" spans="1:4" s="1" customFormat="1" ht="21.75" customHeight="1" x14ac:dyDescent="0.25">
      <c r="A55" s="2"/>
      <c r="D55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B0B67-AB41-4FA3-A86D-04C4EB854920}">
  <dimension ref="A1:G55"/>
  <sheetViews>
    <sheetView workbookViewId="0">
      <selection sqref="A1:F6"/>
    </sheetView>
  </sheetViews>
  <sheetFormatPr defaultRowHeight="13.8" x14ac:dyDescent="0.25"/>
  <cols>
    <col min="1" max="1" width="16.109375" style="2" customWidth="1"/>
    <col min="2" max="3" width="16.109375" style="1" customWidth="1"/>
    <col min="4" max="4" width="16.109375" style="2" customWidth="1"/>
    <col min="5" max="6" width="16.109375" style="1" customWidth="1"/>
  </cols>
  <sheetData>
    <row r="1" spans="1:7" ht="42.75" customHeight="1" x14ac:dyDescent="0.25">
      <c r="A1" s="9" t="s">
        <v>75</v>
      </c>
      <c r="B1" s="9" t="s">
        <v>2</v>
      </c>
      <c r="C1" s="9" t="s">
        <v>3</v>
      </c>
      <c r="D1" s="9" t="s">
        <v>75</v>
      </c>
      <c r="E1" s="9" t="s">
        <v>2</v>
      </c>
      <c r="F1" s="9" t="s">
        <v>3</v>
      </c>
      <c r="G1" s="9"/>
    </row>
    <row r="2" spans="1:7" ht="42.75" customHeight="1" x14ac:dyDescent="0.25">
      <c r="A2" s="9" t="s">
        <v>89</v>
      </c>
      <c r="B2" s="9">
        <v>0.121653599157607</v>
      </c>
      <c r="C2" s="9">
        <v>0.258230107561226</v>
      </c>
      <c r="D2" s="9" t="s">
        <v>86</v>
      </c>
      <c r="E2" s="9">
        <v>0.121653599157607</v>
      </c>
      <c r="F2" s="9">
        <v>0.258230107561226</v>
      </c>
      <c r="G2" s="9"/>
    </row>
    <row r="3" spans="1:7" ht="42.75" customHeight="1" x14ac:dyDescent="0.25">
      <c r="A3" s="9" t="s">
        <v>120</v>
      </c>
      <c r="B3" s="9">
        <v>0.12215957311452801</v>
      </c>
      <c r="C3" s="9">
        <v>0.25301060515312601</v>
      </c>
      <c r="D3" s="9" t="s">
        <v>121</v>
      </c>
      <c r="E3" s="9">
        <v>0.122185295863322</v>
      </c>
      <c r="F3" s="9">
        <v>0.25322407154401899</v>
      </c>
      <c r="G3" s="9"/>
    </row>
    <row r="4" spans="1:7" ht="42.75" customHeight="1" x14ac:dyDescent="0.25">
      <c r="A4" s="23" t="s">
        <v>88</v>
      </c>
      <c r="B4" s="15">
        <v>0.122456850415898</v>
      </c>
      <c r="C4" s="15">
        <v>0.26224578295837198</v>
      </c>
      <c r="D4" s="15" t="s">
        <v>85</v>
      </c>
      <c r="E4" s="15">
        <v>0.12248117567623699</v>
      </c>
      <c r="F4" s="15">
        <v>0.26350791536235901</v>
      </c>
      <c r="G4" s="9"/>
    </row>
    <row r="5" spans="1:7" ht="42.75" customHeight="1" x14ac:dyDescent="0.25">
      <c r="A5" s="9" t="s">
        <v>87</v>
      </c>
      <c r="B5" s="9">
        <v>0.122981921042271</v>
      </c>
      <c r="C5" s="9">
        <v>0.25972734693814498</v>
      </c>
      <c r="D5" s="9" t="s">
        <v>84</v>
      </c>
      <c r="E5" s="9">
        <v>0.122991248337249</v>
      </c>
      <c r="F5" s="9">
        <v>0.25957078583020199</v>
      </c>
      <c r="G5" s="9"/>
    </row>
    <row r="6" spans="1:7" ht="42.75" customHeight="1" x14ac:dyDescent="0.25">
      <c r="A6" s="9" t="s">
        <v>118</v>
      </c>
      <c r="B6" s="9">
        <v>0.123613143578922</v>
      </c>
      <c r="C6" s="9">
        <v>0.258591456626099</v>
      </c>
      <c r="D6" s="9" t="s">
        <v>119</v>
      </c>
      <c r="E6" s="9">
        <v>0.123610131516928</v>
      </c>
      <c r="F6" s="9">
        <v>0.25898403478030402</v>
      </c>
      <c r="G6" s="9"/>
    </row>
    <row r="7" spans="1:7" ht="42.75" customHeight="1" x14ac:dyDescent="0.25">
      <c r="A7" s="5"/>
    </row>
    <row r="8" spans="1:7" ht="42.75" customHeight="1" x14ac:dyDescent="0.25"/>
    <row r="9" spans="1:7" ht="42.75" customHeight="1" x14ac:dyDescent="0.25"/>
    <row r="10" spans="1:7" ht="42.75" customHeight="1" x14ac:dyDescent="0.25">
      <c r="D10" s="5"/>
    </row>
    <row r="11" spans="1:7" ht="42.75" customHeight="1" x14ac:dyDescent="0.25"/>
    <row r="12" spans="1:7" ht="42.75" customHeight="1" x14ac:dyDescent="0.25">
      <c r="A12" s="5"/>
    </row>
    <row r="13" spans="1:7" ht="42.75" customHeight="1" x14ac:dyDescent="0.25"/>
    <row r="14" spans="1:7" ht="42.75" customHeight="1" x14ac:dyDescent="0.25"/>
    <row r="15" spans="1:7" ht="42.75" customHeight="1" x14ac:dyDescent="0.25">
      <c r="A15" s="5"/>
      <c r="D15" s="5"/>
    </row>
    <row r="16" spans="1:7" ht="42.75" customHeight="1" x14ac:dyDescent="0.25"/>
    <row r="17" spans="1:4" ht="42.75" customHeight="1" x14ac:dyDescent="0.25"/>
    <row r="18" spans="1:4" ht="42.75" customHeight="1" x14ac:dyDescent="0.25">
      <c r="D18" s="5"/>
    </row>
    <row r="19" spans="1:4" ht="42.75" customHeight="1" x14ac:dyDescent="0.25">
      <c r="A19" s="5"/>
    </row>
    <row r="20" spans="1:4" ht="42.75" customHeight="1" x14ac:dyDescent="0.25"/>
    <row r="21" spans="1:4" ht="42.75" customHeight="1" x14ac:dyDescent="0.25"/>
    <row r="22" spans="1:4" ht="42.75" customHeight="1" x14ac:dyDescent="0.25">
      <c r="D22" s="5"/>
    </row>
    <row r="23" spans="1:4" ht="42.75" customHeight="1" x14ac:dyDescent="0.25"/>
    <row r="24" spans="1:4" ht="42.75" customHeight="1" x14ac:dyDescent="0.25"/>
    <row r="25" spans="1:4" ht="42.75" customHeight="1" x14ac:dyDescent="0.25"/>
    <row r="26" spans="1:4" ht="42.75" customHeight="1" x14ac:dyDescent="0.25"/>
    <row r="27" spans="1:4" ht="42.75" customHeight="1" x14ac:dyDescent="0.25"/>
    <row r="28" spans="1:4" ht="42.75" customHeight="1" x14ac:dyDescent="0.25"/>
    <row r="29" spans="1:4" ht="42.75" customHeight="1" x14ac:dyDescent="0.25"/>
    <row r="30" spans="1:4" ht="42.75" customHeight="1" x14ac:dyDescent="0.25"/>
    <row r="31" spans="1:4" s="1" customFormat="1" ht="21.75" customHeight="1" x14ac:dyDescent="0.25">
      <c r="A31" s="2"/>
      <c r="D31" s="2"/>
    </row>
    <row r="32" spans="1:4" s="1" customFormat="1" ht="21.75" customHeight="1" x14ac:dyDescent="0.25">
      <c r="A32" s="2"/>
      <c r="D32" s="2"/>
    </row>
    <row r="33" spans="1:4" s="1" customFormat="1" ht="21.75" customHeight="1" x14ac:dyDescent="0.25">
      <c r="A33" s="2"/>
      <c r="D33" s="2"/>
    </row>
    <row r="34" spans="1:4" s="1" customFormat="1" ht="21.75" customHeight="1" x14ac:dyDescent="0.25">
      <c r="A34" s="2"/>
      <c r="D34" s="2"/>
    </row>
    <row r="35" spans="1:4" s="1" customFormat="1" ht="21.75" customHeight="1" x14ac:dyDescent="0.25">
      <c r="A35" s="2"/>
      <c r="D35" s="2"/>
    </row>
    <row r="36" spans="1:4" s="1" customFormat="1" ht="21.75" customHeight="1" x14ac:dyDescent="0.25">
      <c r="A36" s="2"/>
      <c r="D36" s="2"/>
    </row>
    <row r="37" spans="1:4" s="1" customFormat="1" ht="21.75" customHeight="1" x14ac:dyDescent="0.25">
      <c r="A37" s="2"/>
      <c r="D37" s="2"/>
    </row>
    <row r="38" spans="1:4" s="1" customFormat="1" ht="21.75" customHeight="1" x14ac:dyDescent="0.25">
      <c r="A38" s="2"/>
      <c r="D38" s="2"/>
    </row>
    <row r="39" spans="1:4" s="1" customFormat="1" ht="21.75" customHeight="1" x14ac:dyDescent="0.25">
      <c r="A39" s="2"/>
      <c r="D39" s="2"/>
    </row>
    <row r="40" spans="1:4" s="1" customFormat="1" ht="21.75" customHeight="1" x14ac:dyDescent="0.25">
      <c r="A40" s="2"/>
      <c r="D40" s="2"/>
    </row>
    <row r="41" spans="1:4" s="1" customFormat="1" ht="21.75" customHeight="1" x14ac:dyDescent="0.25">
      <c r="A41" s="2"/>
      <c r="D41" s="2"/>
    </row>
    <row r="42" spans="1:4" s="1" customFormat="1" ht="21.75" customHeight="1" x14ac:dyDescent="0.25">
      <c r="A42" s="2"/>
      <c r="D42" s="2"/>
    </row>
    <row r="43" spans="1:4" s="1" customFormat="1" ht="21.75" customHeight="1" x14ac:dyDescent="0.25">
      <c r="A43" s="2"/>
      <c r="D43" s="2"/>
    </row>
    <row r="44" spans="1:4" s="1" customFormat="1" ht="21.75" customHeight="1" x14ac:dyDescent="0.25">
      <c r="A44" s="2"/>
      <c r="D44" s="2"/>
    </row>
    <row r="45" spans="1:4" s="1" customFormat="1" ht="21.75" customHeight="1" x14ac:dyDescent="0.25">
      <c r="A45" s="2"/>
      <c r="D45" s="2"/>
    </row>
    <row r="46" spans="1:4" s="1" customFormat="1" ht="21.75" customHeight="1" x14ac:dyDescent="0.25">
      <c r="A46" s="2"/>
      <c r="D46" s="2"/>
    </row>
    <row r="47" spans="1:4" s="1" customFormat="1" ht="21.75" customHeight="1" x14ac:dyDescent="0.25">
      <c r="A47" s="2"/>
      <c r="D47" s="2"/>
    </row>
    <row r="48" spans="1:4" s="1" customFormat="1" ht="21.75" customHeight="1" x14ac:dyDescent="0.25">
      <c r="A48" s="2"/>
      <c r="D48" s="2"/>
    </row>
    <row r="49" spans="1:4" s="1" customFormat="1" ht="21.75" customHeight="1" x14ac:dyDescent="0.25">
      <c r="A49" s="2"/>
      <c r="D49" s="2"/>
    </row>
    <row r="50" spans="1:4" s="1" customFormat="1" ht="21.75" customHeight="1" x14ac:dyDescent="0.25">
      <c r="A50" s="2"/>
      <c r="D50" s="2"/>
    </row>
    <row r="51" spans="1:4" s="1" customFormat="1" ht="21.75" customHeight="1" x14ac:dyDescent="0.25">
      <c r="A51" s="2"/>
      <c r="D51" s="2"/>
    </row>
    <row r="52" spans="1:4" s="1" customFormat="1" ht="21.75" customHeight="1" x14ac:dyDescent="0.25">
      <c r="A52" s="2"/>
      <c r="D52" s="2"/>
    </row>
    <row r="53" spans="1:4" s="1" customFormat="1" ht="21.75" customHeight="1" x14ac:dyDescent="0.25">
      <c r="A53" s="2"/>
      <c r="D53" s="2"/>
    </row>
    <row r="54" spans="1:4" s="1" customFormat="1" ht="21.75" customHeight="1" x14ac:dyDescent="0.25">
      <c r="A54" s="2"/>
      <c r="D54" s="2"/>
    </row>
    <row r="55" spans="1:4" s="1" customFormat="1" ht="21.75" customHeight="1" x14ac:dyDescent="0.25">
      <c r="A55" s="2"/>
      <c r="D55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FE191-36F4-45CA-8759-5892C70B0AC5}">
  <dimension ref="A1:G55"/>
  <sheetViews>
    <sheetView workbookViewId="0">
      <selection sqref="A1:F6"/>
    </sheetView>
  </sheetViews>
  <sheetFormatPr defaultRowHeight="13.8" x14ac:dyDescent="0.25"/>
  <cols>
    <col min="1" max="1" width="16.109375" style="2" customWidth="1"/>
    <col min="2" max="3" width="16.109375" style="1" customWidth="1"/>
    <col min="4" max="4" width="16.109375" style="2" customWidth="1"/>
    <col min="5" max="6" width="16.109375" style="1" customWidth="1"/>
  </cols>
  <sheetData>
    <row r="1" spans="1:7" ht="42.75" customHeight="1" x14ac:dyDescent="0.25">
      <c r="A1" s="9" t="s">
        <v>75</v>
      </c>
      <c r="B1" s="9" t="s">
        <v>2</v>
      </c>
      <c r="C1" s="9" t="s">
        <v>3</v>
      </c>
      <c r="D1" s="9" t="s">
        <v>75</v>
      </c>
      <c r="E1" s="9" t="s">
        <v>2</v>
      </c>
      <c r="F1" s="9" t="s">
        <v>3</v>
      </c>
      <c r="G1" s="9"/>
    </row>
    <row r="2" spans="1:7" ht="42.75" customHeight="1" x14ac:dyDescent="0.25">
      <c r="A2" s="9" t="s">
        <v>89</v>
      </c>
      <c r="B2" s="9">
        <v>0.121847026446033</v>
      </c>
      <c r="C2" s="9">
        <v>0.24114755177052499</v>
      </c>
      <c r="D2" s="9" t="s">
        <v>86</v>
      </c>
      <c r="E2" s="9">
        <v>0.121847026446033</v>
      </c>
      <c r="F2" s="9">
        <v>0.24114755177052499</v>
      </c>
      <c r="G2" s="9"/>
    </row>
    <row r="3" spans="1:7" ht="42.75" customHeight="1" x14ac:dyDescent="0.25">
      <c r="A3" s="9" t="s">
        <v>120</v>
      </c>
      <c r="B3" s="9">
        <v>0.12199176150673501</v>
      </c>
      <c r="C3" s="9">
        <v>0.243293831949386</v>
      </c>
      <c r="D3" s="9" t="s">
        <v>121</v>
      </c>
      <c r="E3" s="9">
        <v>0.122012967755465</v>
      </c>
      <c r="F3" s="9">
        <v>0.243429818319155</v>
      </c>
      <c r="G3" s="9"/>
    </row>
    <row r="4" spans="1:7" ht="42.75" customHeight="1" x14ac:dyDescent="0.25">
      <c r="A4" s="9" t="s">
        <v>88</v>
      </c>
      <c r="B4" s="9">
        <v>0.122208074125373</v>
      </c>
      <c r="C4" s="9">
        <v>0.241252104672009</v>
      </c>
      <c r="D4" s="9" t="s">
        <v>85</v>
      </c>
      <c r="E4" s="9">
        <v>0.122236537930487</v>
      </c>
      <c r="F4" s="9">
        <v>0.24001875503506301</v>
      </c>
      <c r="G4" s="9"/>
    </row>
    <row r="5" spans="1:7" ht="42.75" customHeight="1" x14ac:dyDescent="0.25">
      <c r="A5" s="9" t="s">
        <v>87</v>
      </c>
      <c r="B5" s="9">
        <v>0.12287152826108801</v>
      </c>
      <c r="C5" s="9">
        <v>0.24085043839916601</v>
      </c>
      <c r="D5" s="23" t="s">
        <v>84</v>
      </c>
      <c r="E5" s="15">
        <v>0.127896496894088</v>
      </c>
      <c r="F5" s="15">
        <v>0.25776776531666101</v>
      </c>
      <c r="G5" s="9"/>
    </row>
    <row r="6" spans="1:7" ht="42.75" customHeight="1" x14ac:dyDescent="0.25">
      <c r="A6" s="23" t="s">
        <v>118</v>
      </c>
      <c r="B6" s="15">
        <v>0.12262586762219201</v>
      </c>
      <c r="C6" s="15">
        <v>0.24342668570817</v>
      </c>
      <c r="D6" s="9" t="s">
        <v>119</v>
      </c>
      <c r="E6" s="9">
        <v>0.12264420684371199</v>
      </c>
      <c r="F6" s="9">
        <v>0.243596190110134</v>
      </c>
      <c r="G6" s="9"/>
    </row>
    <row r="7" spans="1:7" ht="42.75" customHeight="1" x14ac:dyDescent="0.25">
      <c r="A7" s="5"/>
    </row>
    <row r="8" spans="1:7" ht="42.75" customHeight="1" x14ac:dyDescent="0.25"/>
    <row r="9" spans="1:7" ht="42.75" customHeight="1" x14ac:dyDescent="0.25"/>
    <row r="10" spans="1:7" ht="42.75" customHeight="1" x14ac:dyDescent="0.25">
      <c r="D10" s="5"/>
    </row>
    <row r="11" spans="1:7" ht="42.75" customHeight="1" x14ac:dyDescent="0.25"/>
    <row r="12" spans="1:7" ht="42.75" customHeight="1" x14ac:dyDescent="0.25">
      <c r="A12" s="5"/>
    </row>
    <row r="13" spans="1:7" ht="42.75" customHeight="1" x14ac:dyDescent="0.25"/>
    <row r="14" spans="1:7" ht="42.75" customHeight="1" x14ac:dyDescent="0.25"/>
    <row r="15" spans="1:7" ht="42.75" customHeight="1" x14ac:dyDescent="0.25">
      <c r="A15" s="5"/>
      <c r="D15" s="5"/>
    </row>
    <row r="16" spans="1:7" ht="42.75" customHeight="1" x14ac:dyDescent="0.25"/>
    <row r="17" spans="1:4" ht="42.75" customHeight="1" x14ac:dyDescent="0.25"/>
    <row r="18" spans="1:4" ht="42.75" customHeight="1" x14ac:dyDescent="0.25">
      <c r="D18" s="5"/>
    </row>
    <row r="19" spans="1:4" ht="42.75" customHeight="1" x14ac:dyDescent="0.25">
      <c r="A19" s="5"/>
    </row>
    <row r="20" spans="1:4" ht="42.75" customHeight="1" x14ac:dyDescent="0.25"/>
    <row r="21" spans="1:4" ht="42.75" customHeight="1" x14ac:dyDescent="0.25"/>
    <row r="22" spans="1:4" ht="42.75" customHeight="1" x14ac:dyDescent="0.25">
      <c r="D22" s="5"/>
    </row>
    <row r="23" spans="1:4" ht="42.75" customHeight="1" x14ac:dyDescent="0.25"/>
    <row r="24" spans="1:4" ht="42.75" customHeight="1" x14ac:dyDescent="0.25"/>
    <row r="25" spans="1:4" ht="42.75" customHeight="1" x14ac:dyDescent="0.25"/>
    <row r="26" spans="1:4" ht="42.75" customHeight="1" x14ac:dyDescent="0.25"/>
    <row r="27" spans="1:4" ht="42.75" customHeight="1" x14ac:dyDescent="0.25"/>
    <row r="28" spans="1:4" ht="42.75" customHeight="1" x14ac:dyDescent="0.25"/>
    <row r="29" spans="1:4" ht="42.75" customHeight="1" x14ac:dyDescent="0.25"/>
    <row r="30" spans="1:4" ht="42.75" customHeight="1" x14ac:dyDescent="0.25"/>
    <row r="31" spans="1:4" s="1" customFormat="1" ht="21.75" customHeight="1" x14ac:dyDescent="0.25">
      <c r="A31" s="2"/>
      <c r="D31" s="2"/>
    </row>
    <row r="32" spans="1:4" s="1" customFormat="1" ht="21.75" customHeight="1" x14ac:dyDescent="0.25">
      <c r="A32" s="2"/>
      <c r="D32" s="2"/>
    </row>
    <row r="33" spans="1:4" s="1" customFormat="1" ht="21.75" customHeight="1" x14ac:dyDescent="0.25">
      <c r="A33" s="2"/>
      <c r="D33" s="2"/>
    </row>
    <row r="34" spans="1:4" s="1" customFormat="1" ht="21.75" customHeight="1" x14ac:dyDescent="0.25">
      <c r="A34" s="2"/>
      <c r="D34" s="2"/>
    </row>
    <row r="35" spans="1:4" s="1" customFormat="1" ht="21.75" customHeight="1" x14ac:dyDescent="0.25">
      <c r="A35" s="2"/>
      <c r="D35" s="2"/>
    </row>
    <row r="36" spans="1:4" s="1" customFormat="1" ht="21.75" customHeight="1" x14ac:dyDescent="0.25">
      <c r="A36" s="2"/>
      <c r="D36" s="2"/>
    </row>
    <row r="37" spans="1:4" s="1" customFormat="1" ht="21.75" customHeight="1" x14ac:dyDescent="0.25">
      <c r="A37" s="2"/>
      <c r="D37" s="2"/>
    </row>
    <row r="38" spans="1:4" s="1" customFormat="1" ht="21.75" customHeight="1" x14ac:dyDescent="0.25">
      <c r="A38" s="2"/>
      <c r="D38" s="2"/>
    </row>
    <row r="39" spans="1:4" s="1" customFormat="1" ht="21.75" customHeight="1" x14ac:dyDescent="0.25">
      <c r="A39" s="2"/>
      <c r="D39" s="2"/>
    </row>
    <row r="40" spans="1:4" s="1" customFormat="1" ht="21.75" customHeight="1" x14ac:dyDescent="0.25">
      <c r="A40" s="2"/>
      <c r="D40" s="2"/>
    </row>
    <row r="41" spans="1:4" s="1" customFormat="1" ht="21.75" customHeight="1" x14ac:dyDescent="0.25">
      <c r="A41" s="2"/>
      <c r="D41" s="2"/>
    </row>
    <row r="42" spans="1:4" s="1" customFormat="1" ht="21.75" customHeight="1" x14ac:dyDescent="0.25">
      <c r="A42" s="2"/>
      <c r="D42" s="2"/>
    </row>
    <row r="43" spans="1:4" s="1" customFormat="1" ht="21.75" customHeight="1" x14ac:dyDescent="0.25">
      <c r="A43" s="2"/>
      <c r="D43" s="2"/>
    </row>
    <row r="44" spans="1:4" s="1" customFormat="1" ht="21.75" customHeight="1" x14ac:dyDescent="0.25">
      <c r="A44" s="2"/>
      <c r="D44" s="2"/>
    </row>
    <row r="45" spans="1:4" s="1" customFormat="1" ht="21.75" customHeight="1" x14ac:dyDescent="0.25">
      <c r="A45" s="2"/>
      <c r="D45" s="2"/>
    </row>
    <row r="46" spans="1:4" s="1" customFormat="1" ht="21.75" customHeight="1" x14ac:dyDescent="0.25">
      <c r="A46" s="2"/>
      <c r="D46" s="2"/>
    </row>
    <row r="47" spans="1:4" s="1" customFormat="1" ht="21.75" customHeight="1" x14ac:dyDescent="0.25">
      <c r="A47" s="2"/>
      <c r="D47" s="2"/>
    </row>
    <row r="48" spans="1:4" s="1" customFormat="1" ht="21.75" customHeight="1" x14ac:dyDescent="0.25">
      <c r="A48" s="2"/>
      <c r="D48" s="2"/>
    </row>
    <row r="49" spans="1:4" s="1" customFormat="1" ht="21.75" customHeight="1" x14ac:dyDescent="0.25">
      <c r="A49" s="2"/>
      <c r="D49" s="2"/>
    </row>
    <row r="50" spans="1:4" s="1" customFormat="1" ht="21.75" customHeight="1" x14ac:dyDescent="0.25">
      <c r="A50" s="2"/>
      <c r="D50" s="2"/>
    </row>
    <row r="51" spans="1:4" s="1" customFormat="1" ht="21.75" customHeight="1" x14ac:dyDescent="0.25">
      <c r="A51" s="2"/>
      <c r="D51" s="2"/>
    </row>
    <row r="52" spans="1:4" s="1" customFormat="1" ht="21.75" customHeight="1" x14ac:dyDescent="0.25">
      <c r="A52" s="2"/>
      <c r="D52" s="2"/>
    </row>
    <row r="53" spans="1:4" s="1" customFormat="1" ht="21.75" customHeight="1" x14ac:dyDescent="0.25">
      <c r="A53" s="2"/>
      <c r="D53" s="2"/>
    </row>
    <row r="54" spans="1:4" s="1" customFormat="1" ht="21.75" customHeight="1" x14ac:dyDescent="0.25">
      <c r="A54" s="2"/>
      <c r="D54" s="2"/>
    </row>
    <row r="55" spans="1:4" s="1" customFormat="1" ht="21.75" customHeight="1" x14ac:dyDescent="0.25">
      <c r="A55" s="2"/>
      <c r="D55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1EF7F-4F4E-4A15-A233-6A0FDDA5EACC}">
  <dimension ref="A1:F55"/>
  <sheetViews>
    <sheetView workbookViewId="0">
      <selection activeCell="E11" sqref="E11"/>
    </sheetView>
  </sheetViews>
  <sheetFormatPr defaultRowHeight="13.8" x14ac:dyDescent="0.25"/>
  <cols>
    <col min="1" max="1" width="16.109375" style="2" customWidth="1"/>
    <col min="2" max="3" width="16.109375" style="1" customWidth="1"/>
    <col min="4" max="4" width="16.109375" style="2" customWidth="1"/>
    <col min="5" max="6" width="16.109375" style="1" customWidth="1"/>
  </cols>
  <sheetData>
    <row r="1" spans="1:6" ht="42.75" customHeight="1" x14ac:dyDescent="0.25">
      <c r="A1" s="9" t="s">
        <v>75</v>
      </c>
      <c r="B1" s="9" t="s">
        <v>2</v>
      </c>
      <c r="C1" s="9" t="s">
        <v>3</v>
      </c>
      <c r="D1" s="9" t="s">
        <v>75</v>
      </c>
      <c r="E1" s="9" t="s">
        <v>2</v>
      </c>
      <c r="F1" s="9" t="s">
        <v>3</v>
      </c>
    </row>
    <row r="2" spans="1:6" ht="42.75" customHeight="1" x14ac:dyDescent="0.25">
      <c r="A2" s="23" t="s">
        <v>89</v>
      </c>
      <c r="B2" s="15">
        <v>0.123503091946538</v>
      </c>
      <c r="C2" s="15">
        <v>0.259285162652863</v>
      </c>
      <c r="D2" s="15" t="s">
        <v>86</v>
      </c>
      <c r="E2" s="15">
        <v>0.123503092041247</v>
      </c>
      <c r="F2" s="15">
        <v>0.259285162652863</v>
      </c>
    </row>
    <row r="3" spans="1:6" ht="42.75" customHeight="1" x14ac:dyDescent="0.25">
      <c r="A3" s="9" t="s">
        <v>120</v>
      </c>
      <c r="B3" s="9">
        <v>0.12355001499035299</v>
      </c>
      <c r="C3" s="9">
        <v>0.25063413627289999</v>
      </c>
      <c r="D3" s="9" t="s">
        <v>121</v>
      </c>
      <c r="E3" s="9">
        <v>0.123569922092265</v>
      </c>
      <c r="F3" s="9">
        <v>0.24872230789719699</v>
      </c>
    </row>
    <row r="4" spans="1:6" ht="42.75" customHeight="1" x14ac:dyDescent="0.25">
      <c r="A4" s="9" t="s">
        <v>88</v>
      </c>
      <c r="B4" s="9">
        <v>0.123666193079312</v>
      </c>
      <c r="C4" s="9">
        <v>0.24992264647051199</v>
      </c>
      <c r="D4" s="9" t="s">
        <v>85</v>
      </c>
      <c r="E4" s="9">
        <v>0.123688402616976</v>
      </c>
      <c r="F4" s="9">
        <v>0.25093186233954501</v>
      </c>
    </row>
    <row r="5" spans="1:6" ht="42.75" customHeight="1" x14ac:dyDescent="0.25">
      <c r="A5" s="9" t="s">
        <v>87</v>
      </c>
      <c r="B5" s="9">
        <v>0.123993894748199</v>
      </c>
      <c r="C5" s="9">
        <v>0.24961946734021301</v>
      </c>
      <c r="D5" s="9" t="s">
        <v>84</v>
      </c>
      <c r="E5" s="9">
        <v>0.12401854373703899</v>
      </c>
      <c r="F5" s="9">
        <v>0.24891959393266599</v>
      </c>
    </row>
    <row r="6" spans="1:6" ht="42.75" customHeight="1" x14ac:dyDescent="0.25">
      <c r="A6" s="9" t="s">
        <v>118</v>
      </c>
      <c r="B6" s="9">
        <v>0.124071531353614</v>
      </c>
      <c r="C6" s="9">
        <v>0.25022696974181102</v>
      </c>
      <c r="D6" s="9" t="s">
        <v>119</v>
      </c>
      <c r="E6" s="9">
        <v>0.124091911479182</v>
      </c>
      <c r="F6" s="9">
        <v>0.249397334854352</v>
      </c>
    </row>
    <row r="7" spans="1:6" ht="42.75" customHeight="1" x14ac:dyDescent="0.25">
      <c r="A7" s="5"/>
    </row>
    <row r="8" spans="1:6" ht="42.75" customHeight="1" x14ac:dyDescent="0.25"/>
    <row r="9" spans="1:6" ht="42.75" customHeight="1" x14ac:dyDescent="0.25"/>
    <row r="10" spans="1:6" ht="42.75" customHeight="1" x14ac:dyDescent="0.25">
      <c r="D10" s="5"/>
    </row>
    <row r="11" spans="1:6" ht="42.75" customHeight="1" x14ac:dyDescent="0.25"/>
    <row r="12" spans="1:6" ht="42.75" customHeight="1" x14ac:dyDescent="0.25">
      <c r="A12" s="5"/>
    </row>
    <row r="13" spans="1:6" ht="42.75" customHeight="1" x14ac:dyDescent="0.25"/>
    <row r="14" spans="1:6" ht="42.75" customHeight="1" x14ac:dyDescent="0.25"/>
    <row r="15" spans="1:6" ht="42.75" customHeight="1" x14ac:dyDescent="0.25">
      <c r="A15" s="5"/>
      <c r="D15" s="5"/>
    </row>
    <row r="16" spans="1:6" ht="42.75" customHeight="1" x14ac:dyDescent="0.25"/>
    <row r="17" spans="1:4" ht="42.75" customHeight="1" x14ac:dyDescent="0.25"/>
    <row r="18" spans="1:4" ht="42.75" customHeight="1" x14ac:dyDescent="0.25">
      <c r="D18" s="5"/>
    </row>
    <row r="19" spans="1:4" ht="42.75" customHeight="1" x14ac:dyDescent="0.25">
      <c r="A19" s="5"/>
    </row>
    <row r="20" spans="1:4" ht="42.75" customHeight="1" x14ac:dyDescent="0.25"/>
    <row r="21" spans="1:4" ht="42.75" customHeight="1" x14ac:dyDescent="0.25"/>
    <row r="22" spans="1:4" ht="42.75" customHeight="1" x14ac:dyDescent="0.25">
      <c r="D22" s="5"/>
    </row>
    <row r="23" spans="1:4" ht="42.75" customHeight="1" x14ac:dyDescent="0.25"/>
    <row r="24" spans="1:4" ht="42.75" customHeight="1" x14ac:dyDescent="0.25"/>
    <row r="25" spans="1:4" ht="42.75" customHeight="1" x14ac:dyDescent="0.25"/>
    <row r="26" spans="1:4" ht="42.75" customHeight="1" x14ac:dyDescent="0.25"/>
    <row r="27" spans="1:4" ht="42.75" customHeight="1" x14ac:dyDescent="0.25"/>
    <row r="28" spans="1:4" ht="42.75" customHeight="1" x14ac:dyDescent="0.25"/>
    <row r="29" spans="1:4" ht="42.75" customHeight="1" x14ac:dyDescent="0.25"/>
    <row r="30" spans="1:4" ht="42.75" customHeight="1" x14ac:dyDescent="0.25"/>
    <row r="31" spans="1:4" s="1" customFormat="1" ht="21.75" customHeight="1" x14ac:dyDescent="0.25">
      <c r="A31" s="2"/>
      <c r="D31" s="2"/>
    </row>
    <row r="32" spans="1:4" s="1" customFormat="1" ht="21.75" customHeight="1" x14ac:dyDescent="0.25">
      <c r="A32" s="2"/>
      <c r="D32" s="2"/>
    </row>
    <row r="33" spans="1:4" s="1" customFormat="1" ht="21.75" customHeight="1" x14ac:dyDescent="0.25">
      <c r="A33" s="2"/>
      <c r="D33" s="2"/>
    </row>
    <row r="34" spans="1:4" s="1" customFormat="1" ht="21.75" customHeight="1" x14ac:dyDescent="0.25">
      <c r="A34" s="2"/>
      <c r="D34" s="2"/>
    </row>
    <row r="35" spans="1:4" s="1" customFormat="1" ht="21.75" customHeight="1" x14ac:dyDescent="0.25">
      <c r="A35" s="2"/>
      <c r="D35" s="2"/>
    </row>
    <row r="36" spans="1:4" s="1" customFormat="1" ht="21.75" customHeight="1" x14ac:dyDescent="0.25">
      <c r="A36" s="2"/>
      <c r="D36" s="2"/>
    </row>
    <row r="37" spans="1:4" s="1" customFormat="1" ht="21.75" customHeight="1" x14ac:dyDescent="0.25">
      <c r="A37" s="2"/>
      <c r="D37" s="2"/>
    </row>
    <row r="38" spans="1:4" s="1" customFormat="1" ht="21.75" customHeight="1" x14ac:dyDescent="0.25">
      <c r="A38" s="2"/>
      <c r="D38" s="2"/>
    </row>
    <row r="39" spans="1:4" s="1" customFormat="1" ht="21.75" customHeight="1" x14ac:dyDescent="0.25">
      <c r="A39" s="2"/>
      <c r="D39" s="2"/>
    </row>
    <row r="40" spans="1:4" s="1" customFormat="1" ht="21.75" customHeight="1" x14ac:dyDescent="0.25">
      <c r="A40" s="2"/>
      <c r="D40" s="2"/>
    </row>
    <row r="41" spans="1:4" s="1" customFormat="1" ht="21.75" customHeight="1" x14ac:dyDescent="0.25">
      <c r="A41" s="2"/>
      <c r="D41" s="2"/>
    </row>
    <row r="42" spans="1:4" s="1" customFormat="1" ht="21.75" customHeight="1" x14ac:dyDescent="0.25">
      <c r="A42" s="2"/>
      <c r="D42" s="2"/>
    </row>
    <row r="43" spans="1:4" s="1" customFormat="1" ht="21.75" customHeight="1" x14ac:dyDescent="0.25">
      <c r="A43" s="2"/>
      <c r="D43" s="2"/>
    </row>
    <row r="44" spans="1:4" s="1" customFormat="1" ht="21.75" customHeight="1" x14ac:dyDescent="0.25">
      <c r="A44" s="2"/>
      <c r="D44" s="2"/>
    </row>
    <row r="45" spans="1:4" s="1" customFormat="1" ht="21.75" customHeight="1" x14ac:dyDescent="0.25">
      <c r="A45" s="2"/>
      <c r="D45" s="2"/>
    </row>
    <row r="46" spans="1:4" s="1" customFormat="1" ht="21.75" customHeight="1" x14ac:dyDescent="0.25">
      <c r="A46" s="2"/>
      <c r="D46" s="2"/>
    </row>
    <row r="47" spans="1:4" s="1" customFormat="1" ht="21.75" customHeight="1" x14ac:dyDescent="0.25">
      <c r="A47" s="2"/>
      <c r="D47" s="2"/>
    </row>
    <row r="48" spans="1:4" s="1" customFormat="1" ht="21.75" customHeight="1" x14ac:dyDescent="0.25">
      <c r="A48" s="2"/>
      <c r="D48" s="2"/>
    </row>
    <row r="49" spans="1:4" s="1" customFormat="1" ht="21.75" customHeight="1" x14ac:dyDescent="0.25">
      <c r="A49" s="2"/>
      <c r="D49" s="2"/>
    </row>
    <row r="50" spans="1:4" s="1" customFormat="1" ht="21.75" customHeight="1" x14ac:dyDescent="0.25">
      <c r="A50" s="2"/>
      <c r="D50" s="2"/>
    </row>
    <row r="51" spans="1:4" s="1" customFormat="1" ht="21.75" customHeight="1" x14ac:dyDescent="0.25">
      <c r="A51" s="2"/>
      <c r="D51" s="2"/>
    </row>
    <row r="52" spans="1:4" s="1" customFormat="1" ht="21.75" customHeight="1" x14ac:dyDescent="0.25">
      <c r="A52" s="2"/>
      <c r="D52" s="2"/>
    </row>
    <row r="53" spans="1:4" s="1" customFormat="1" ht="21.75" customHeight="1" x14ac:dyDescent="0.25">
      <c r="A53" s="2"/>
      <c r="D53" s="2"/>
    </row>
    <row r="54" spans="1:4" s="1" customFormat="1" ht="21.75" customHeight="1" x14ac:dyDescent="0.25">
      <c r="A54" s="2"/>
      <c r="D54" s="2"/>
    </row>
    <row r="55" spans="1:4" s="1" customFormat="1" ht="21.75" customHeight="1" x14ac:dyDescent="0.25">
      <c r="A55" s="2"/>
      <c r="D55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DAF2A-4BAF-47FC-9F80-BBE3EE0429AF}">
  <dimension ref="A1:F54"/>
  <sheetViews>
    <sheetView workbookViewId="0">
      <selection activeCell="E4" sqref="E4"/>
    </sheetView>
  </sheetViews>
  <sheetFormatPr defaultRowHeight="13.8" x14ac:dyDescent="0.25"/>
  <cols>
    <col min="1" max="1" width="20.77734375" style="2" customWidth="1"/>
    <col min="2" max="3" width="20.77734375" style="1" customWidth="1"/>
    <col min="4" max="4" width="20.77734375" style="2" customWidth="1"/>
    <col min="5" max="6" width="20.77734375" style="1" customWidth="1"/>
  </cols>
  <sheetData>
    <row r="1" spans="1:6" ht="42.75" customHeight="1" x14ac:dyDescent="0.25">
      <c r="A1" s="2" t="s">
        <v>75</v>
      </c>
      <c r="B1" s="1" t="s">
        <v>2</v>
      </c>
      <c r="C1" s="1" t="s">
        <v>3</v>
      </c>
      <c r="D1" s="2" t="s">
        <v>75</v>
      </c>
      <c r="E1" s="1" t="s">
        <v>2</v>
      </c>
      <c r="F1" s="1" t="s">
        <v>3</v>
      </c>
    </row>
    <row r="2" spans="1:6" ht="42.75" customHeight="1" x14ac:dyDescent="0.25">
      <c r="A2" s="2" t="s">
        <v>89</v>
      </c>
      <c r="B2" s="9">
        <v>0.138665280386324</v>
      </c>
      <c r="C2" s="9">
        <v>0.305725408943407</v>
      </c>
      <c r="D2" s="2" t="s">
        <v>86</v>
      </c>
      <c r="E2" s="9">
        <v>0.138665280386324</v>
      </c>
      <c r="F2" s="9">
        <v>0.305725408943407</v>
      </c>
    </row>
    <row r="3" spans="1:6" ht="42.75" customHeight="1" x14ac:dyDescent="0.25">
      <c r="A3" s="26" t="s">
        <v>88</v>
      </c>
      <c r="B3" s="25">
        <v>0.13863223212609599</v>
      </c>
      <c r="C3" s="25">
        <v>0.29478461677432699</v>
      </c>
      <c r="D3" s="24" t="s">
        <v>85</v>
      </c>
      <c r="E3" s="25">
        <v>0.13862864563252</v>
      </c>
      <c r="F3" s="25">
        <v>0.29559381484554098</v>
      </c>
    </row>
    <row r="4" spans="1:6" ht="42.75" customHeight="1" x14ac:dyDescent="0.25">
      <c r="A4" s="24" t="s">
        <v>87</v>
      </c>
      <c r="B4" s="25">
        <v>0.1394273888268</v>
      </c>
      <c r="C4" s="25">
        <v>0.29043294575468798</v>
      </c>
      <c r="D4" s="24" t="s">
        <v>84</v>
      </c>
      <c r="E4" s="25">
        <v>0.13941349420445701</v>
      </c>
      <c r="F4" s="25">
        <v>0.29021969850322599</v>
      </c>
    </row>
    <row r="5" spans="1:6" ht="42.75" customHeight="1" x14ac:dyDescent="0.25">
      <c r="E5" s="9"/>
    </row>
    <row r="6" spans="1:6" ht="42.75" customHeight="1" x14ac:dyDescent="0.25">
      <c r="A6" s="5"/>
    </row>
    <row r="7" spans="1:6" ht="42.75" customHeight="1" x14ac:dyDescent="0.25"/>
    <row r="8" spans="1:6" ht="42.75" customHeight="1" x14ac:dyDescent="0.25"/>
    <row r="9" spans="1:6" ht="42.75" customHeight="1" x14ac:dyDescent="0.25">
      <c r="D9" s="5"/>
    </row>
    <row r="10" spans="1:6" ht="42.75" customHeight="1" x14ac:dyDescent="0.25"/>
    <row r="11" spans="1:6" ht="42.75" customHeight="1" x14ac:dyDescent="0.25">
      <c r="A11" s="5"/>
    </row>
    <row r="12" spans="1:6" ht="42.75" customHeight="1" x14ac:dyDescent="0.25"/>
    <row r="13" spans="1:6" ht="42.75" customHeight="1" x14ac:dyDescent="0.25"/>
    <row r="14" spans="1:6" ht="42.75" customHeight="1" x14ac:dyDescent="0.25">
      <c r="A14" s="5"/>
      <c r="D14" s="5"/>
    </row>
    <row r="15" spans="1:6" ht="42.75" customHeight="1" x14ac:dyDescent="0.25"/>
    <row r="16" spans="1:6" ht="42.75" customHeight="1" x14ac:dyDescent="0.25"/>
    <row r="17" spans="1:4" ht="42.75" customHeight="1" x14ac:dyDescent="0.25">
      <c r="D17" s="5"/>
    </row>
    <row r="18" spans="1:4" ht="42.75" customHeight="1" x14ac:dyDescent="0.25">
      <c r="A18" s="5"/>
    </row>
    <row r="19" spans="1:4" ht="42.75" customHeight="1" x14ac:dyDescent="0.25"/>
    <row r="20" spans="1:4" ht="42.75" customHeight="1" x14ac:dyDescent="0.25"/>
    <row r="21" spans="1:4" ht="42.75" customHeight="1" x14ac:dyDescent="0.25">
      <c r="D21" s="5"/>
    </row>
    <row r="22" spans="1:4" ht="42.75" customHeight="1" x14ac:dyDescent="0.25"/>
    <row r="23" spans="1:4" ht="42.75" customHeight="1" x14ac:dyDescent="0.25"/>
    <row r="24" spans="1:4" ht="42.75" customHeight="1" x14ac:dyDescent="0.25"/>
    <row r="25" spans="1:4" ht="42.75" customHeight="1" x14ac:dyDescent="0.25"/>
    <row r="26" spans="1:4" ht="42.75" customHeight="1" x14ac:dyDescent="0.25"/>
    <row r="27" spans="1:4" ht="42.75" customHeight="1" x14ac:dyDescent="0.25"/>
    <row r="28" spans="1:4" ht="42.75" customHeight="1" x14ac:dyDescent="0.25"/>
    <row r="29" spans="1:4" ht="42.75" customHeight="1" x14ac:dyDescent="0.25"/>
    <row r="30" spans="1:4" ht="21.75" customHeight="1" x14ac:dyDescent="0.25"/>
    <row r="31" spans="1:4" ht="21.75" customHeight="1" x14ac:dyDescent="0.25"/>
    <row r="32" spans="1:4" ht="21.75" customHeight="1" x14ac:dyDescent="0.25"/>
    <row r="33" spans="1:4" ht="21.75" customHeight="1" x14ac:dyDescent="0.25"/>
    <row r="34" spans="1:4" ht="21.75" customHeight="1" x14ac:dyDescent="0.25"/>
    <row r="35" spans="1:4" ht="21.75" customHeight="1" x14ac:dyDescent="0.25"/>
    <row r="36" spans="1:4" ht="21.75" customHeight="1" x14ac:dyDescent="0.25"/>
    <row r="37" spans="1:4" ht="21.75" customHeight="1" x14ac:dyDescent="0.25"/>
    <row r="38" spans="1:4" ht="21.75" customHeight="1" x14ac:dyDescent="0.25"/>
    <row r="39" spans="1:4" s="1" customFormat="1" ht="21.75" customHeight="1" x14ac:dyDescent="0.25">
      <c r="A39" s="2"/>
      <c r="D39" s="2"/>
    </row>
    <row r="40" spans="1:4" s="1" customFormat="1" ht="21.75" customHeight="1" x14ac:dyDescent="0.25">
      <c r="A40" s="2"/>
      <c r="D40" s="2"/>
    </row>
    <row r="41" spans="1:4" s="1" customFormat="1" ht="21.75" customHeight="1" x14ac:dyDescent="0.25">
      <c r="A41" s="2"/>
      <c r="D41" s="2"/>
    </row>
    <row r="42" spans="1:4" s="1" customFormat="1" ht="21.75" customHeight="1" x14ac:dyDescent="0.25">
      <c r="A42" s="2"/>
      <c r="D42" s="2"/>
    </row>
    <row r="43" spans="1:4" s="1" customFormat="1" ht="21.75" customHeight="1" x14ac:dyDescent="0.25">
      <c r="A43" s="2"/>
      <c r="D43" s="2"/>
    </row>
    <row r="44" spans="1:4" s="1" customFormat="1" ht="21.75" customHeight="1" x14ac:dyDescent="0.25">
      <c r="A44" s="2"/>
      <c r="D44" s="2"/>
    </row>
    <row r="45" spans="1:4" s="1" customFormat="1" ht="21.75" customHeight="1" x14ac:dyDescent="0.25">
      <c r="A45" s="2"/>
      <c r="D45" s="2"/>
    </row>
    <row r="46" spans="1:4" s="1" customFormat="1" ht="21.75" customHeight="1" x14ac:dyDescent="0.25">
      <c r="A46" s="2"/>
      <c r="D46" s="2"/>
    </row>
    <row r="47" spans="1:4" s="1" customFormat="1" ht="21.75" customHeight="1" x14ac:dyDescent="0.25">
      <c r="A47" s="2"/>
      <c r="D47" s="2"/>
    </row>
    <row r="48" spans="1:4" s="1" customFormat="1" ht="21.75" customHeight="1" x14ac:dyDescent="0.25">
      <c r="A48" s="2"/>
      <c r="D48" s="2"/>
    </row>
    <row r="49" spans="1:4" s="1" customFormat="1" ht="21.75" customHeight="1" x14ac:dyDescent="0.25">
      <c r="A49" s="2"/>
      <c r="D49" s="2"/>
    </row>
    <row r="50" spans="1:4" s="1" customFormat="1" ht="21.75" customHeight="1" x14ac:dyDescent="0.25">
      <c r="A50" s="2"/>
      <c r="D50" s="2"/>
    </row>
    <row r="51" spans="1:4" s="1" customFormat="1" ht="21.75" customHeight="1" x14ac:dyDescent="0.25">
      <c r="A51" s="2"/>
      <c r="D51" s="2"/>
    </row>
    <row r="52" spans="1:4" s="1" customFormat="1" ht="21.75" customHeight="1" x14ac:dyDescent="0.25">
      <c r="A52" s="2"/>
      <c r="D52" s="2"/>
    </row>
    <row r="53" spans="1:4" s="1" customFormat="1" ht="21.75" customHeight="1" x14ac:dyDescent="0.25">
      <c r="A53" s="2"/>
      <c r="D53" s="2"/>
    </row>
    <row r="54" spans="1:4" s="1" customFormat="1" ht="21.75" customHeight="1" x14ac:dyDescent="0.25">
      <c r="A54" s="2"/>
      <c r="D54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1D54E-5C5B-4454-9B71-3AFCFD463CDE}">
  <dimension ref="A1:J48"/>
  <sheetViews>
    <sheetView zoomScale="130" zoomScaleNormal="130" workbookViewId="0">
      <selection sqref="A1:D7"/>
    </sheetView>
  </sheetViews>
  <sheetFormatPr defaultRowHeight="13.8" x14ac:dyDescent="0.25"/>
  <cols>
    <col min="1" max="1" width="12.44140625" style="1" customWidth="1"/>
    <col min="2" max="4" width="11.5546875" style="1" customWidth="1"/>
  </cols>
  <sheetData>
    <row r="1" spans="1:10" ht="42.75" customHeight="1" x14ac:dyDescent="0.25">
      <c r="A1" s="9" t="s">
        <v>58</v>
      </c>
      <c r="B1" s="9" t="s">
        <v>2</v>
      </c>
      <c r="C1" s="9" t="s">
        <v>3</v>
      </c>
      <c r="D1" s="9" t="s">
        <v>52</v>
      </c>
    </row>
    <row r="2" spans="1:10" ht="42.75" customHeight="1" x14ac:dyDescent="0.25">
      <c r="A2" s="10">
        <v>3</v>
      </c>
      <c r="B2" s="9">
        <v>5.8433248216576097E-2</v>
      </c>
      <c r="C2" s="9">
        <v>0.10127486238828</v>
      </c>
      <c r="D2" s="9">
        <v>-0.36188000000000003</v>
      </c>
    </row>
    <row r="3" spans="1:10" ht="42.75" customHeight="1" x14ac:dyDescent="0.25">
      <c r="A3" s="11">
        <v>6</v>
      </c>
      <c r="B3" s="9">
        <v>7.6453824011265603E-2</v>
      </c>
      <c r="C3" s="9">
        <v>0.15563492977526799</v>
      </c>
      <c r="D3" s="9">
        <v>-0.32998437499999994</v>
      </c>
    </row>
    <row r="4" spans="1:10" ht="42.75" customHeight="1" x14ac:dyDescent="0.25">
      <c r="A4" s="11">
        <v>9</v>
      </c>
      <c r="B4" s="9">
        <v>9.2281477957196795E-2</v>
      </c>
      <c r="C4" s="9">
        <v>0.20247760279374699</v>
      </c>
      <c r="D4" s="9">
        <v>-0.30152187499999994</v>
      </c>
      <c r="I4" s="15"/>
      <c r="J4" s="9"/>
    </row>
    <row r="5" spans="1:10" ht="42.75" customHeight="1" x14ac:dyDescent="0.25">
      <c r="A5" s="11">
        <v>12</v>
      </c>
      <c r="B5" s="9">
        <v>9.8498072262685699E-2</v>
      </c>
      <c r="C5" s="9">
        <v>0.205504127519548</v>
      </c>
      <c r="D5" s="9">
        <v>-0.28289375</v>
      </c>
      <c r="I5" s="15"/>
      <c r="J5" s="9"/>
    </row>
    <row r="6" spans="1:10" ht="42.75" customHeight="1" x14ac:dyDescent="0.25">
      <c r="A6" s="10">
        <v>18</v>
      </c>
      <c r="B6" s="9">
        <v>0.11239493203944299</v>
      </c>
      <c r="C6" s="9">
        <v>0.23119461699465099</v>
      </c>
      <c r="D6" s="9">
        <v>-0.24972187500000001</v>
      </c>
    </row>
    <row r="7" spans="1:10" ht="42.75" customHeight="1" x14ac:dyDescent="0.25">
      <c r="A7" s="11">
        <v>24</v>
      </c>
      <c r="B7" s="9">
        <v>0.118299907349062</v>
      </c>
      <c r="C7" s="9">
        <v>0.24408315103804901</v>
      </c>
      <c r="D7" s="9">
        <v>-0.23550624999999994</v>
      </c>
    </row>
    <row r="8" spans="1:10" ht="42.75" customHeight="1" x14ac:dyDescent="0.25">
      <c r="B8" s="9"/>
      <c r="C8" s="9"/>
      <c r="D8" s="9"/>
    </row>
    <row r="9" spans="1:10" ht="42.75" customHeight="1" x14ac:dyDescent="0.25"/>
    <row r="10" spans="1:10" ht="42.75" customHeight="1" x14ac:dyDescent="0.25"/>
    <row r="11" spans="1:10" ht="42.75" customHeight="1" x14ac:dyDescent="0.25"/>
    <row r="12" spans="1:10" ht="42.75" customHeight="1" x14ac:dyDescent="0.25">
      <c r="A12" s="4"/>
    </row>
    <row r="13" spans="1:10" ht="42.75" customHeight="1" x14ac:dyDescent="0.25"/>
    <row r="14" spans="1:10" ht="42.75" customHeight="1" x14ac:dyDescent="0.25"/>
    <row r="15" spans="1:10" ht="42.75" customHeight="1" x14ac:dyDescent="0.25">
      <c r="A15" s="4"/>
    </row>
    <row r="16" spans="1:10" ht="42.75" customHeight="1" x14ac:dyDescent="0.25"/>
    <row r="17" spans="1:1" ht="42.75" customHeight="1" x14ac:dyDescent="0.25"/>
    <row r="18" spans="1:1" ht="42.75" customHeight="1" x14ac:dyDescent="0.25"/>
    <row r="19" spans="1:1" ht="42.75" customHeight="1" x14ac:dyDescent="0.25">
      <c r="A19" s="4"/>
    </row>
    <row r="20" spans="1:1" ht="42.75" customHeight="1" x14ac:dyDescent="0.25"/>
    <row r="21" spans="1:1" ht="42.75" customHeight="1" x14ac:dyDescent="0.25"/>
    <row r="22" spans="1:1" ht="42.75" customHeight="1" x14ac:dyDescent="0.25"/>
    <row r="23" spans="1:1" ht="42.75" customHeight="1" x14ac:dyDescent="0.25"/>
    <row r="24" spans="1:1" ht="21.75" customHeight="1" x14ac:dyDescent="0.25"/>
    <row r="25" spans="1:1" ht="21.75" customHeight="1" x14ac:dyDescent="0.25"/>
    <row r="26" spans="1:1" ht="21.75" customHeight="1" x14ac:dyDescent="0.25"/>
    <row r="27" spans="1:1" ht="21.75" customHeight="1" x14ac:dyDescent="0.25"/>
    <row r="28" spans="1:1" ht="21.75" customHeight="1" x14ac:dyDescent="0.25"/>
    <row r="29" spans="1:1" ht="21.75" customHeight="1" x14ac:dyDescent="0.25"/>
    <row r="30" spans="1:1" ht="21.75" customHeight="1" x14ac:dyDescent="0.25"/>
    <row r="31" spans="1:1" ht="21.75" customHeight="1" x14ac:dyDescent="0.25"/>
    <row r="32" spans="1:1" ht="21.75" customHeight="1" x14ac:dyDescent="0.25"/>
    <row r="33" spans="5:5" s="1" customFormat="1" ht="21.75" customHeight="1" x14ac:dyDescent="0.25">
      <c r="E33"/>
    </row>
    <row r="34" spans="5:5" s="1" customFormat="1" ht="21.75" customHeight="1" x14ac:dyDescent="0.25">
      <c r="E34"/>
    </row>
    <row r="35" spans="5:5" s="1" customFormat="1" ht="21.75" customHeight="1" x14ac:dyDescent="0.25">
      <c r="E35"/>
    </row>
    <row r="36" spans="5:5" s="1" customFormat="1" ht="21.75" customHeight="1" x14ac:dyDescent="0.25">
      <c r="E36"/>
    </row>
    <row r="37" spans="5:5" s="1" customFormat="1" ht="21.75" customHeight="1" x14ac:dyDescent="0.25">
      <c r="E37"/>
    </row>
    <row r="38" spans="5:5" s="1" customFormat="1" ht="21.75" customHeight="1" x14ac:dyDescent="0.25">
      <c r="E38"/>
    </row>
    <row r="39" spans="5:5" s="1" customFormat="1" ht="21.75" customHeight="1" x14ac:dyDescent="0.25">
      <c r="E39"/>
    </row>
    <row r="40" spans="5:5" s="1" customFormat="1" ht="21.75" customHeight="1" x14ac:dyDescent="0.25">
      <c r="E40"/>
    </row>
    <row r="41" spans="5:5" s="1" customFormat="1" ht="21.75" customHeight="1" x14ac:dyDescent="0.25">
      <c r="E41"/>
    </row>
    <row r="42" spans="5:5" s="1" customFormat="1" ht="21.75" customHeight="1" x14ac:dyDescent="0.25">
      <c r="E42"/>
    </row>
    <row r="43" spans="5:5" s="1" customFormat="1" ht="21.75" customHeight="1" x14ac:dyDescent="0.25">
      <c r="E43"/>
    </row>
    <row r="44" spans="5:5" s="1" customFormat="1" ht="21.75" customHeight="1" x14ac:dyDescent="0.25">
      <c r="E44"/>
    </row>
    <row r="45" spans="5:5" s="1" customFormat="1" ht="21.75" customHeight="1" x14ac:dyDescent="0.25">
      <c r="E45"/>
    </row>
    <row r="46" spans="5:5" s="1" customFormat="1" ht="21.75" customHeight="1" x14ac:dyDescent="0.25">
      <c r="E46"/>
    </row>
    <row r="47" spans="5:5" s="1" customFormat="1" ht="21.75" customHeight="1" x14ac:dyDescent="0.25">
      <c r="E47"/>
    </row>
    <row r="48" spans="5:5" s="1" customFormat="1" ht="21.75" customHeight="1" x14ac:dyDescent="0.25">
      <c r="E4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BD365-4EDD-4444-8257-3ACAB36D6E2C}">
  <dimension ref="B1:K42"/>
  <sheetViews>
    <sheetView workbookViewId="0">
      <selection activeCell="B1" sqref="B1:H5"/>
    </sheetView>
  </sheetViews>
  <sheetFormatPr defaultRowHeight="13.8" x14ac:dyDescent="0.25"/>
  <cols>
    <col min="2" max="2" width="12.44140625" style="1" customWidth="1"/>
    <col min="3" max="8" width="17.5546875" style="1" customWidth="1"/>
    <col min="9" max="10" width="11.5546875" style="1" customWidth="1"/>
  </cols>
  <sheetData>
    <row r="1" spans="2:8" ht="45" customHeight="1" x14ac:dyDescent="0.25">
      <c r="B1" s="1" t="s">
        <v>62</v>
      </c>
      <c r="C1" s="12" t="s">
        <v>63</v>
      </c>
      <c r="D1" s="1" t="s">
        <v>64</v>
      </c>
      <c r="E1" s="1" t="s">
        <v>65</v>
      </c>
      <c r="F1" s="1" t="s">
        <v>69</v>
      </c>
      <c r="G1" s="1" t="s">
        <v>70</v>
      </c>
      <c r="H1" s="12" t="s">
        <v>71</v>
      </c>
    </row>
    <row r="2" spans="2:8" ht="45" customHeight="1" x14ac:dyDescent="0.25">
      <c r="B2" s="1" t="s">
        <v>4</v>
      </c>
      <c r="C2" s="13" t="s">
        <v>66</v>
      </c>
      <c r="D2" s="2" t="s">
        <v>67</v>
      </c>
      <c r="E2" s="2" t="s">
        <v>68</v>
      </c>
      <c r="F2" s="2" t="s">
        <v>66</v>
      </c>
      <c r="G2" s="2" t="s">
        <v>67</v>
      </c>
      <c r="H2" s="13" t="s">
        <v>68</v>
      </c>
    </row>
    <row r="3" spans="2:8" ht="45" customHeight="1" x14ac:dyDescent="0.25">
      <c r="B3" s="9" t="s">
        <v>58</v>
      </c>
      <c r="C3" s="14">
        <v>24</v>
      </c>
      <c r="D3" s="11">
        <v>24</v>
      </c>
      <c r="E3" s="11">
        <v>24</v>
      </c>
      <c r="F3" s="11">
        <v>18</v>
      </c>
      <c r="G3" s="10">
        <v>18</v>
      </c>
      <c r="H3" s="16">
        <v>18</v>
      </c>
    </row>
    <row r="4" spans="2:8" ht="45" customHeight="1" x14ac:dyDescent="0.25">
      <c r="B4" s="9" t="s">
        <v>2</v>
      </c>
      <c r="C4" s="15">
        <v>0.12126496052309101</v>
      </c>
      <c r="D4" s="9">
        <v>2.25727656263605E-2</v>
      </c>
      <c r="E4" s="9">
        <v>0.121898922694387</v>
      </c>
      <c r="F4" s="9">
        <v>0.110103672523764</v>
      </c>
      <c r="G4" s="9">
        <v>1.97201882341651E-2</v>
      </c>
      <c r="H4" s="15">
        <v>0.11148474978176399</v>
      </c>
    </row>
    <row r="5" spans="2:8" ht="45" customHeight="1" x14ac:dyDescent="0.25">
      <c r="B5" s="9" t="s">
        <v>3</v>
      </c>
      <c r="C5" s="15">
        <v>0.26826406910388101</v>
      </c>
      <c r="D5" s="9">
        <v>3.3079240055529299E-2</v>
      </c>
      <c r="E5" s="9">
        <v>0.25226125741226801</v>
      </c>
      <c r="F5" s="9">
        <v>0.233958181274948</v>
      </c>
      <c r="G5" s="9">
        <v>3.5893660503612701E-2</v>
      </c>
      <c r="H5" s="15">
        <v>0.243803840234639</v>
      </c>
    </row>
    <row r="6" spans="2:8" ht="45" customHeight="1" x14ac:dyDescent="0.25">
      <c r="B6" s="9"/>
      <c r="C6" s="9"/>
      <c r="D6" s="9"/>
      <c r="E6" s="9"/>
      <c r="F6" s="9"/>
      <c r="G6" s="9"/>
      <c r="H6" s="9"/>
    </row>
    <row r="7" spans="2:8" ht="45" customHeight="1" x14ac:dyDescent="0.25">
      <c r="B7" s="9"/>
      <c r="C7" s="9"/>
      <c r="D7" s="9"/>
      <c r="E7" s="9"/>
      <c r="F7" s="9"/>
      <c r="G7" s="9"/>
      <c r="H7" s="9"/>
    </row>
    <row r="8" spans="2:8" ht="45" customHeight="1" x14ac:dyDescent="0.25">
      <c r="B8" s="9"/>
      <c r="C8" s="9"/>
      <c r="D8" s="9"/>
      <c r="E8" s="9"/>
      <c r="F8" s="9"/>
      <c r="G8" s="9"/>
      <c r="H8" s="9"/>
    </row>
    <row r="9" spans="2:8" ht="42.75" customHeight="1" x14ac:dyDescent="0.25">
      <c r="B9" s="9"/>
      <c r="C9" s="9"/>
      <c r="D9" s="9"/>
      <c r="E9" s="9"/>
      <c r="F9" s="9"/>
      <c r="G9" s="9"/>
      <c r="H9" s="9"/>
    </row>
    <row r="10" spans="2:8" ht="42.75" customHeight="1" x14ac:dyDescent="0.25">
      <c r="B10" s="9"/>
      <c r="C10" s="9"/>
      <c r="D10" s="9"/>
      <c r="E10" s="9"/>
      <c r="F10" s="9"/>
      <c r="G10" s="9"/>
      <c r="H10" s="9"/>
    </row>
    <row r="11" spans="2:8" ht="42.75" customHeight="1" x14ac:dyDescent="0.25">
      <c r="B11" s="9"/>
      <c r="C11" s="9"/>
      <c r="D11" s="9"/>
      <c r="E11" s="9"/>
      <c r="F11" s="9"/>
      <c r="G11" s="9"/>
      <c r="H11" s="9"/>
    </row>
    <row r="12" spans="2:8" ht="42.75" customHeight="1" x14ac:dyDescent="0.25"/>
    <row r="13" spans="2:8" ht="42.75" customHeight="1" x14ac:dyDescent="0.25">
      <c r="B13" s="4"/>
    </row>
    <row r="14" spans="2:8" ht="42.75" customHeight="1" x14ac:dyDescent="0.25"/>
    <row r="15" spans="2:8" ht="42.75" customHeight="1" x14ac:dyDescent="0.25"/>
    <row r="16" spans="2:8" ht="42.75" customHeight="1" x14ac:dyDescent="0.25"/>
    <row r="17" spans="11:11" ht="42.75" customHeight="1" x14ac:dyDescent="0.25"/>
    <row r="18" spans="11:11" ht="21.75" customHeight="1" x14ac:dyDescent="0.25"/>
    <row r="19" spans="11:11" ht="21.75" customHeight="1" x14ac:dyDescent="0.25"/>
    <row r="20" spans="11:11" ht="21.75" customHeight="1" x14ac:dyDescent="0.25"/>
    <row r="21" spans="11:11" ht="21.75" customHeight="1" x14ac:dyDescent="0.25"/>
    <row r="22" spans="11:11" ht="21.75" customHeight="1" x14ac:dyDescent="0.25"/>
    <row r="23" spans="11:11" ht="21.75" customHeight="1" x14ac:dyDescent="0.25"/>
    <row r="24" spans="11:11" ht="21.75" customHeight="1" x14ac:dyDescent="0.25"/>
    <row r="25" spans="11:11" ht="21.75" customHeight="1" x14ac:dyDescent="0.25"/>
    <row r="26" spans="11:11" ht="21.75" customHeight="1" x14ac:dyDescent="0.25"/>
    <row r="27" spans="11:11" s="1" customFormat="1" ht="21.75" customHeight="1" x14ac:dyDescent="0.25">
      <c r="K27"/>
    </row>
    <row r="28" spans="11:11" s="1" customFormat="1" ht="21.75" customHeight="1" x14ac:dyDescent="0.25">
      <c r="K28"/>
    </row>
    <row r="29" spans="11:11" s="1" customFormat="1" ht="21.75" customHeight="1" x14ac:dyDescent="0.25">
      <c r="K29"/>
    </row>
    <row r="30" spans="11:11" s="1" customFormat="1" ht="21.75" customHeight="1" x14ac:dyDescent="0.25">
      <c r="K30"/>
    </row>
    <row r="31" spans="11:11" s="1" customFormat="1" ht="21.75" customHeight="1" x14ac:dyDescent="0.25">
      <c r="K31"/>
    </row>
    <row r="32" spans="11:11" s="1" customFormat="1" ht="21.75" customHeight="1" x14ac:dyDescent="0.25">
      <c r="K32"/>
    </row>
    <row r="33" spans="11:11" s="1" customFormat="1" ht="21.75" customHeight="1" x14ac:dyDescent="0.25">
      <c r="K33"/>
    </row>
    <row r="34" spans="11:11" s="1" customFormat="1" ht="21.75" customHeight="1" x14ac:dyDescent="0.25">
      <c r="K34"/>
    </row>
    <row r="35" spans="11:11" s="1" customFormat="1" ht="21.75" customHeight="1" x14ac:dyDescent="0.25">
      <c r="K35"/>
    </row>
    <row r="36" spans="11:11" s="1" customFormat="1" ht="21.75" customHeight="1" x14ac:dyDescent="0.25">
      <c r="K36"/>
    </row>
    <row r="37" spans="11:11" s="1" customFormat="1" ht="21.75" customHeight="1" x14ac:dyDescent="0.25">
      <c r="K37"/>
    </row>
    <row r="38" spans="11:11" s="1" customFormat="1" ht="21.75" customHeight="1" x14ac:dyDescent="0.25">
      <c r="K38"/>
    </row>
    <row r="39" spans="11:11" s="1" customFormat="1" ht="21.75" customHeight="1" x14ac:dyDescent="0.25">
      <c r="K39"/>
    </row>
    <row r="40" spans="11:11" s="1" customFormat="1" ht="21.75" customHeight="1" x14ac:dyDescent="0.25">
      <c r="K40"/>
    </row>
    <row r="41" spans="11:11" s="1" customFormat="1" ht="21.75" customHeight="1" x14ac:dyDescent="0.25">
      <c r="K41"/>
    </row>
    <row r="42" spans="11:11" s="1" customFormat="1" ht="21.75" customHeight="1" x14ac:dyDescent="0.25">
      <c r="K4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73678-5C86-4CBB-A097-0BF340A64AD2}">
  <dimension ref="A1:K48"/>
  <sheetViews>
    <sheetView workbookViewId="0">
      <selection sqref="A1:I7"/>
    </sheetView>
  </sheetViews>
  <sheetFormatPr defaultRowHeight="13.8" x14ac:dyDescent="0.25"/>
  <cols>
    <col min="1" max="1" width="12.44140625" style="1" customWidth="1"/>
    <col min="2" max="9" width="11.5546875" style="1" customWidth="1"/>
    <col min="10" max="10" width="65.33203125" style="2" customWidth="1"/>
  </cols>
  <sheetData>
    <row r="1" spans="1:10" ht="42.75" customHeight="1" x14ac:dyDescent="0.25">
      <c r="A1" s="9" t="s">
        <v>58</v>
      </c>
      <c r="B1" s="9" t="s">
        <v>2</v>
      </c>
      <c r="C1" s="9" t="s">
        <v>3</v>
      </c>
      <c r="D1" s="9" t="s">
        <v>53</v>
      </c>
      <c r="E1" s="9" t="s">
        <v>54</v>
      </c>
      <c r="F1" s="9" t="s">
        <v>52</v>
      </c>
      <c r="G1" s="9" t="s">
        <v>55</v>
      </c>
      <c r="H1" s="9" t="s">
        <v>56</v>
      </c>
      <c r="I1" s="9" t="s">
        <v>57</v>
      </c>
      <c r="J1" s="2" t="s">
        <v>4</v>
      </c>
    </row>
    <row r="2" spans="1:10" ht="42.75" customHeight="1" x14ac:dyDescent="0.25">
      <c r="A2" s="10">
        <v>3</v>
      </c>
      <c r="B2" s="9">
        <v>6.7665345469556895E-2</v>
      </c>
      <c r="C2" s="9">
        <v>0.13424973645992699</v>
      </c>
      <c r="D2" s="9">
        <v>5.1129130434782614E-2</v>
      </c>
      <c r="E2" s="9">
        <v>9.3270847826086981E-2</v>
      </c>
      <c r="F2" s="9">
        <v>-0.39327083333333329</v>
      </c>
      <c r="G2" s="9">
        <v>3.7425854166666668E-2</v>
      </c>
      <c r="H2" s="9">
        <v>0.11867472739130433</v>
      </c>
      <c r="I2" s="9">
        <v>6.150663768115943E-3</v>
      </c>
      <c r="J2" s="59" t="s">
        <v>59</v>
      </c>
    </row>
    <row r="3" spans="1:10" ht="42.75" customHeight="1" x14ac:dyDescent="0.25">
      <c r="A3" s="11">
        <v>6</v>
      </c>
      <c r="B3" s="9">
        <v>8.9906623425604404E-2</v>
      </c>
      <c r="C3" s="9">
        <v>0.17252995632771601</v>
      </c>
      <c r="D3" s="9">
        <v>7.0556818181818179E-2</v>
      </c>
      <c r="E3" s="9">
        <v>0.14699714285714285</v>
      </c>
      <c r="F3" s="9">
        <v>-0.41428695652173919</v>
      </c>
      <c r="G3" s="9">
        <v>7.3858260869565207E-2</v>
      </c>
      <c r="H3" s="9">
        <v>0.15727875000000002</v>
      </c>
      <c r="I3" s="9">
        <v>0.22162000000000007</v>
      </c>
      <c r="J3" s="59"/>
    </row>
    <row r="4" spans="1:10" ht="42.75" customHeight="1" x14ac:dyDescent="0.25">
      <c r="A4" s="11">
        <v>9</v>
      </c>
      <c r="B4" s="9">
        <v>0.100564485358053</v>
      </c>
      <c r="C4" s="9">
        <v>0.217226921173923</v>
      </c>
      <c r="D4" s="9">
        <v>8.4052083333333347E-2</v>
      </c>
      <c r="E4" s="9">
        <v>0.17729541666666668</v>
      </c>
      <c r="F4" s="9">
        <v>-0.38026249999999995</v>
      </c>
      <c r="G4" s="9">
        <v>8.5430416666666675E-2</v>
      </c>
      <c r="H4" s="9">
        <v>0.17289750000000001</v>
      </c>
      <c r="I4" s="9">
        <v>0.23269999999999991</v>
      </c>
      <c r="J4" s="59"/>
    </row>
    <row r="5" spans="1:10" ht="42.75" customHeight="1" x14ac:dyDescent="0.25">
      <c r="A5" s="11">
        <v>12</v>
      </c>
      <c r="B5" s="9">
        <v>0.102876949231495</v>
      </c>
      <c r="C5" s="9">
        <v>0.221300877320568</v>
      </c>
      <c r="D5" s="9">
        <v>8.5151904761904762E-2</v>
      </c>
      <c r="E5" s="9">
        <v>0.18838999999999997</v>
      </c>
      <c r="F5" s="9">
        <v>-0.27337083333333334</v>
      </c>
      <c r="G5" s="9">
        <v>9.6092500000000025E-2</v>
      </c>
      <c r="H5" s="9">
        <v>0.17116166666666666</v>
      </c>
      <c r="I5" s="9">
        <v>0.23314782608695644</v>
      </c>
      <c r="J5" s="59"/>
    </row>
    <row r="6" spans="1:10" ht="42.75" customHeight="1" x14ac:dyDescent="0.25">
      <c r="A6" s="10">
        <v>18</v>
      </c>
      <c r="B6" s="9">
        <v>0.119244111494688</v>
      </c>
      <c r="C6" s="9">
        <v>0.258593343289652</v>
      </c>
      <c r="D6" s="9">
        <v>0.10439238095238094</v>
      </c>
      <c r="E6" s="9">
        <v>0.21291904761904762</v>
      </c>
      <c r="F6" s="9">
        <v>-0.24787916666666668</v>
      </c>
      <c r="G6" s="9">
        <v>0.10717374999999997</v>
      </c>
      <c r="H6" s="9">
        <v>0.19127391304347827</v>
      </c>
      <c r="I6" s="9">
        <v>0.26070454545454547</v>
      </c>
      <c r="J6" s="59"/>
    </row>
    <row r="7" spans="1:10" ht="42.75" customHeight="1" x14ac:dyDescent="0.25">
      <c r="A7" s="11">
        <v>24</v>
      </c>
      <c r="B7" s="9">
        <v>0.12538972270253701</v>
      </c>
      <c r="C7" s="9">
        <v>0.275085476633044</v>
      </c>
      <c r="D7" s="9">
        <v>0.10895500000000002</v>
      </c>
      <c r="E7" s="9">
        <v>0.22719999999999999</v>
      </c>
      <c r="F7" s="9">
        <v>-0.23842916666666666</v>
      </c>
      <c r="G7" s="9">
        <v>0.11531550000000002</v>
      </c>
      <c r="H7" s="9">
        <v>0.23019166666666666</v>
      </c>
      <c r="I7" s="9">
        <v>0.31254999999999994</v>
      </c>
      <c r="J7" s="59"/>
    </row>
    <row r="8" spans="1:10" ht="42.75" customHeight="1" x14ac:dyDescent="0.25"/>
    <row r="9" spans="1:10" ht="42.75" customHeight="1" x14ac:dyDescent="0.25"/>
    <row r="10" spans="1:10" ht="42.75" customHeight="1" x14ac:dyDescent="0.25"/>
    <row r="11" spans="1:10" ht="42.75" customHeight="1" x14ac:dyDescent="0.25"/>
    <row r="12" spans="1:10" ht="42.75" customHeight="1" x14ac:dyDescent="0.25">
      <c r="A12" s="4"/>
      <c r="J12" s="5"/>
    </row>
    <row r="13" spans="1:10" ht="42.75" customHeight="1" x14ac:dyDescent="0.25"/>
    <row r="14" spans="1:10" ht="42.75" customHeight="1" x14ac:dyDescent="0.25"/>
    <row r="15" spans="1:10" ht="42.75" customHeight="1" x14ac:dyDescent="0.25">
      <c r="A15" s="4"/>
      <c r="J15" s="5"/>
    </row>
    <row r="16" spans="1:10" ht="42.75" customHeight="1" x14ac:dyDescent="0.25"/>
    <row r="17" spans="1:10" ht="42.75" customHeight="1" x14ac:dyDescent="0.25"/>
    <row r="18" spans="1:10" ht="42.75" customHeight="1" x14ac:dyDescent="0.25"/>
    <row r="19" spans="1:10" ht="42.75" customHeight="1" x14ac:dyDescent="0.25">
      <c r="A19" s="4"/>
      <c r="J19" s="5"/>
    </row>
    <row r="20" spans="1:10" ht="42.75" customHeight="1" x14ac:dyDescent="0.25"/>
    <row r="21" spans="1:10" ht="42.75" customHeight="1" x14ac:dyDescent="0.25"/>
    <row r="22" spans="1:10" ht="42.75" customHeight="1" x14ac:dyDescent="0.25"/>
    <row r="23" spans="1:10" ht="42.75" customHeight="1" x14ac:dyDescent="0.25"/>
    <row r="24" spans="1:10" ht="21.75" customHeight="1" x14ac:dyDescent="0.25"/>
    <row r="25" spans="1:10" ht="21.75" customHeight="1" x14ac:dyDescent="0.25"/>
    <row r="26" spans="1:10" ht="21.75" customHeight="1" x14ac:dyDescent="0.25"/>
    <row r="27" spans="1:10" ht="21.75" customHeight="1" x14ac:dyDescent="0.25"/>
    <row r="28" spans="1:10" ht="21.75" customHeight="1" x14ac:dyDescent="0.25"/>
    <row r="29" spans="1:10" ht="21.75" customHeight="1" x14ac:dyDescent="0.25"/>
    <row r="30" spans="1:10" ht="21.75" customHeight="1" x14ac:dyDescent="0.25"/>
    <row r="31" spans="1:10" ht="21.75" customHeight="1" x14ac:dyDescent="0.25"/>
    <row r="32" spans="1:10" ht="21.75" customHeight="1" x14ac:dyDescent="0.25"/>
    <row r="33" spans="10:11" s="1" customFormat="1" ht="21.75" customHeight="1" x14ac:dyDescent="0.25">
      <c r="J33" s="2"/>
      <c r="K33"/>
    </row>
    <row r="34" spans="10:11" s="1" customFormat="1" ht="21.75" customHeight="1" x14ac:dyDescent="0.25">
      <c r="J34" s="2"/>
      <c r="K34"/>
    </row>
    <row r="35" spans="10:11" s="1" customFormat="1" ht="21.75" customHeight="1" x14ac:dyDescent="0.25">
      <c r="J35" s="2"/>
      <c r="K35"/>
    </row>
    <row r="36" spans="10:11" s="1" customFormat="1" ht="21.75" customHeight="1" x14ac:dyDescent="0.25">
      <c r="J36" s="2"/>
      <c r="K36"/>
    </row>
    <row r="37" spans="10:11" s="1" customFormat="1" ht="21.75" customHeight="1" x14ac:dyDescent="0.25">
      <c r="J37" s="2"/>
      <c r="K37"/>
    </row>
    <row r="38" spans="10:11" s="1" customFormat="1" ht="21.75" customHeight="1" x14ac:dyDescent="0.25">
      <c r="J38" s="2"/>
      <c r="K38"/>
    </row>
    <row r="39" spans="10:11" s="1" customFormat="1" ht="21.75" customHeight="1" x14ac:dyDescent="0.25">
      <c r="J39" s="2"/>
      <c r="K39"/>
    </row>
    <row r="40" spans="10:11" s="1" customFormat="1" ht="21.75" customHeight="1" x14ac:dyDescent="0.25">
      <c r="J40" s="2"/>
      <c r="K40"/>
    </row>
    <row r="41" spans="10:11" s="1" customFormat="1" ht="21.75" customHeight="1" x14ac:dyDescent="0.25">
      <c r="J41" s="2"/>
      <c r="K41"/>
    </row>
    <row r="42" spans="10:11" s="1" customFormat="1" ht="21.75" customHeight="1" x14ac:dyDescent="0.25">
      <c r="J42" s="2"/>
      <c r="K42"/>
    </row>
    <row r="43" spans="10:11" s="1" customFormat="1" ht="21.75" customHeight="1" x14ac:dyDescent="0.25">
      <c r="J43" s="2"/>
      <c r="K43"/>
    </row>
    <row r="44" spans="10:11" s="1" customFormat="1" ht="21.75" customHeight="1" x14ac:dyDescent="0.25">
      <c r="J44" s="2"/>
      <c r="K44"/>
    </row>
    <row r="45" spans="10:11" s="1" customFormat="1" ht="21.75" customHeight="1" x14ac:dyDescent="0.25">
      <c r="J45" s="2"/>
      <c r="K45"/>
    </row>
    <row r="46" spans="10:11" s="1" customFormat="1" ht="21.75" customHeight="1" x14ac:dyDescent="0.25">
      <c r="J46" s="2"/>
      <c r="K46"/>
    </row>
    <row r="47" spans="10:11" s="1" customFormat="1" ht="21.75" customHeight="1" x14ac:dyDescent="0.25">
      <c r="J47" s="2"/>
      <c r="K47"/>
    </row>
    <row r="48" spans="10:11" s="1" customFormat="1" ht="21.75" customHeight="1" x14ac:dyDescent="0.25">
      <c r="J48" s="2"/>
      <c r="K48"/>
    </row>
  </sheetData>
  <mergeCells count="1">
    <mergeCell ref="J2:J7"/>
  </mergeCells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4FD59-4BE0-495B-BD5C-E6302ACFEA9F}">
  <dimension ref="A1:N55"/>
  <sheetViews>
    <sheetView workbookViewId="0">
      <selection sqref="A1:F6"/>
    </sheetView>
  </sheetViews>
  <sheetFormatPr defaultRowHeight="13.8" x14ac:dyDescent="0.25"/>
  <cols>
    <col min="1" max="1" width="16.109375" style="2" customWidth="1"/>
    <col min="2" max="3" width="16.109375" style="1" customWidth="1"/>
    <col min="4" max="4" width="16.109375" style="2" customWidth="1"/>
    <col min="5" max="6" width="16.109375" style="1" customWidth="1"/>
  </cols>
  <sheetData>
    <row r="1" spans="1:14" ht="42.75" customHeight="1" x14ac:dyDescent="0.25">
      <c r="A1" s="9" t="s">
        <v>75</v>
      </c>
      <c r="B1" s="9" t="s">
        <v>2</v>
      </c>
      <c r="C1" s="9" t="s">
        <v>3</v>
      </c>
      <c r="D1" s="9" t="s">
        <v>75</v>
      </c>
      <c r="E1" s="9" t="s">
        <v>2</v>
      </c>
      <c r="F1" s="9" t="s">
        <v>3</v>
      </c>
    </row>
    <row r="2" spans="1:14" ht="42.75" customHeight="1" x14ac:dyDescent="0.25">
      <c r="A2" s="9" t="s">
        <v>89</v>
      </c>
      <c r="B2" s="9">
        <v>0.119420871169474</v>
      </c>
      <c r="C2" s="9">
        <v>0.21883415452675201</v>
      </c>
      <c r="D2" s="9" t="s">
        <v>86</v>
      </c>
      <c r="E2" s="9">
        <v>0.11942087092628299</v>
      </c>
      <c r="F2" s="9">
        <v>0.21883415452675201</v>
      </c>
    </row>
    <row r="3" spans="1:14" ht="42.75" customHeight="1" x14ac:dyDescent="0.25">
      <c r="A3" s="9" t="s">
        <v>88</v>
      </c>
      <c r="B3" s="9">
        <v>0.11991398551353701</v>
      </c>
      <c r="C3" s="9">
        <v>0.22482313548282501</v>
      </c>
      <c r="D3" s="9" t="s">
        <v>85</v>
      </c>
      <c r="E3" s="9">
        <v>0.119899554853789</v>
      </c>
      <c r="F3" s="9">
        <v>0.223263595795236</v>
      </c>
      <c r="K3" s="1"/>
      <c r="L3" s="1"/>
      <c r="M3" s="1"/>
      <c r="N3" s="1"/>
    </row>
    <row r="4" spans="1:14" ht="42.75" customHeight="1" x14ac:dyDescent="0.25">
      <c r="A4" s="9" t="s">
        <v>87</v>
      </c>
      <c r="B4" s="9">
        <v>0.120512439385945</v>
      </c>
      <c r="C4" s="9">
        <v>0.226486183065161</v>
      </c>
      <c r="D4" s="9" t="s">
        <v>84</v>
      </c>
      <c r="E4" s="9">
        <v>0.120510898692973</v>
      </c>
      <c r="F4" s="9">
        <v>0.22515948938799701</v>
      </c>
      <c r="K4" s="1"/>
      <c r="L4" s="1"/>
      <c r="M4" s="1"/>
      <c r="N4" s="1"/>
    </row>
    <row r="5" spans="1:14" ht="42.75" customHeight="1" x14ac:dyDescent="0.25">
      <c r="A5" s="23" t="s">
        <v>118</v>
      </c>
      <c r="B5" s="15">
        <v>0.120690387940001</v>
      </c>
      <c r="C5" s="15">
        <v>0.22810339112761499</v>
      </c>
      <c r="D5" s="15" t="s">
        <v>119</v>
      </c>
      <c r="E5" s="15">
        <v>0.12068893644970501</v>
      </c>
      <c r="F5" s="15">
        <v>0.22824242569413</v>
      </c>
      <c r="K5" s="1"/>
      <c r="L5" s="1"/>
      <c r="M5" s="1"/>
      <c r="N5" s="1"/>
    </row>
    <row r="6" spans="1:14" ht="42.75" customHeight="1" x14ac:dyDescent="0.25">
      <c r="A6" s="9" t="s">
        <v>122</v>
      </c>
      <c r="B6" s="9">
        <v>0.12085545886321999</v>
      </c>
      <c r="C6" s="9">
        <v>0.222242915727038</v>
      </c>
      <c r="D6" s="9" t="s">
        <v>123</v>
      </c>
      <c r="E6" s="9">
        <v>0.12086944048388799</v>
      </c>
      <c r="F6" s="9">
        <v>0.221669256006121</v>
      </c>
      <c r="K6" s="1"/>
      <c r="L6" s="1"/>
      <c r="M6" s="1"/>
      <c r="N6" s="1"/>
    </row>
    <row r="7" spans="1:14" ht="42.75" customHeight="1" x14ac:dyDescent="0.25">
      <c r="A7" s="5"/>
      <c r="K7" s="1"/>
      <c r="L7" s="1"/>
      <c r="M7" s="1"/>
      <c r="N7" s="1"/>
    </row>
    <row r="8" spans="1:14" ht="42.75" customHeight="1" x14ac:dyDescent="0.25">
      <c r="K8" s="1"/>
      <c r="L8" s="1"/>
      <c r="M8" s="1"/>
      <c r="N8" s="1"/>
    </row>
    <row r="9" spans="1:14" ht="42.75" customHeight="1" x14ac:dyDescent="0.25"/>
    <row r="10" spans="1:14" ht="42.75" customHeight="1" x14ac:dyDescent="0.25">
      <c r="D10" s="5"/>
    </row>
    <row r="11" spans="1:14" ht="42.75" customHeight="1" x14ac:dyDescent="0.25"/>
    <row r="12" spans="1:14" ht="42.75" customHeight="1" x14ac:dyDescent="0.25">
      <c r="A12" s="5"/>
    </row>
    <row r="13" spans="1:14" ht="42.75" customHeight="1" x14ac:dyDescent="0.25"/>
    <row r="14" spans="1:14" ht="42.75" customHeight="1" x14ac:dyDescent="0.25"/>
    <row r="15" spans="1:14" ht="42.75" customHeight="1" x14ac:dyDescent="0.25">
      <c r="A15" s="5"/>
      <c r="D15" s="5"/>
    </row>
    <row r="16" spans="1:14" ht="42.75" customHeight="1" x14ac:dyDescent="0.25"/>
    <row r="17" spans="1:4" ht="42.75" customHeight="1" x14ac:dyDescent="0.25"/>
    <row r="18" spans="1:4" ht="42.75" customHeight="1" x14ac:dyDescent="0.25">
      <c r="D18" s="5"/>
    </row>
    <row r="19" spans="1:4" ht="42.75" customHeight="1" x14ac:dyDescent="0.25">
      <c r="A19" s="5"/>
    </row>
    <row r="20" spans="1:4" ht="42.75" customHeight="1" x14ac:dyDescent="0.25"/>
    <row r="21" spans="1:4" ht="42.75" customHeight="1" x14ac:dyDescent="0.25"/>
    <row r="22" spans="1:4" ht="42.75" customHeight="1" x14ac:dyDescent="0.25">
      <c r="D22" s="5"/>
    </row>
    <row r="23" spans="1:4" ht="42.75" customHeight="1" x14ac:dyDescent="0.25"/>
    <row r="24" spans="1:4" ht="42.75" customHeight="1" x14ac:dyDescent="0.25"/>
    <row r="25" spans="1:4" ht="42.75" customHeight="1" x14ac:dyDescent="0.25"/>
    <row r="26" spans="1:4" ht="42.75" customHeight="1" x14ac:dyDescent="0.25"/>
    <row r="27" spans="1:4" ht="42.75" customHeight="1" x14ac:dyDescent="0.25"/>
    <row r="28" spans="1:4" ht="42.75" customHeight="1" x14ac:dyDescent="0.25"/>
    <row r="29" spans="1:4" ht="42.75" customHeight="1" x14ac:dyDescent="0.25"/>
    <row r="30" spans="1:4" ht="42.75" customHeight="1" x14ac:dyDescent="0.25"/>
    <row r="31" spans="1:4" s="1" customFormat="1" ht="21.75" customHeight="1" x14ac:dyDescent="0.25">
      <c r="A31" s="2"/>
      <c r="D31" s="2"/>
    </row>
    <row r="32" spans="1:4" s="1" customFormat="1" ht="21.75" customHeight="1" x14ac:dyDescent="0.25">
      <c r="A32" s="2"/>
      <c r="D32" s="2"/>
    </row>
    <row r="33" spans="1:4" s="1" customFormat="1" ht="21.75" customHeight="1" x14ac:dyDescent="0.25">
      <c r="A33" s="2"/>
      <c r="D33" s="2"/>
    </row>
    <row r="34" spans="1:4" s="1" customFormat="1" ht="21.75" customHeight="1" x14ac:dyDescent="0.25">
      <c r="A34" s="2"/>
      <c r="D34" s="2"/>
    </row>
    <row r="35" spans="1:4" s="1" customFormat="1" ht="21.75" customHeight="1" x14ac:dyDescent="0.25">
      <c r="A35" s="2"/>
      <c r="D35" s="2"/>
    </row>
    <row r="36" spans="1:4" s="1" customFormat="1" ht="21.75" customHeight="1" x14ac:dyDescent="0.25">
      <c r="A36" s="2"/>
      <c r="D36" s="2"/>
    </row>
    <row r="37" spans="1:4" s="1" customFormat="1" ht="21.75" customHeight="1" x14ac:dyDescent="0.25">
      <c r="A37" s="2"/>
      <c r="D37" s="2"/>
    </row>
    <row r="38" spans="1:4" s="1" customFormat="1" ht="21.75" customHeight="1" x14ac:dyDescent="0.25">
      <c r="A38" s="2"/>
      <c r="D38" s="2"/>
    </row>
    <row r="39" spans="1:4" s="1" customFormat="1" ht="21.75" customHeight="1" x14ac:dyDescent="0.25">
      <c r="A39" s="2"/>
      <c r="D39" s="2"/>
    </row>
    <row r="40" spans="1:4" s="1" customFormat="1" ht="21.75" customHeight="1" x14ac:dyDescent="0.25">
      <c r="A40" s="2"/>
      <c r="D40" s="2"/>
    </row>
    <row r="41" spans="1:4" s="1" customFormat="1" ht="21.75" customHeight="1" x14ac:dyDescent="0.25">
      <c r="A41" s="2"/>
      <c r="D41" s="2"/>
    </row>
    <row r="42" spans="1:4" s="1" customFormat="1" ht="21.75" customHeight="1" x14ac:dyDescent="0.25">
      <c r="A42" s="2"/>
      <c r="D42" s="2"/>
    </row>
    <row r="43" spans="1:4" s="1" customFormat="1" ht="21.75" customHeight="1" x14ac:dyDescent="0.25">
      <c r="A43" s="2"/>
      <c r="D43" s="2"/>
    </row>
    <row r="44" spans="1:4" s="1" customFormat="1" ht="21.75" customHeight="1" x14ac:dyDescent="0.25">
      <c r="A44" s="2"/>
      <c r="D44" s="2"/>
    </row>
    <row r="45" spans="1:4" s="1" customFormat="1" ht="21.75" customHeight="1" x14ac:dyDescent="0.25">
      <c r="A45" s="2"/>
      <c r="D45" s="2"/>
    </row>
    <row r="46" spans="1:4" s="1" customFormat="1" ht="21.75" customHeight="1" x14ac:dyDescent="0.25">
      <c r="A46" s="2"/>
      <c r="D46" s="2"/>
    </row>
    <row r="47" spans="1:4" s="1" customFormat="1" ht="21.75" customHeight="1" x14ac:dyDescent="0.25">
      <c r="A47" s="2"/>
      <c r="D47" s="2"/>
    </row>
    <row r="48" spans="1:4" s="1" customFormat="1" ht="21.75" customHeight="1" x14ac:dyDescent="0.25">
      <c r="A48" s="2"/>
      <c r="D48" s="2"/>
    </row>
    <row r="49" spans="1:4" s="1" customFormat="1" ht="21.75" customHeight="1" x14ac:dyDescent="0.25">
      <c r="A49" s="2"/>
      <c r="D49" s="2"/>
    </row>
    <row r="50" spans="1:4" s="1" customFormat="1" ht="21.75" customHeight="1" x14ac:dyDescent="0.25">
      <c r="A50" s="2"/>
      <c r="D50" s="2"/>
    </row>
    <row r="51" spans="1:4" s="1" customFormat="1" ht="21.75" customHeight="1" x14ac:dyDescent="0.25">
      <c r="A51" s="2"/>
      <c r="D51" s="2"/>
    </row>
    <row r="52" spans="1:4" s="1" customFormat="1" ht="21.75" customHeight="1" x14ac:dyDescent="0.25">
      <c r="A52" s="2"/>
      <c r="D52" s="2"/>
    </row>
    <row r="53" spans="1:4" s="1" customFormat="1" ht="21.75" customHeight="1" x14ac:dyDescent="0.25">
      <c r="A53" s="2"/>
      <c r="D53" s="2"/>
    </row>
    <row r="54" spans="1:4" s="1" customFormat="1" ht="21.75" customHeight="1" x14ac:dyDescent="0.25">
      <c r="A54" s="2"/>
      <c r="D54" s="2"/>
    </row>
    <row r="55" spans="1:4" s="1" customFormat="1" ht="21.75" customHeight="1" x14ac:dyDescent="0.25">
      <c r="A55" s="2"/>
      <c r="D55" s="2"/>
    </row>
  </sheetData>
  <sortState xmlns:xlrd2="http://schemas.microsoft.com/office/spreadsheetml/2017/richdata2" ref="J4:L8">
    <sortCondition ref="J3:J8"/>
  </sortState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92B1B-DC08-49CD-A6C8-098DFA242CBA}">
  <dimension ref="A1:F58"/>
  <sheetViews>
    <sheetView workbookViewId="0">
      <selection activeCell="X6" sqref="X6"/>
    </sheetView>
  </sheetViews>
  <sheetFormatPr defaultRowHeight="13.8" x14ac:dyDescent="0.25"/>
  <cols>
    <col min="1" max="1" width="14.88671875" style="1" customWidth="1"/>
    <col min="2" max="2" width="16.33203125" style="1" customWidth="1"/>
    <col min="3" max="4" width="14.88671875" style="1" customWidth="1"/>
    <col min="5" max="5" width="48.88671875" style="2" customWidth="1"/>
  </cols>
  <sheetData>
    <row r="1" spans="1:5" ht="4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42.75" customHeight="1" x14ac:dyDescent="0.25">
      <c r="B2" s="1" t="s">
        <v>38</v>
      </c>
      <c r="C2" s="1">
        <v>0.12085545886321999</v>
      </c>
      <c r="D2" s="1">
        <v>0.222242915727038</v>
      </c>
      <c r="E2" s="2" t="s">
        <v>51</v>
      </c>
    </row>
    <row r="3" spans="1:5" ht="42.75" customHeight="1" x14ac:dyDescent="0.25">
      <c r="B3" s="1" t="s">
        <v>38</v>
      </c>
      <c r="C3" s="1">
        <v>0.120690387940001</v>
      </c>
      <c r="D3" s="1">
        <v>0.22810339112761499</v>
      </c>
      <c r="E3" s="2" t="s">
        <v>50</v>
      </c>
    </row>
    <row r="4" spans="1:5" ht="42.75" customHeight="1" x14ac:dyDescent="0.25">
      <c r="B4" s="1" t="s">
        <v>38</v>
      </c>
      <c r="C4" s="1">
        <v>0.120512439385945</v>
      </c>
      <c r="D4" s="1">
        <v>0.226486183065161</v>
      </c>
      <c r="E4" s="2" t="s">
        <v>49</v>
      </c>
    </row>
    <row r="5" spans="1:5" ht="42.75" customHeight="1" x14ac:dyDescent="0.25">
      <c r="B5" s="1" t="s">
        <v>38</v>
      </c>
      <c r="C5" s="1">
        <v>0.11991398551353701</v>
      </c>
      <c r="D5" s="1">
        <v>0.22482313548282501</v>
      </c>
      <c r="E5" s="2" t="s">
        <v>48</v>
      </c>
    </row>
    <row r="6" spans="1:5" ht="42.75" customHeight="1" x14ac:dyDescent="0.25">
      <c r="B6" s="1" t="s">
        <v>38</v>
      </c>
      <c r="C6" s="1">
        <v>0.119420871169474</v>
      </c>
      <c r="D6" s="1">
        <v>0.21883415452675201</v>
      </c>
      <c r="E6" s="2" t="s">
        <v>47</v>
      </c>
    </row>
    <row r="7" spans="1:5" ht="42.75" customHeight="1" x14ac:dyDescent="0.25">
      <c r="B7" s="1" t="s">
        <v>38</v>
      </c>
      <c r="C7" s="1">
        <v>0.12086944048388799</v>
      </c>
      <c r="D7" s="1">
        <v>0.221669256006121</v>
      </c>
      <c r="E7" s="2" t="s">
        <v>46</v>
      </c>
    </row>
    <row r="8" spans="1:5" ht="42.75" customHeight="1" x14ac:dyDescent="0.25">
      <c r="B8" s="1" t="s">
        <v>38</v>
      </c>
      <c r="C8" s="1">
        <v>0.12068893644970501</v>
      </c>
      <c r="D8" s="1">
        <v>0.22824242569413</v>
      </c>
      <c r="E8" s="1" t="s">
        <v>44</v>
      </c>
    </row>
    <row r="9" spans="1:5" ht="42.75" customHeight="1" x14ac:dyDescent="0.25">
      <c r="B9" s="1" t="s">
        <v>38</v>
      </c>
      <c r="C9" s="1">
        <v>0.120510898692973</v>
      </c>
      <c r="D9" s="1">
        <v>0.22515948938799701</v>
      </c>
      <c r="E9" s="2" t="s">
        <v>43</v>
      </c>
    </row>
    <row r="10" spans="1:5" ht="42.75" customHeight="1" x14ac:dyDescent="0.25">
      <c r="B10" s="1" t="s">
        <v>38</v>
      </c>
      <c r="C10" s="1">
        <v>0.119899554853789</v>
      </c>
      <c r="D10" s="1">
        <v>0.223263595795236</v>
      </c>
      <c r="E10" s="2" t="s">
        <v>42</v>
      </c>
    </row>
    <row r="11" spans="1:5" ht="42.75" customHeight="1" x14ac:dyDescent="0.25">
      <c r="A11" s="1">
        <v>6.19</v>
      </c>
      <c r="B11" s="1" t="s">
        <v>38</v>
      </c>
      <c r="C11" s="1">
        <v>0.11942087092628299</v>
      </c>
      <c r="D11" s="1">
        <v>0.21883415452675201</v>
      </c>
      <c r="E11" s="1" t="s">
        <v>45</v>
      </c>
    </row>
    <row r="12" spans="1:5" ht="42.75" customHeight="1" x14ac:dyDescent="0.25">
      <c r="A12" s="1">
        <v>6.19</v>
      </c>
      <c r="B12" s="1" t="s">
        <v>38</v>
      </c>
      <c r="C12" s="1">
        <v>0.11942087092628299</v>
      </c>
      <c r="D12" s="1">
        <v>0.21883415452675201</v>
      </c>
      <c r="E12" s="1" t="s">
        <v>41</v>
      </c>
    </row>
    <row r="13" spans="1:5" ht="42.75" customHeight="1" x14ac:dyDescent="0.25">
      <c r="B13" s="4"/>
    </row>
    <row r="14" spans="1:5" ht="42.75" customHeight="1" x14ac:dyDescent="0.25">
      <c r="B14" s="4"/>
    </row>
    <row r="15" spans="1:5" ht="42.75" customHeight="1" x14ac:dyDescent="0.25">
      <c r="B15" s="4"/>
    </row>
    <row r="16" spans="1:5" ht="42.75" customHeight="1" x14ac:dyDescent="0.25"/>
    <row r="17" spans="1:5" ht="42.75" customHeight="1" x14ac:dyDescent="0.25">
      <c r="A17" s="4"/>
      <c r="B17" s="4"/>
      <c r="E17" s="5"/>
    </row>
    <row r="18" spans="1:5" ht="42.75" customHeight="1" x14ac:dyDescent="0.25"/>
    <row r="19" spans="1:5" ht="42.75" customHeight="1" x14ac:dyDescent="0.25"/>
    <row r="20" spans="1:5" ht="42.75" customHeight="1" x14ac:dyDescent="0.25"/>
    <row r="21" spans="1:5" ht="42.75" customHeight="1" x14ac:dyDescent="0.25"/>
    <row r="22" spans="1:5" ht="42.75" customHeight="1" x14ac:dyDescent="0.25">
      <c r="A22" s="4"/>
      <c r="B22" s="4"/>
      <c r="E22" s="5"/>
    </row>
    <row r="23" spans="1:5" ht="42.75" customHeight="1" x14ac:dyDescent="0.25"/>
    <row r="24" spans="1:5" ht="42.75" customHeight="1" x14ac:dyDescent="0.25"/>
    <row r="25" spans="1:5" ht="42.75" customHeight="1" x14ac:dyDescent="0.25">
      <c r="A25" s="4"/>
      <c r="B25" s="4"/>
      <c r="E25" s="5"/>
    </row>
    <row r="26" spans="1:5" ht="42.75" customHeight="1" x14ac:dyDescent="0.25"/>
    <row r="27" spans="1:5" ht="42.75" customHeight="1" x14ac:dyDescent="0.25">
      <c r="A27" s="3"/>
    </row>
    <row r="28" spans="1:5" ht="42.75" customHeight="1" x14ac:dyDescent="0.25">
      <c r="A28" s="3"/>
    </row>
    <row r="29" spans="1:5" ht="42.75" customHeight="1" x14ac:dyDescent="0.25">
      <c r="A29" s="6"/>
      <c r="B29" s="4"/>
      <c r="E29" s="5"/>
    </row>
    <row r="30" spans="1:5" ht="42.75" customHeight="1" x14ac:dyDescent="0.25"/>
    <row r="31" spans="1:5" ht="42.75" customHeight="1" x14ac:dyDescent="0.25"/>
    <row r="32" spans="1:5" ht="42.75" customHeight="1" x14ac:dyDescent="0.25"/>
    <row r="33" spans="5:6" ht="42.75" customHeight="1" x14ac:dyDescent="0.25"/>
    <row r="34" spans="5:6" ht="21.75" customHeight="1" x14ac:dyDescent="0.25"/>
    <row r="35" spans="5:6" ht="21.75" customHeight="1" x14ac:dyDescent="0.25"/>
    <row r="36" spans="5:6" ht="21.75" customHeight="1" x14ac:dyDescent="0.25"/>
    <row r="37" spans="5:6" ht="21.75" customHeight="1" x14ac:dyDescent="0.25"/>
    <row r="38" spans="5:6" ht="21.75" customHeight="1" x14ac:dyDescent="0.25"/>
    <row r="39" spans="5:6" ht="21.75" customHeight="1" x14ac:dyDescent="0.25"/>
    <row r="40" spans="5:6" ht="21.75" customHeight="1" x14ac:dyDescent="0.25"/>
    <row r="41" spans="5:6" ht="21.75" customHeight="1" x14ac:dyDescent="0.25"/>
    <row r="42" spans="5:6" ht="21.75" customHeight="1" x14ac:dyDescent="0.25"/>
    <row r="43" spans="5:6" s="1" customFormat="1" ht="21.75" customHeight="1" x14ac:dyDescent="0.25">
      <c r="E43" s="2"/>
      <c r="F43"/>
    </row>
    <row r="44" spans="5:6" s="1" customFormat="1" ht="21.75" customHeight="1" x14ac:dyDescent="0.25">
      <c r="E44" s="2"/>
      <c r="F44"/>
    </row>
    <row r="45" spans="5:6" s="1" customFormat="1" ht="21.75" customHeight="1" x14ac:dyDescent="0.25">
      <c r="E45" s="2"/>
      <c r="F45"/>
    </row>
    <row r="46" spans="5:6" s="1" customFormat="1" ht="21.75" customHeight="1" x14ac:dyDescent="0.25">
      <c r="E46" s="2"/>
      <c r="F46"/>
    </row>
    <row r="47" spans="5:6" s="1" customFormat="1" ht="21.75" customHeight="1" x14ac:dyDescent="0.25">
      <c r="E47" s="2"/>
      <c r="F47"/>
    </row>
    <row r="48" spans="5:6" s="1" customFormat="1" ht="21.75" customHeight="1" x14ac:dyDescent="0.25">
      <c r="E48" s="2"/>
      <c r="F48"/>
    </row>
    <row r="49" spans="5:6" s="1" customFormat="1" ht="21.75" customHeight="1" x14ac:dyDescent="0.25">
      <c r="E49" s="2"/>
      <c r="F49"/>
    </row>
    <row r="50" spans="5:6" s="1" customFormat="1" ht="21.75" customHeight="1" x14ac:dyDescent="0.25">
      <c r="E50" s="2"/>
      <c r="F50"/>
    </row>
    <row r="51" spans="5:6" s="1" customFormat="1" ht="21.75" customHeight="1" x14ac:dyDescent="0.25">
      <c r="E51" s="2"/>
      <c r="F51"/>
    </row>
    <row r="52" spans="5:6" s="1" customFormat="1" ht="21.75" customHeight="1" x14ac:dyDescent="0.25">
      <c r="E52" s="2"/>
      <c r="F52"/>
    </row>
    <row r="53" spans="5:6" s="1" customFormat="1" ht="21.75" customHeight="1" x14ac:dyDescent="0.25">
      <c r="E53" s="2"/>
      <c r="F53"/>
    </row>
    <row r="54" spans="5:6" s="1" customFormat="1" ht="21.75" customHeight="1" x14ac:dyDescent="0.25">
      <c r="E54" s="2"/>
      <c r="F54"/>
    </row>
    <row r="55" spans="5:6" s="1" customFormat="1" ht="21.75" customHeight="1" x14ac:dyDescent="0.25">
      <c r="E55" s="2"/>
      <c r="F55"/>
    </row>
    <row r="56" spans="5:6" s="1" customFormat="1" ht="21.75" customHeight="1" x14ac:dyDescent="0.25">
      <c r="E56" s="2"/>
      <c r="F56"/>
    </row>
    <row r="57" spans="5:6" s="1" customFormat="1" ht="21.75" customHeight="1" x14ac:dyDescent="0.25">
      <c r="E57" s="2"/>
      <c r="F57"/>
    </row>
    <row r="58" spans="5:6" s="1" customFormat="1" ht="21.75" customHeight="1" x14ac:dyDescent="0.25">
      <c r="E58" s="2"/>
      <c r="F5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E2835-D151-4C14-88CB-1E9D287B7361}">
  <dimension ref="A1:S25"/>
  <sheetViews>
    <sheetView topLeftCell="D4" workbookViewId="0">
      <selection activeCell="O15" sqref="O15:S20"/>
    </sheetView>
  </sheetViews>
  <sheetFormatPr defaultRowHeight="13.8" x14ac:dyDescent="0.25"/>
  <cols>
    <col min="2" max="2" width="9.109375" bestFit="1" customWidth="1"/>
    <col min="16" max="17" width="14.88671875" style="1" customWidth="1"/>
    <col min="18" max="18" width="48.88671875" style="2" customWidth="1"/>
  </cols>
  <sheetData>
    <row r="1" spans="1:19" x14ac:dyDescent="0.25">
      <c r="A1">
        <f>-0.1334-0.1489-0.1445-0.1459-0.1351-0.144-0.1428-0.1353-0.1294-0.1336-0.1356-0.1347-0.1327-0.1337-0.1264-0.1321-0.1298-0.1278-0.1378-0.1325-0.1283-0.1286-0.1291-0.1307</f>
        <v>-3.2326999999999995</v>
      </c>
      <c r="B1">
        <f>A1/24</f>
        <v>-0.13469583333333332</v>
      </c>
      <c r="D1">
        <f>-0.6448-0.6665-0.66-0.6576-0.658-0.6668-0.6753-0.6589-0.6337-0.6682-0.6416-0.6482-0.6359-0.6364-0.6376</f>
        <v>-9.7895000000000003</v>
      </c>
      <c r="P1" s="1" t="s">
        <v>2</v>
      </c>
      <c r="Q1" s="1" t="s">
        <v>3</v>
      </c>
      <c r="R1" s="2" t="s">
        <v>4</v>
      </c>
    </row>
    <row r="2" spans="1:19" x14ac:dyDescent="0.25">
      <c r="E2">
        <f>SUM(D1:D5)</f>
        <v>-15.6447</v>
      </c>
      <c r="F2" t="s">
        <v>40</v>
      </c>
      <c r="R2" s="2" t="s">
        <v>51</v>
      </c>
    </row>
    <row r="3" spans="1:19" x14ac:dyDescent="0.25">
      <c r="D3">
        <v>-0.67100000000000004</v>
      </c>
      <c r="P3" s="1">
        <v>0.120690387940001</v>
      </c>
      <c r="Q3" s="1">
        <v>0.22810339112761499</v>
      </c>
      <c r="R3" s="2" t="s">
        <v>50</v>
      </c>
    </row>
    <row r="4" spans="1:19" x14ac:dyDescent="0.25">
      <c r="D4">
        <v>-0.6381</v>
      </c>
      <c r="P4" s="1">
        <v>0.120512439385945</v>
      </c>
      <c r="Q4" s="1">
        <v>0.226486183065161</v>
      </c>
      <c r="R4" s="2" t="s">
        <v>49</v>
      </c>
    </row>
    <row r="5" spans="1:19" x14ac:dyDescent="0.25">
      <c r="D5">
        <f>-0.6648-0.6598-0.6498-0.6274-0.6404-0.6706-0.6333</f>
        <v>-4.5461</v>
      </c>
      <c r="P5" s="1">
        <v>0.11991398551353701</v>
      </c>
      <c r="Q5" s="1">
        <v>0.22482313548282501</v>
      </c>
      <c r="R5" s="2" t="s">
        <v>48</v>
      </c>
    </row>
    <row r="6" spans="1:19" x14ac:dyDescent="0.25">
      <c r="P6" s="1">
        <v>0.119420871169474</v>
      </c>
      <c r="Q6" s="1">
        <v>0.21883415452675201</v>
      </c>
      <c r="R6" s="2" t="s">
        <v>47</v>
      </c>
    </row>
    <row r="7" spans="1:19" x14ac:dyDescent="0.25">
      <c r="O7">
        <v>9</v>
      </c>
      <c r="P7" s="1">
        <v>0.12086944048388799</v>
      </c>
      <c r="Q7" s="1">
        <v>0.221669256006121</v>
      </c>
      <c r="R7" s="2" t="s">
        <v>46</v>
      </c>
    </row>
    <row r="8" spans="1:19" x14ac:dyDescent="0.25">
      <c r="O8">
        <v>7</v>
      </c>
      <c r="P8" s="1">
        <v>0.12068893644970501</v>
      </c>
      <c r="Q8" s="1">
        <v>0.22824242569413</v>
      </c>
      <c r="R8" s="1" t="s">
        <v>44</v>
      </c>
    </row>
    <row r="9" spans="1:19" x14ac:dyDescent="0.25">
      <c r="O9">
        <v>5</v>
      </c>
      <c r="P9" s="1">
        <v>0.120510898692973</v>
      </c>
      <c r="Q9" s="1">
        <v>0.22515948938799701</v>
      </c>
      <c r="R9" s="2" t="s">
        <v>43</v>
      </c>
    </row>
    <row r="10" spans="1:19" x14ac:dyDescent="0.25">
      <c r="O10">
        <v>3</v>
      </c>
      <c r="P10" s="1">
        <v>0.119899554853789</v>
      </c>
      <c r="Q10" s="1">
        <v>0.223263595795236</v>
      </c>
      <c r="R10" s="2" t="s">
        <v>42</v>
      </c>
    </row>
    <row r="11" spans="1:19" x14ac:dyDescent="0.25">
      <c r="E11">
        <v>0.26769999999999999</v>
      </c>
      <c r="F11">
        <v>0.24660000000000001</v>
      </c>
      <c r="G11">
        <v>0.24049999999999999</v>
      </c>
      <c r="H11">
        <v>0.23219999999999999</v>
      </c>
      <c r="I11">
        <v>0.2286</v>
      </c>
      <c r="J11">
        <v>0.22309999999999999</v>
      </c>
      <c r="K11">
        <v>0.21540000000000001</v>
      </c>
      <c r="L11">
        <v>0.21479999999999999</v>
      </c>
      <c r="M11">
        <v>0.2114</v>
      </c>
      <c r="O11">
        <v>1</v>
      </c>
      <c r="P11" s="1">
        <v>0.11942087092628299</v>
      </c>
      <c r="Q11" s="1">
        <v>0.21883415452675201</v>
      </c>
      <c r="R11" s="1" t="s">
        <v>45</v>
      </c>
    </row>
    <row r="12" spans="1:19" x14ac:dyDescent="0.25">
      <c r="P12" s="1">
        <v>0.11942087092628299</v>
      </c>
      <c r="Q12" s="1">
        <v>0.21883415452675201</v>
      </c>
      <c r="R12" s="1" t="s">
        <v>41</v>
      </c>
    </row>
    <row r="14" spans="1:19" x14ac:dyDescent="0.25">
      <c r="C14">
        <v>1</v>
      </c>
      <c r="D14">
        <v>0.26769999999999999</v>
      </c>
    </row>
    <row r="15" spans="1:19" x14ac:dyDescent="0.25">
      <c r="C15">
        <v>2</v>
      </c>
      <c r="D15">
        <v>0.24660000000000001</v>
      </c>
      <c r="P15" s="1" t="s">
        <v>2</v>
      </c>
      <c r="Q15" s="1" t="s">
        <v>2</v>
      </c>
      <c r="R15" s="1" t="s">
        <v>3</v>
      </c>
      <c r="S15" s="1" t="s">
        <v>3</v>
      </c>
    </row>
    <row r="16" spans="1:19" x14ac:dyDescent="0.25">
      <c r="C16">
        <v>3</v>
      </c>
      <c r="D16">
        <v>0.24049999999999999</v>
      </c>
      <c r="O16">
        <v>9</v>
      </c>
      <c r="P16" s="1">
        <v>0.12086944048388799</v>
      </c>
      <c r="Q16" s="1">
        <v>0.12085545886321999</v>
      </c>
      <c r="R16" s="1">
        <v>0.221669256006121</v>
      </c>
      <c r="S16" s="1">
        <v>0.222242915727038</v>
      </c>
    </row>
    <row r="17" spans="3:19" x14ac:dyDescent="0.25">
      <c r="C17">
        <v>4</v>
      </c>
      <c r="D17">
        <v>0.23219999999999999</v>
      </c>
      <c r="O17">
        <v>7</v>
      </c>
      <c r="P17" s="1">
        <v>0.12068893644970501</v>
      </c>
      <c r="Q17" s="1">
        <v>0.120690387940001</v>
      </c>
      <c r="R17" s="1">
        <v>0.22824242569413</v>
      </c>
      <c r="S17" s="1">
        <v>0.22810339112761499</v>
      </c>
    </row>
    <row r="18" spans="3:19" x14ac:dyDescent="0.25">
      <c r="C18">
        <v>5</v>
      </c>
      <c r="D18">
        <v>0.2286</v>
      </c>
      <c r="O18">
        <v>5</v>
      </c>
      <c r="P18" s="1">
        <v>0.120510898692973</v>
      </c>
      <c r="Q18" s="1">
        <v>0.120512439385945</v>
      </c>
      <c r="R18" s="1">
        <v>0.22515948938799701</v>
      </c>
      <c r="S18" s="1">
        <v>0.226486183065161</v>
      </c>
    </row>
    <row r="19" spans="3:19" x14ac:dyDescent="0.25">
      <c r="C19">
        <v>6</v>
      </c>
      <c r="D19">
        <v>0.22309999999999999</v>
      </c>
      <c r="O19">
        <v>3</v>
      </c>
      <c r="P19" s="1">
        <v>0.119899554853789</v>
      </c>
      <c r="Q19" s="1">
        <v>0.11991398551353701</v>
      </c>
      <c r="R19" s="1">
        <v>0.223263595795236</v>
      </c>
      <c r="S19" s="1">
        <v>0.22482313548282501</v>
      </c>
    </row>
    <row r="20" spans="3:19" x14ac:dyDescent="0.25">
      <c r="C20">
        <v>7</v>
      </c>
      <c r="D20">
        <v>0.21540000000000001</v>
      </c>
      <c r="O20">
        <v>1</v>
      </c>
      <c r="P20" s="1">
        <v>0.11942087092628299</v>
      </c>
      <c r="Q20" s="1">
        <v>0.119420871169474</v>
      </c>
      <c r="R20" s="1">
        <v>0.21883415452675201</v>
      </c>
      <c r="S20" s="1">
        <v>0.21883415452675201</v>
      </c>
    </row>
    <row r="21" spans="3:19" x14ac:dyDescent="0.25">
      <c r="C21">
        <v>8</v>
      </c>
      <c r="D21">
        <v>0.21479999999999999</v>
      </c>
    </row>
    <row r="22" spans="3:19" x14ac:dyDescent="0.25">
      <c r="C22">
        <v>9</v>
      </c>
      <c r="D22">
        <v>0.2114</v>
      </c>
      <c r="R22" s="5"/>
    </row>
    <row r="25" spans="3:19" x14ac:dyDescent="0.25">
      <c r="F25" s="1">
        <v>0.12085545886321999</v>
      </c>
      <c r="G25" s="1">
        <v>0.222242915727038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汇总</vt:lpstr>
      <vt:lpstr>汇总 (4)</vt:lpstr>
      <vt:lpstr>草稿</vt:lpstr>
      <vt:lpstr>汇总 (3)</vt:lpstr>
      <vt:lpstr>汇总 (2)</vt:lpstr>
      <vt:lpstr>DE筛选与IC筛选的差异</vt:lpstr>
      <vt:lpstr>20250721_baseic</vt:lpstr>
      <vt:lpstr>Sheet1</vt:lpstr>
      <vt:lpstr>7.13MoE_v1集成</vt:lpstr>
      <vt:lpstr>7.11MLPv6.3集成</vt:lpstr>
      <vt:lpstr>7.09结果</vt:lpstr>
      <vt:lpstr>7.07集成Mixerv4</vt:lpstr>
      <vt:lpstr>7.06集成MLPv6.1</vt:lpstr>
      <vt:lpstr>7.05集成MASTER</vt:lpstr>
      <vt:lpstr>7.05集成Mixerv3</vt:lpstr>
      <vt:lpstr>7.04集成Mixerv2.2</vt:lpstr>
      <vt:lpstr>7.02集成MLPv5</vt:lpstr>
      <vt:lpstr>7.01集成MLPv3.1</vt:lpstr>
      <vt:lpstr>7.01集成MLPv4.3</vt:lpstr>
      <vt:lpstr>6.29-MLP集成-标签没对齐！</vt:lpstr>
      <vt:lpstr>6.24</vt:lpstr>
      <vt:lpstr>6.23</vt:lpstr>
      <vt:lpstr>6.20</vt:lpstr>
      <vt:lpstr>6.19集成KANv3</vt:lpstr>
      <vt:lpstr>6.19</vt:lpstr>
      <vt:lpstr>画图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2025-10-30T02:58:09Z</dcterms:modified>
</cp:coreProperties>
</file>